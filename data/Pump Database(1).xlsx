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puda\OneDrive\Desktop\RBM-Tender-App-main\data\"/>
    </mc:Choice>
  </mc:AlternateContent>
  <xr:revisionPtr revIDLastSave="0" documentId="8_{538C37E3-0041-4028-A231-B8FC679F9DC8}" xr6:coauthVersionLast="47" xr6:coauthVersionMax="47" xr10:uidLastSave="{00000000-0000-0000-0000-000000000000}"/>
  <bookViews>
    <workbookView xWindow="-120" yWindow="-120" windowWidth="29040" windowHeight="15720" firstSheet="15" activeTab="20" xr2:uid="{00000000-000D-0000-FFFF-FFFF00000000}"/>
  </bookViews>
  <sheets>
    <sheet name="CR Sales" sheetId="5" state="hidden" r:id="rId1"/>
    <sheet name="NBG BOM" sheetId="10" r:id="rId2"/>
    <sheet name="NK BOM" sheetId="12" r:id="rId3"/>
    <sheet name="CR BOM" sheetId="13" r:id="rId4"/>
    <sheet name="CRE BOM" sheetId="14" r:id="rId5"/>
    <sheet name="CRI BOM" sheetId="15" r:id="rId6"/>
    <sheet name="CRIE BOM" sheetId="16" r:id="rId7"/>
    <sheet name="CRN BOM" sheetId="17" r:id="rId8"/>
    <sheet name="CRNE BOM" sheetId="18" r:id="rId9"/>
    <sheet name="TP BOM" sheetId="19" r:id="rId10"/>
    <sheet name="Co-Efficients" sheetId="21" state="hidden" r:id="rId11"/>
    <sheet name="UPS Pricing" sheetId="22" r:id="rId12"/>
    <sheet name="Costing Template" sheetId="25" state="hidden" r:id="rId13"/>
    <sheet name="NK Pricing" sheetId="27" state="hidden" r:id="rId14"/>
    <sheet name="Seismic Springs" sheetId="31" state="hidden" r:id="rId15"/>
    <sheet name="Seismic Springs 2025" sheetId="32" r:id="rId16"/>
    <sheet name="Rubber Mounts" sheetId="33" r:id="rId17"/>
    <sheet name="Crossbars" sheetId="49" r:id="rId18"/>
    <sheet name="Inertia Base Models" sheetId="36" r:id="rId19"/>
    <sheet name="Inertia Bases 2025" sheetId="37" r:id="rId20"/>
    <sheet name="NBG Duties" sheetId="39" r:id="rId21"/>
    <sheet name="Sheet39" sheetId="41" state="hidden" r:id="rId22"/>
    <sheet name="Sheet41" sheetId="42" state="hidden" r:id="rId23"/>
    <sheet name="RACP Duties" sheetId="44" state="hidden" r:id="rId24"/>
    <sheet name="NBG Details" sheetId="45" state="hidden" r:id="rId25"/>
  </sheets>
  <definedNames>
    <definedName name="_xlnm._FilterDatabase" localSheetId="0" hidden="1">'CR Sales'!$A$1:$D$993</definedName>
    <definedName name="_xlnm._FilterDatabase" localSheetId="5" hidden="1">'CRI BOM'!$A$1:$Q$1000</definedName>
    <definedName name="_xlnm._FilterDatabase" localSheetId="19" hidden="1">'Inertia Bases 2025'!$A$1:$O$1003</definedName>
    <definedName name="_xlnm._FilterDatabase" localSheetId="1" hidden="1">'NBG BOM'!$A$1:$AG$1000</definedName>
    <definedName name="_xlnm._FilterDatabase" localSheetId="20" hidden="1">'NBG Duties'!$B$1:$E$1170</definedName>
    <definedName name="_xlnm._FilterDatabase" localSheetId="2" hidden="1">'NK BOM'!$A$1:$X$1000</definedName>
    <definedName name="_xlnm._FilterDatabase" localSheetId="16" hidden="1">'Rubber Mounts'!$A$1:$D$5</definedName>
    <definedName name="_xlnm._FilterDatabase" localSheetId="21" hidden="1">Sheet39!$A$1:$C$1171</definedName>
    <definedName name="_xlnm._FilterDatabase" localSheetId="11" hidden="1">'UPS Pricing'!$A$1:$E$890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8" i="45" l="1"/>
  <c r="N218" i="45"/>
  <c r="M218" i="45"/>
  <c r="K218" i="45"/>
  <c r="O217" i="45"/>
  <c r="N217" i="45"/>
  <c r="M217" i="45"/>
  <c r="K217" i="45"/>
  <c r="O216" i="45"/>
  <c r="N216" i="45"/>
  <c r="M216" i="45"/>
  <c r="K216" i="45"/>
  <c r="O215" i="45"/>
  <c r="N215" i="45"/>
  <c r="M215" i="45"/>
  <c r="K215" i="45"/>
  <c r="O214" i="45"/>
  <c r="N214" i="45"/>
  <c r="M214" i="45"/>
  <c r="K214" i="45"/>
  <c r="O213" i="45"/>
  <c r="N213" i="45"/>
  <c r="M213" i="45"/>
  <c r="K213" i="45"/>
  <c r="O212" i="45"/>
  <c r="N212" i="45"/>
  <c r="M212" i="45"/>
  <c r="K212" i="45"/>
  <c r="O211" i="45"/>
  <c r="N211" i="45"/>
  <c r="M211" i="45"/>
  <c r="K211" i="45"/>
  <c r="O210" i="45"/>
  <c r="N210" i="45"/>
  <c r="M210" i="45"/>
  <c r="K210" i="45"/>
  <c r="O209" i="45"/>
  <c r="N209" i="45"/>
  <c r="M209" i="45"/>
  <c r="K209" i="45"/>
  <c r="O208" i="45"/>
  <c r="N208" i="45"/>
  <c r="M208" i="45"/>
  <c r="K208" i="45"/>
  <c r="O207" i="45"/>
  <c r="N207" i="45"/>
  <c r="M207" i="45"/>
  <c r="K207" i="45"/>
  <c r="O206" i="45"/>
  <c r="N206" i="45"/>
  <c r="M206" i="45"/>
  <c r="K206" i="45"/>
  <c r="O205" i="45"/>
  <c r="N205" i="45"/>
  <c r="M205" i="45"/>
  <c r="K205" i="45"/>
  <c r="O204" i="45"/>
  <c r="N204" i="45"/>
  <c r="M204" i="45"/>
  <c r="K204" i="45"/>
  <c r="O203" i="45"/>
  <c r="N203" i="45"/>
  <c r="M203" i="45"/>
  <c r="K203" i="45"/>
  <c r="O202" i="45"/>
  <c r="N202" i="45"/>
  <c r="M202" i="45"/>
  <c r="K202" i="45"/>
  <c r="O201" i="45"/>
  <c r="N201" i="45"/>
  <c r="M201" i="45"/>
  <c r="K201" i="45"/>
  <c r="O200" i="45"/>
  <c r="N200" i="45"/>
  <c r="M200" i="45"/>
  <c r="K200" i="45"/>
  <c r="O199" i="45"/>
  <c r="N199" i="45"/>
  <c r="M199" i="45"/>
  <c r="K199" i="45"/>
  <c r="O198" i="45"/>
  <c r="N198" i="45"/>
  <c r="M198" i="45"/>
  <c r="K198" i="45"/>
  <c r="O197" i="45"/>
  <c r="N197" i="45"/>
  <c r="M197" i="45"/>
  <c r="K197" i="45"/>
  <c r="O196" i="45"/>
  <c r="N196" i="45"/>
  <c r="M196" i="45"/>
  <c r="K196" i="45"/>
  <c r="O195" i="45"/>
  <c r="N195" i="45"/>
  <c r="M195" i="45"/>
  <c r="K195" i="45"/>
  <c r="O194" i="45"/>
  <c r="N194" i="45"/>
  <c r="M194" i="45"/>
  <c r="K194" i="45"/>
  <c r="O193" i="45"/>
  <c r="N193" i="45"/>
  <c r="M193" i="45"/>
  <c r="K193" i="45"/>
  <c r="O192" i="45"/>
  <c r="N192" i="45"/>
  <c r="M192" i="45"/>
  <c r="K192" i="45"/>
  <c r="O191" i="45"/>
  <c r="N191" i="45"/>
  <c r="M191" i="45"/>
  <c r="K191" i="45"/>
  <c r="O190" i="45"/>
  <c r="N190" i="45"/>
  <c r="M190" i="45"/>
  <c r="K190" i="45"/>
  <c r="O189" i="45"/>
  <c r="N189" i="45"/>
  <c r="M189" i="45"/>
  <c r="K189" i="45"/>
  <c r="O188" i="45"/>
  <c r="N188" i="45"/>
  <c r="M188" i="45"/>
  <c r="K188" i="45"/>
  <c r="O187" i="45"/>
  <c r="N187" i="45"/>
  <c r="M187" i="45"/>
  <c r="K187" i="45"/>
  <c r="O186" i="45"/>
  <c r="N186" i="45"/>
  <c r="M186" i="45"/>
  <c r="K186" i="45"/>
  <c r="O185" i="45"/>
  <c r="N185" i="45"/>
  <c r="M185" i="45"/>
  <c r="K185" i="45"/>
  <c r="O184" i="45"/>
  <c r="N184" i="45"/>
  <c r="M184" i="45"/>
  <c r="K184" i="45"/>
  <c r="O183" i="45"/>
  <c r="N183" i="45"/>
  <c r="M183" i="45"/>
  <c r="K183" i="45"/>
  <c r="O182" i="45"/>
  <c r="N182" i="45"/>
  <c r="M182" i="45"/>
  <c r="K182" i="45"/>
  <c r="O181" i="45"/>
  <c r="N181" i="45"/>
  <c r="M181" i="45"/>
  <c r="K181" i="45"/>
  <c r="O180" i="45"/>
  <c r="N180" i="45"/>
  <c r="M180" i="45"/>
  <c r="K180" i="45"/>
  <c r="O179" i="45"/>
  <c r="N179" i="45"/>
  <c r="M179" i="45"/>
  <c r="K179" i="45"/>
  <c r="O178" i="45"/>
  <c r="N178" i="45"/>
  <c r="M178" i="45"/>
  <c r="K178" i="45"/>
  <c r="O177" i="45"/>
  <c r="N177" i="45"/>
  <c r="M177" i="45"/>
  <c r="K177" i="45"/>
  <c r="O176" i="45"/>
  <c r="N176" i="45"/>
  <c r="M176" i="45"/>
  <c r="K176" i="45"/>
  <c r="O175" i="45"/>
  <c r="N175" i="45"/>
  <c r="M175" i="45"/>
  <c r="K175" i="45"/>
  <c r="O174" i="45"/>
  <c r="N174" i="45"/>
  <c r="M174" i="45"/>
  <c r="K174" i="45"/>
  <c r="O173" i="45"/>
  <c r="N173" i="45"/>
  <c r="M173" i="45"/>
  <c r="K173" i="45"/>
  <c r="O172" i="45"/>
  <c r="N172" i="45"/>
  <c r="M172" i="45"/>
  <c r="K172" i="45"/>
  <c r="O171" i="45"/>
  <c r="N171" i="45"/>
  <c r="M171" i="45"/>
  <c r="K171" i="45"/>
  <c r="O170" i="45"/>
  <c r="N170" i="45"/>
  <c r="M170" i="45"/>
  <c r="K170" i="45"/>
  <c r="O169" i="45"/>
  <c r="N169" i="45"/>
  <c r="M169" i="45"/>
  <c r="K169" i="45"/>
  <c r="O168" i="45"/>
  <c r="N168" i="45"/>
  <c r="M168" i="45"/>
  <c r="K168" i="45"/>
  <c r="O167" i="45"/>
  <c r="N167" i="45"/>
  <c r="M167" i="45"/>
  <c r="K167" i="45"/>
  <c r="O166" i="45"/>
  <c r="N166" i="45"/>
  <c r="M166" i="45"/>
  <c r="K166" i="45"/>
  <c r="O165" i="45"/>
  <c r="N165" i="45"/>
  <c r="M165" i="45"/>
  <c r="K165" i="45"/>
  <c r="O164" i="45"/>
  <c r="N164" i="45"/>
  <c r="M164" i="45"/>
  <c r="K164" i="45"/>
  <c r="O163" i="45"/>
  <c r="N163" i="45"/>
  <c r="M163" i="45"/>
  <c r="K163" i="45"/>
  <c r="O162" i="45"/>
  <c r="N162" i="45"/>
  <c r="M162" i="45"/>
  <c r="K162" i="45"/>
  <c r="O161" i="45"/>
  <c r="N161" i="45"/>
  <c r="M161" i="45"/>
  <c r="K161" i="45"/>
  <c r="O160" i="45"/>
  <c r="N160" i="45"/>
  <c r="M160" i="45"/>
  <c r="K160" i="45"/>
  <c r="O159" i="45"/>
  <c r="N159" i="45"/>
  <c r="M159" i="45"/>
  <c r="K159" i="45"/>
  <c r="O158" i="45"/>
  <c r="N158" i="45"/>
  <c r="M158" i="45"/>
  <c r="K158" i="45"/>
  <c r="O157" i="45"/>
  <c r="N157" i="45"/>
  <c r="M157" i="45"/>
  <c r="K157" i="45"/>
  <c r="O156" i="45"/>
  <c r="N156" i="45"/>
  <c r="M156" i="45"/>
  <c r="K156" i="45"/>
  <c r="O155" i="45"/>
  <c r="N155" i="45"/>
  <c r="M155" i="45"/>
  <c r="K155" i="45"/>
  <c r="O154" i="45"/>
  <c r="N154" i="45"/>
  <c r="M154" i="45"/>
  <c r="K154" i="45"/>
  <c r="O153" i="45"/>
  <c r="N153" i="45"/>
  <c r="M153" i="45"/>
  <c r="K153" i="45"/>
  <c r="O152" i="45"/>
  <c r="N152" i="45"/>
  <c r="M152" i="45"/>
  <c r="K152" i="45"/>
  <c r="O151" i="45"/>
  <c r="N151" i="45"/>
  <c r="M151" i="45"/>
  <c r="K151" i="45"/>
  <c r="O150" i="45"/>
  <c r="N150" i="45"/>
  <c r="M150" i="45"/>
  <c r="K150" i="45"/>
  <c r="O149" i="45"/>
  <c r="N149" i="45"/>
  <c r="M149" i="45"/>
  <c r="K149" i="45"/>
  <c r="O148" i="45"/>
  <c r="N148" i="45"/>
  <c r="M148" i="45"/>
  <c r="K148" i="45"/>
  <c r="O147" i="45"/>
  <c r="N147" i="45"/>
  <c r="M147" i="45"/>
  <c r="K147" i="45"/>
  <c r="O146" i="45"/>
  <c r="N146" i="45"/>
  <c r="M146" i="45"/>
  <c r="K146" i="45"/>
  <c r="O145" i="45"/>
  <c r="N145" i="45"/>
  <c r="M145" i="45"/>
  <c r="K145" i="45"/>
  <c r="O144" i="45"/>
  <c r="N144" i="45"/>
  <c r="M144" i="45"/>
  <c r="K144" i="45"/>
  <c r="O143" i="45"/>
  <c r="N143" i="45"/>
  <c r="M143" i="45"/>
  <c r="K143" i="45"/>
  <c r="O142" i="45"/>
  <c r="N142" i="45"/>
  <c r="M142" i="45"/>
  <c r="K142" i="45"/>
  <c r="O141" i="45"/>
  <c r="N141" i="45"/>
  <c r="M141" i="45"/>
  <c r="K141" i="45"/>
  <c r="O140" i="45"/>
  <c r="N140" i="45"/>
  <c r="M140" i="45"/>
  <c r="K140" i="45"/>
  <c r="O139" i="45"/>
  <c r="N139" i="45"/>
  <c r="M139" i="45"/>
  <c r="K139" i="45"/>
  <c r="O138" i="45"/>
  <c r="N138" i="45"/>
  <c r="M138" i="45"/>
  <c r="K138" i="45"/>
  <c r="O137" i="45"/>
  <c r="N137" i="45"/>
  <c r="M137" i="45"/>
  <c r="K137" i="45"/>
  <c r="O136" i="45"/>
  <c r="N136" i="45"/>
  <c r="M136" i="45"/>
  <c r="K136" i="45"/>
  <c r="O135" i="45"/>
  <c r="N135" i="45"/>
  <c r="M135" i="45"/>
  <c r="K135" i="45"/>
  <c r="O134" i="45"/>
  <c r="N134" i="45"/>
  <c r="M134" i="45"/>
  <c r="K134" i="45"/>
  <c r="O133" i="45"/>
  <c r="N133" i="45"/>
  <c r="M133" i="45"/>
  <c r="K133" i="45"/>
  <c r="O132" i="45"/>
  <c r="N132" i="45"/>
  <c r="M132" i="45"/>
  <c r="K132" i="45"/>
  <c r="O131" i="45"/>
  <c r="N131" i="45"/>
  <c r="M131" i="45"/>
  <c r="K131" i="45"/>
  <c r="O130" i="45"/>
  <c r="N130" i="45"/>
  <c r="M130" i="45"/>
  <c r="K130" i="45"/>
  <c r="O129" i="45"/>
  <c r="N129" i="45"/>
  <c r="M129" i="45"/>
  <c r="K129" i="45"/>
  <c r="O128" i="45"/>
  <c r="N128" i="45"/>
  <c r="M128" i="45"/>
  <c r="K128" i="45"/>
  <c r="O127" i="45"/>
  <c r="N127" i="45"/>
  <c r="M127" i="45"/>
  <c r="K127" i="45"/>
  <c r="O126" i="45"/>
  <c r="N126" i="45"/>
  <c r="M126" i="45"/>
  <c r="K126" i="45"/>
  <c r="O125" i="45"/>
  <c r="N125" i="45"/>
  <c r="M125" i="45"/>
  <c r="K125" i="45"/>
  <c r="O124" i="45"/>
  <c r="N124" i="45"/>
  <c r="M124" i="45"/>
  <c r="K124" i="45"/>
  <c r="O123" i="45"/>
  <c r="N123" i="45"/>
  <c r="M123" i="45"/>
  <c r="K123" i="45"/>
  <c r="O122" i="45"/>
  <c r="N122" i="45"/>
  <c r="M122" i="45"/>
  <c r="K122" i="45"/>
  <c r="O121" i="45"/>
  <c r="N121" i="45"/>
  <c r="M121" i="45"/>
  <c r="K121" i="45"/>
  <c r="O120" i="45"/>
  <c r="N120" i="45"/>
  <c r="M120" i="45"/>
  <c r="K120" i="45"/>
  <c r="O119" i="45"/>
  <c r="N119" i="45"/>
  <c r="M119" i="45"/>
  <c r="K119" i="45"/>
  <c r="O118" i="45"/>
  <c r="N118" i="45"/>
  <c r="M118" i="45"/>
  <c r="K118" i="45"/>
  <c r="O117" i="45"/>
  <c r="N117" i="45"/>
  <c r="M117" i="45"/>
  <c r="K117" i="45"/>
  <c r="O116" i="45"/>
  <c r="N116" i="45"/>
  <c r="M116" i="45"/>
  <c r="K116" i="45"/>
  <c r="O115" i="45"/>
  <c r="N115" i="45"/>
  <c r="M115" i="45"/>
  <c r="K115" i="45"/>
  <c r="O114" i="45"/>
  <c r="N114" i="45"/>
  <c r="M114" i="45"/>
  <c r="K114" i="45"/>
  <c r="O113" i="45"/>
  <c r="N113" i="45"/>
  <c r="M113" i="45"/>
  <c r="K113" i="45"/>
  <c r="O112" i="45"/>
  <c r="N112" i="45"/>
  <c r="M112" i="45"/>
  <c r="K112" i="45"/>
  <c r="O111" i="45"/>
  <c r="N111" i="45"/>
  <c r="M111" i="45"/>
  <c r="K111" i="45"/>
  <c r="O110" i="45"/>
  <c r="N110" i="45"/>
  <c r="M110" i="45"/>
  <c r="K110" i="45"/>
  <c r="O109" i="45"/>
  <c r="N109" i="45"/>
  <c r="M109" i="45"/>
  <c r="K109" i="45"/>
  <c r="O108" i="45"/>
  <c r="N108" i="45"/>
  <c r="M108" i="45"/>
  <c r="K108" i="45"/>
  <c r="O107" i="45"/>
  <c r="N107" i="45"/>
  <c r="M107" i="45"/>
  <c r="K107" i="45"/>
  <c r="O106" i="45"/>
  <c r="N106" i="45"/>
  <c r="M106" i="45"/>
  <c r="K106" i="45"/>
  <c r="O105" i="45"/>
  <c r="N105" i="45"/>
  <c r="M105" i="45"/>
  <c r="K105" i="45"/>
  <c r="O104" i="45"/>
  <c r="N104" i="45"/>
  <c r="M104" i="45"/>
  <c r="K104" i="45"/>
  <c r="O103" i="45"/>
  <c r="N103" i="45"/>
  <c r="M103" i="45"/>
  <c r="K103" i="45"/>
  <c r="O102" i="45"/>
  <c r="N102" i="45"/>
  <c r="M102" i="45"/>
  <c r="K102" i="45"/>
  <c r="O101" i="45"/>
  <c r="N101" i="45"/>
  <c r="M101" i="45"/>
  <c r="K101" i="45"/>
  <c r="O100" i="45"/>
  <c r="N100" i="45"/>
  <c r="M100" i="45"/>
  <c r="K100" i="45"/>
  <c r="O99" i="45"/>
  <c r="N99" i="45"/>
  <c r="M99" i="45"/>
  <c r="K99" i="45"/>
  <c r="O98" i="45"/>
  <c r="N98" i="45"/>
  <c r="M98" i="45"/>
  <c r="K98" i="45"/>
  <c r="O97" i="45"/>
  <c r="N97" i="45"/>
  <c r="M97" i="45"/>
  <c r="K97" i="45"/>
  <c r="O96" i="45"/>
  <c r="N96" i="45"/>
  <c r="M96" i="45"/>
  <c r="K96" i="45"/>
  <c r="O95" i="45"/>
  <c r="N95" i="45"/>
  <c r="M95" i="45"/>
  <c r="K95" i="45"/>
  <c r="O94" i="45"/>
  <c r="N94" i="45"/>
  <c r="M94" i="45"/>
  <c r="K94" i="45"/>
  <c r="O93" i="45"/>
  <c r="N93" i="45"/>
  <c r="M93" i="45"/>
  <c r="K93" i="45"/>
  <c r="O92" i="45"/>
  <c r="N92" i="45"/>
  <c r="M92" i="45"/>
  <c r="K92" i="45"/>
  <c r="O91" i="45"/>
  <c r="N91" i="45"/>
  <c r="M91" i="45"/>
  <c r="K91" i="45"/>
  <c r="O90" i="45"/>
  <c r="N90" i="45"/>
  <c r="M90" i="45"/>
  <c r="K90" i="45"/>
  <c r="O89" i="45"/>
  <c r="N89" i="45"/>
  <c r="M89" i="45"/>
  <c r="K89" i="45"/>
  <c r="O88" i="45"/>
  <c r="N88" i="45"/>
  <c r="M88" i="45"/>
  <c r="K88" i="45"/>
  <c r="O87" i="45"/>
  <c r="N87" i="45"/>
  <c r="M87" i="45"/>
  <c r="K87" i="45"/>
  <c r="O86" i="45"/>
  <c r="N86" i="45"/>
  <c r="M86" i="45"/>
  <c r="K86" i="45"/>
  <c r="O85" i="45"/>
  <c r="N85" i="45"/>
  <c r="M85" i="45"/>
  <c r="K85" i="45"/>
  <c r="O84" i="45"/>
  <c r="N84" i="45"/>
  <c r="M84" i="45"/>
  <c r="K84" i="45"/>
  <c r="O83" i="45"/>
  <c r="N83" i="45"/>
  <c r="M83" i="45"/>
  <c r="K83" i="45"/>
  <c r="O82" i="45"/>
  <c r="N82" i="45"/>
  <c r="M82" i="45"/>
  <c r="K82" i="45"/>
  <c r="O81" i="45"/>
  <c r="N81" i="45"/>
  <c r="M81" i="45"/>
  <c r="K81" i="45"/>
  <c r="O80" i="45"/>
  <c r="N80" i="45"/>
  <c r="M80" i="45"/>
  <c r="K80" i="45"/>
  <c r="O79" i="45"/>
  <c r="N79" i="45"/>
  <c r="M79" i="45"/>
  <c r="K79" i="45"/>
  <c r="O78" i="45"/>
  <c r="N78" i="45"/>
  <c r="M78" i="45"/>
  <c r="K78" i="45"/>
  <c r="O77" i="45"/>
  <c r="N77" i="45"/>
  <c r="M77" i="45"/>
  <c r="K77" i="45"/>
  <c r="O76" i="45"/>
  <c r="N76" i="45"/>
  <c r="M76" i="45"/>
  <c r="K76" i="45"/>
  <c r="O75" i="45"/>
  <c r="N75" i="45"/>
  <c r="M75" i="45"/>
  <c r="K75" i="45"/>
  <c r="O74" i="45"/>
  <c r="N74" i="45"/>
  <c r="M74" i="45"/>
  <c r="K74" i="45"/>
  <c r="O73" i="45"/>
  <c r="N73" i="45"/>
  <c r="M73" i="45"/>
  <c r="K73" i="45"/>
  <c r="O72" i="45"/>
  <c r="N72" i="45"/>
  <c r="M72" i="45"/>
  <c r="K72" i="45"/>
  <c r="O71" i="45"/>
  <c r="N71" i="45"/>
  <c r="M71" i="45"/>
  <c r="K71" i="45"/>
  <c r="O70" i="45"/>
  <c r="N70" i="45"/>
  <c r="M70" i="45"/>
  <c r="K70" i="45"/>
  <c r="O69" i="45"/>
  <c r="N69" i="45"/>
  <c r="M69" i="45"/>
  <c r="K69" i="45"/>
  <c r="O68" i="45"/>
  <c r="N68" i="45"/>
  <c r="M68" i="45"/>
  <c r="K68" i="45"/>
  <c r="O67" i="45"/>
  <c r="N67" i="45"/>
  <c r="M67" i="45"/>
  <c r="K67" i="45"/>
  <c r="O66" i="45"/>
  <c r="N66" i="45"/>
  <c r="M66" i="45"/>
  <c r="K66" i="45"/>
  <c r="O65" i="45"/>
  <c r="N65" i="45"/>
  <c r="M65" i="45"/>
  <c r="K65" i="45"/>
  <c r="O64" i="45"/>
  <c r="N64" i="45"/>
  <c r="M64" i="45"/>
  <c r="K64" i="45"/>
  <c r="O63" i="45"/>
  <c r="N63" i="45"/>
  <c r="M63" i="45"/>
  <c r="K63" i="45"/>
  <c r="O62" i="45"/>
  <c r="N62" i="45"/>
  <c r="M62" i="45"/>
  <c r="K62" i="45"/>
  <c r="O61" i="45"/>
  <c r="N61" i="45"/>
  <c r="M61" i="45"/>
  <c r="K61" i="45"/>
  <c r="O60" i="45"/>
  <c r="N60" i="45"/>
  <c r="M60" i="45"/>
  <c r="K60" i="45"/>
  <c r="O59" i="45"/>
  <c r="N59" i="45"/>
  <c r="M59" i="45"/>
  <c r="K59" i="45"/>
  <c r="O58" i="45"/>
  <c r="N58" i="45"/>
  <c r="M58" i="45"/>
  <c r="K58" i="45"/>
  <c r="O57" i="45"/>
  <c r="N57" i="45"/>
  <c r="M57" i="45"/>
  <c r="K57" i="45"/>
  <c r="O56" i="45"/>
  <c r="N56" i="45"/>
  <c r="M56" i="45"/>
  <c r="K56" i="45"/>
  <c r="O55" i="45"/>
  <c r="N55" i="45"/>
  <c r="M55" i="45"/>
  <c r="K55" i="45"/>
  <c r="O54" i="45"/>
  <c r="N54" i="45"/>
  <c r="M54" i="45"/>
  <c r="K54" i="45"/>
  <c r="O53" i="45"/>
  <c r="N53" i="45"/>
  <c r="M53" i="45"/>
  <c r="K53" i="45"/>
  <c r="O52" i="45"/>
  <c r="N52" i="45"/>
  <c r="M52" i="45"/>
  <c r="K52" i="45"/>
  <c r="O51" i="45"/>
  <c r="N51" i="45"/>
  <c r="M51" i="45"/>
  <c r="K51" i="45"/>
  <c r="O50" i="45"/>
  <c r="N50" i="45"/>
  <c r="M50" i="45"/>
  <c r="K50" i="45"/>
  <c r="O49" i="45"/>
  <c r="N49" i="45"/>
  <c r="M49" i="45"/>
  <c r="K49" i="45"/>
  <c r="O48" i="45"/>
  <c r="N48" i="45"/>
  <c r="M48" i="45"/>
  <c r="K48" i="45"/>
  <c r="O47" i="45"/>
  <c r="N47" i="45"/>
  <c r="M47" i="45"/>
  <c r="K47" i="45"/>
  <c r="O46" i="45"/>
  <c r="N46" i="45"/>
  <c r="M46" i="45"/>
  <c r="K46" i="45"/>
  <c r="O45" i="45"/>
  <c r="N45" i="45"/>
  <c r="M45" i="45"/>
  <c r="K45" i="45"/>
  <c r="O44" i="45"/>
  <c r="N44" i="45"/>
  <c r="M44" i="45"/>
  <c r="K44" i="45"/>
  <c r="O43" i="45"/>
  <c r="N43" i="45"/>
  <c r="M43" i="45"/>
  <c r="K43" i="45"/>
  <c r="O42" i="45"/>
  <c r="N42" i="45"/>
  <c r="M42" i="45"/>
  <c r="K42" i="45"/>
  <c r="O41" i="45"/>
  <c r="N41" i="45"/>
  <c r="M41" i="45"/>
  <c r="K41" i="45"/>
  <c r="O40" i="45"/>
  <c r="N40" i="45"/>
  <c r="M40" i="45"/>
  <c r="K40" i="45"/>
  <c r="O39" i="45"/>
  <c r="N39" i="45"/>
  <c r="M39" i="45"/>
  <c r="K39" i="45"/>
  <c r="O38" i="45"/>
  <c r="N38" i="45"/>
  <c r="M38" i="45"/>
  <c r="K38" i="45"/>
  <c r="O37" i="45"/>
  <c r="N37" i="45"/>
  <c r="M37" i="45"/>
  <c r="K37" i="45"/>
  <c r="O36" i="45"/>
  <c r="N36" i="45"/>
  <c r="M36" i="45"/>
  <c r="K36" i="45"/>
  <c r="O35" i="45"/>
  <c r="N35" i="45"/>
  <c r="M35" i="45"/>
  <c r="K35" i="45"/>
  <c r="O34" i="45"/>
  <c r="N34" i="45"/>
  <c r="M34" i="45"/>
  <c r="K34" i="45"/>
  <c r="O33" i="45"/>
  <c r="N33" i="45"/>
  <c r="M33" i="45"/>
  <c r="K33" i="45"/>
  <c r="O32" i="45"/>
  <c r="N32" i="45"/>
  <c r="M32" i="45"/>
  <c r="K32" i="45"/>
  <c r="O31" i="45"/>
  <c r="N31" i="45"/>
  <c r="M31" i="45"/>
  <c r="K31" i="45"/>
  <c r="O30" i="45"/>
  <c r="N30" i="45"/>
  <c r="M30" i="45"/>
  <c r="K30" i="45"/>
  <c r="O29" i="45"/>
  <c r="N29" i="45"/>
  <c r="M29" i="45"/>
  <c r="K29" i="45"/>
  <c r="O28" i="45"/>
  <c r="N28" i="45"/>
  <c r="M28" i="45"/>
  <c r="K28" i="45"/>
  <c r="O27" i="45"/>
  <c r="N27" i="45"/>
  <c r="M27" i="45"/>
  <c r="K27" i="45"/>
  <c r="O26" i="45"/>
  <c r="N26" i="45"/>
  <c r="M26" i="45"/>
  <c r="K26" i="45"/>
  <c r="O25" i="45"/>
  <c r="N25" i="45"/>
  <c r="M25" i="45"/>
  <c r="K25" i="45"/>
  <c r="O24" i="45"/>
  <c r="N24" i="45"/>
  <c r="M24" i="45"/>
  <c r="K24" i="45"/>
  <c r="O23" i="45"/>
  <c r="N23" i="45"/>
  <c r="M23" i="45"/>
  <c r="K23" i="45"/>
  <c r="O22" i="45"/>
  <c r="N22" i="45"/>
  <c r="M22" i="45"/>
  <c r="K22" i="45"/>
  <c r="O21" i="45"/>
  <c r="N21" i="45"/>
  <c r="M21" i="45"/>
  <c r="K21" i="45"/>
  <c r="O20" i="45"/>
  <c r="N20" i="45"/>
  <c r="M20" i="45"/>
  <c r="K20" i="45"/>
  <c r="O19" i="45"/>
  <c r="N19" i="45"/>
  <c r="M19" i="45"/>
  <c r="K19" i="45"/>
  <c r="O18" i="45"/>
  <c r="N18" i="45"/>
  <c r="M18" i="45"/>
  <c r="K18" i="45"/>
  <c r="O17" i="45"/>
  <c r="N17" i="45"/>
  <c r="M17" i="45"/>
  <c r="K17" i="45"/>
  <c r="O16" i="45"/>
  <c r="N16" i="45"/>
  <c r="M16" i="45"/>
  <c r="K16" i="45"/>
  <c r="O15" i="45"/>
  <c r="N15" i="45"/>
  <c r="M15" i="45"/>
  <c r="K15" i="45"/>
  <c r="O14" i="45"/>
  <c r="N14" i="45"/>
  <c r="M14" i="45"/>
  <c r="K14" i="45"/>
  <c r="O13" i="45"/>
  <c r="N13" i="45"/>
  <c r="M13" i="45"/>
  <c r="K13" i="45"/>
  <c r="O12" i="45"/>
  <c r="N12" i="45"/>
  <c r="M12" i="45"/>
  <c r="K12" i="45"/>
  <c r="O11" i="45"/>
  <c r="N11" i="45"/>
  <c r="M11" i="45"/>
  <c r="K11" i="45"/>
  <c r="O10" i="45"/>
  <c r="N10" i="45"/>
  <c r="M10" i="45"/>
  <c r="K10" i="45"/>
  <c r="O9" i="45"/>
  <c r="N9" i="45"/>
  <c r="M9" i="45"/>
  <c r="K9" i="45"/>
  <c r="O8" i="45"/>
  <c r="N8" i="45"/>
  <c r="M8" i="45"/>
  <c r="K8" i="45"/>
  <c r="O7" i="45"/>
  <c r="N7" i="45"/>
  <c r="M7" i="45"/>
  <c r="K7" i="45"/>
  <c r="O6" i="45"/>
  <c r="N6" i="45"/>
  <c r="M6" i="45"/>
  <c r="K6" i="45"/>
  <c r="O5" i="45"/>
  <c r="N5" i="45"/>
  <c r="M5" i="45"/>
  <c r="K5" i="45"/>
  <c r="O4" i="45"/>
  <c r="N4" i="45"/>
  <c r="M4" i="45"/>
  <c r="K4" i="45"/>
  <c r="O3" i="45"/>
  <c r="N3" i="45"/>
  <c r="M3" i="45"/>
  <c r="K3" i="45"/>
  <c r="O2" i="45"/>
  <c r="N2" i="45"/>
  <c r="M2" i="45"/>
  <c r="K2" i="45"/>
  <c r="I9" i="36"/>
  <c r="I6" i="36"/>
  <c r="I5" i="36"/>
  <c r="I4" i="36"/>
  <c r="I3" i="36"/>
  <c r="I2" i="36"/>
  <c r="D11" i="33"/>
  <c r="J55" i="32"/>
  <c r="J54" i="32"/>
  <c r="J53" i="32"/>
  <c r="J45" i="32"/>
  <c r="J44" i="32"/>
  <c r="J43" i="32"/>
  <c r="J42" i="32"/>
  <c r="J41" i="32"/>
  <c r="J40" i="32"/>
  <c r="J39" i="32"/>
  <c r="J32" i="32"/>
  <c r="K25" i="32"/>
  <c r="K23" i="32"/>
  <c r="N21" i="32"/>
  <c r="K21" i="32"/>
  <c r="J21" i="32"/>
  <c r="J20" i="32"/>
  <c r="J19" i="32"/>
  <c r="J18" i="32"/>
  <c r="J17" i="32"/>
  <c r="J16" i="32"/>
  <c r="K15" i="32"/>
  <c r="J15" i="32"/>
  <c r="K14" i="32"/>
  <c r="J14" i="32"/>
  <c r="J9" i="32"/>
  <c r="I9" i="32"/>
  <c r="J8" i="32"/>
  <c r="I8" i="32"/>
  <c r="J7" i="32"/>
  <c r="I7" i="32"/>
  <c r="J6" i="32"/>
  <c r="I6" i="32"/>
  <c r="J5" i="32"/>
  <c r="I5" i="32"/>
  <c r="J4" i="32"/>
  <c r="I4" i="32"/>
  <c r="J3" i="32"/>
  <c r="I3" i="32"/>
  <c r="I21" i="31"/>
  <c r="K7" i="31"/>
  <c r="M100" i="27"/>
  <c r="L100" i="27"/>
  <c r="M99" i="27"/>
  <c r="L99" i="27"/>
  <c r="M98" i="27"/>
  <c r="L98" i="27"/>
  <c r="M97" i="27"/>
  <c r="L97" i="27"/>
  <c r="M96" i="27"/>
  <c r="L96" i="27"/>
  <c r="M95" i="27"/>
  <c r="L95" i="27"/>
  <c r="M94" i="27"/>
  <c r="L94" i="27"/>
  <c r="M93" i="27"/>
  <c r="L93" i="27"/>
  <c r="M92" i="27"/>
  <c r="L92" i="27"/>
  <c r="M91" i="27"/>
  <c r="L91" i="27"/>
  <c r="M90" i="27"/>
  <c r="L90" i="27"/>
  <c r="M89" i="27"/>
  <c r="L89" i="27"/>
  <c r="M88" i="27"/>
  <c r="L88" i="27"/>
  <c r="M87" i="27"/>
  <c r="L87" i="27"/>
  <c r="M86" i="27"/>
  <c r="L86" i="27"/>
  <c r="M85" i="27"/>
  <c r="L85" i="27"/>
  <c r="M84" i="27"/>
  <c r="L84" i="27"/>
  <c r="M83" i="27"/>
  <c r="L83" i="27"/>
  <c r="M82" i="27"/>
  <c r="L82" i="27"/>
  <c r="M81" i="27"/>
  <c r="L81" i="27"/>
  <c r="M80" i="27"/>
  <c r="L80" i="27"/>
  <c r="M79" i="27"/>
  <c r="L79" i="27"/>
  <c r="M78" i="27"/>
  <c r="L78" i="27"/>
  <c r="M77" i="27"/>
  <c r="L77" i="27"/>
  <c r="M76" i="27"/>
  <c r="L76" i="27"/>
  <c r="M75" i="27"/>
  <c r="L75" i="27"/>
  <c r="M74" i="27"/>
  <c r="L74" i="27"/>
  <c r="M73" i="27"/>
  <c r="L73" i="27"/>
  <c r="M72" i="27"/>
  <c r="L72" i="27"/>
  <c r="M71" i="27"/>
  <c r="L71" i="27"/>
  <c r="M70" i="27"/>
  <c r="L70" i="27"/>
  <c r="M69" i="27"/>
  <c r="L69" i="27"/>
  <c r="M68" i="27"/>
  <c r="L68" i="27"/>
  <c r="M67" i="27"/>
  <c r="L67" i="27"/>
  <c r="M66" i="27"/>
  <c r="L66" i="27"/>
  <c r="M65" i="27"/>
  <c r="L65" i="27"/>
  <c r="M64" i="27"/>
  <c r="L64" i="27"/>
  <c r="M63" i="27"/>
  <c r="L63" i="27"/>
  <c r="M62" i="27"/>
  <c r="M61" i="27"/>
  <c r="L61" i="27"/>
  <c r="M60" i="27"/>
  <c r="L60" i="27"/>
  <c r="M59" i="27"/>
  <c r="L59" i="27"/>
  <c r="M58" i="27"/>
  <c r="L58" i="27"/>
  <c r="M57" i="27"/>
  <c r="L57" i="27"/>
  <c r="M56" i="27"/>
  <c r="L56" i="27"/>
  <c r="M55" i="27"/>
  <c r="L55" i="27"/>
  <c r="M54" i="27"/>
  <c r="L54" i="27"/>
  <c r="M53" i="27"/>
  <c r="L53" i="27"/>
  <c r="M52" i="27"/>
  <c r="L52" i="27"/>
  <c r="M51" i="27"/>
  <c r="L51" i="27"/>
  <c r="M50" i="27"/>
  <c r="L50" i="27"/>
  <c r="M49" i="27"/>
  <c r="L49" i="27"/>
  <c r="M48" i="27"/>
  <c r="L48" i="27"/>
  <c r="M47" i="27"/>
  <c r="L47" i="27"/>
  <c r="M46" i="27"/>
  <c r="L46" i="27"/>
  <c r="M45" i="27"/>
  <c r="L45" i="27"/>
  <c r="M44" i="27"/>
  <c r="L44" i="27"/>
  <c r="M43" i="27"/>
  <c r="L43" i="27"/>
  <c r="M42" i="27"/>
  <c r="L42" i="27"/>
  <c r="M41" i="27"/>
  <c r="L41" i="27"/>
  <c r="M40" i="27"/>
  <c r="L40" i="27"/>
  <c r="M39" i="27"/>
  <c r="L39" i="27"/>
  <c r="M38" i="27"/>
  <c r="L38" i="27"/>
  <c r="M37" i="27"/>
  <c r="L37" i="27"/>
  <c r="M36" i="27"/>
  <c r="M35" i="27"/>
  <c r="M34" i="27"/>
  <c r="M33" i="27"/>
  <c r="M32" i="27"/>
  <c r="L32" i="27"/>
  <c r="M31" i="27"/>
  <c r="L31" i="27"/>
  <c r="M30" i="27"/>
  <c r="M29" i="27"/>
  <c r="M28" i="27"/>
  <c r="M27" i="27"/>
  <c r="M26" i="27"/>
  <c r="M25" i="27"/>
  <c r="M24" i="27"/>
  <c r="M23" i="27"/>
  <c r="M22" i="27"/>
  <c r="M21" i="27"/>
  <c r="M20" i="27"/>
  <c r="M19" i="27"/>
  <c r="M18" i="27"/>
  <c r="L18" i="27"/>
  <c r="M17" i="27"/>
  <c r="L17" i="27"/>
  <c r="M16" i="27"/>
  <c r="M15" i="27"/>
  <c r="M14" i="27"/>
  <c r="M13" i="27"/>
  <c r="M12" i="27"/>
  <c r="L12" i="27"/>
  <c r="M11" i="27"/>
  <c r="M10" i="27"/>
  <c r="M9" i="27"/>
  <c r="M8" i="27"/>
  <c r="M7" i="27"/>
  <c r="M6" i="27"/>
  <c r="M5" i="27"/>
  <c r="L5" i="27"/>
  <c r="M4" i="27"/>
  <c r="M3" i="27"/>
  <c r="M2" i="27"/>
  <c r="T79" i="19"/>
  <c r="S79" i="19"/>
  <c r="R79" i="19"/>
  <c r="G79" i="19"/>
  <c r="T78" i="19"/>
  <c r="S78" i="19"/>
  <c r="R78" i="19"/>
  <c r="G78" i="19"/>
  <c r="T77" i="19"/>
  <c r="S77" i="19"/>
  <c r="R77" i="19"/>
  <c r="G77" i="19"/>
  <c r="T76" i="19"/>
  <c r="S76" i="19"/>
  <c r="R76" i="19"/>
  <c r="G76" i="19"/>
  <c r="T75" i="19"/>
  <c r="S75" i="19"/>
  <c r="R75" i="19"/>
  <c r="G75" i="19"/>
  <c r="T74" i="19"/>
  <c r="S74" i="19"/>
  <c r="R74" i="19"/>
  <c r="G74" i="19"/>
  <c r="T73" i="19"/>
  <c r="S73" i="19"/>
  <c r="R73" i="19"/>
  <c r="G73" i="19"/>
  <c r="T72" i="19"/>
  <c r="S72" i="19"/>
  <c r="R72" i="19"/>
  <c r="G72" i="19"/>
  <c r="T71" i="19"/>
  <c r="S71" i="19"/>
  <c r="R71" i="19"/>
  <c r="G71" i="19"/>
  <c r="T70" i="19"/>
  <c r="S70" i="19"/>
  <c r="R70" i="19"/>
  <c r="G70" i="19"/>
  <c r="T69" i="19"/>
  <c r="S69" i="19"/>
  <c r="R69" i="19"/>
  <c r="G69" i="19"/>
  <c r="T68" i="19"/>
  <c r="S68" i="19"/>
  <c r="R68" i="19"/>
  <c r="G68" i="19"/>
  <c r="T67" i="19"/>
  <c r="S67" i="19"/>
  <c r="R67" i="19"/>
  <c r="G67" i="19"/>
  <c r="T66" i="19"/>
  <c r="S66" i="19"/>
  <c r="R66" i="19"/>
  <c r="G66" i="19"/>
  <c r="T65" i="19"/>
  <c r="S65" i="19"/>
  <c r="R65" i="19"/>
  <c r="G65" i="19"/>
  <c r="T64" i="19"/>
  <c r="S64" i="19"/>
  <c r="R64" i="19"/>
  <c r="G64" i="19"/>
  <c r="T63" i="19"/>
  <c r="S63" i="19"/>
  <c r="R63" i="19"/>
  <c r="Q63" i="19"/>
  <c r="I63" i="19"/>
  <c r="G63" i="19"/>
  <c r="T62" i="19"/>
  <c r="S62" i="19"/>
  <c r="R62" i="19"/>
  <c r="G62" i="19"/>
  <c r="T61" i="19"/>
  <c r="S61" i="19"/>
  <c r="R61" i="19"/>
  <c r="G61" i="19"/>
  <c r="T60" i="19"/>
  <c r="S60" i="19"/>
  <c r="R60" i="19"/>
  <c r="G60" i="19"/>
  <c r="T59" i="19"/>
  <c r="S59" i="19"/>
  <c r="R59" i="19"/>
  <c r="G59" i="19"/>
  <c r="T58" i="19"/>
  <c r="S58" i="19"/>
  <c r="R58" i="19"/>
  <c r="G58" i="19"/>
  <c r="T57" i="19"/>
  <c r="S57" i="19"/>
  <c r="R57" i="19"/>
  <c r="G57" i="19"/>
  <c r="T56" i="19"/>
  <c r="S56" i="19"/>
  <c r="R56" i="19"/>
  <c r="G56" i="19"/>
  <c r="T55" i="19"/>
  <c r="S55" i="19"/>
  <c r="R55" i="19"/>
  <c r="G55" i="19"/>
  <c r="T54" i="19"/>
  <c r="S54" i="19"/>
  <c r="R54" i="19"/>
  <c r="G54" i="19"/>
  <c r="T53" i="19"/>
  <c r="S53" i="19"/>
  <c r="R53" i="19"/>
  <c r="G53" i="19"/>
  <c r="T52" i="19"/>
  <c r="S52" i="19"/>
  <c r="R52" i="19"/>
  <c r="G52" i="19"/>
  <c r="T51" i="19"/>
  <c r="S51" i="19"/>
  <c r="R51" i="19"/>
  <c r="G51" i="19"/>
  <c r="T50" i="19"/>
  <c r="S50" i="19"/>
  <c r="R50" i="19"/>
  <c r="G50" i="19"/>
  <c r="T49" i="19"/>
  <c r="S49" i="19"/>
  <c r="R49" i="19"/>
  <c r="G49" i="19"/>
  <c r="T48" i="19"/>
  <c r="S48" i="19"/>
  <c r="R48" i="19"/>
  <c r="G48" i="19"/>
  <c r="T47" i="19"/>
  <c r="S47" i="19"/>
  <c r="R47" i="19"/>
  <c r="G47" i="19"/>
  <c r="T46" i="19"/>
  <c r="S46" i="19"/>
  <c r="R46" i="19"/>
  <c r="G46" i="19"/>
  <c r="T45" i="19"/>
  <c r="S45" i="19"/>
  <c r="R45" i="19"/>
  <c r="G45" i="19"/>
  <c r="T44" i="19"/>
  <c r="S44" i="19"/>
  <c r="R44" i="19"/>
  <c r="G44" i="19"/>
  <c r="T43" i="19"/>
  <c r="S43" i="19"/>
  <c r="R43" i="19"/>
  <c r="G43" i="19"/>
  <c r="T42" i="19"/>
  <c r="S42" i="19"/>
  <c r="R42" i="19"/>
  <c r="G42" i="19"/>
  <c r="T41" i="19"/>
  <c r="S41" i="19"/>
  <c r="R41" i="19"/>
  <c r="G41" i="19"/>
  <c r="T40" i="19"/>
  <c r="S40" i="19"/>
  <c r="R40" i="19"/>
  <c r="G40" i="19"/>
  <c r="T39" i="19"/>
  <c r="S39" i="19"/>
  <c r="R39" i="19"/>
  <c r="G39" i="19"/>
  <c r="T38" i="19"/>
  <c r="S38" i="19"/>
  <c r="R38" i="19"/>
  <c r="G38" i="19"/>
  <c r="T37" i="19"/>
  <c r="S37" i="19"/>
  <c r="R37" i="19"/>
  <c r="G37" i="19"/>
  <c r="T36" i="19"/>
  <c r="S36" i="19"/>
  <c r="R36" i="19"/>
  <c r="G36" i="19"/>
  <c r="T35" i="19"/>
  <c r="S35" i="19"/>
  <c r="R35" i="19"/>
  <c r="G35" i="19"/>
  <c r="T34" i="19"/>
  <c r="S34" i="19"/>
  <c r="R34" i="19"/>
  <c r="G34" i="19"/>
  <c r="T33" i="19"/>
  <c r="S33" i="19"/>
  <c r="R33" i="19"/>
  <c r="G33" i="19"/>
  <c r="T32" i="19"/>
  <c r="S32" i="19"/>
  <c r="R32" i="19"/>
  <c r="G32" i="19"/>
  <c r="T31" i="19"/>
  <c r="S31" i="19"/>
  <c r="R31" i="19"/>
  <c r="G31" i="19"/>
  <c r="T30" i="19"/>
  <c r="S30" i="19"/>
  <c r="R30" i="19"/>
  <c r="G30" i="19"/>
  <c r="T29" i="19"/>
  <c r="S29" i="19"/>
  <c r="R29" i="19"/>
  <c r="G29" i="19"/>
  <c r="T28" i="19"/>
  <c r="S28" i="19"/>
  <c r="R28" i="19"/>
  <c r="G28" i="19"/>
  <c r="T27" i="19"/>
  <c r="S27" i="19"/>
  <c r="R27" i="19"/>
  <c r="G27" i="19"/>
  <c r="T26" i="19"/>
  <c r="S26" i="19"/>
  <c r="R26" i="19"/>
  <c r="G26" i="19"/>
  <c r="T25" i="19"/>
  <c r="S25" i="19"/>
  <c r="R25" i="19"/>
  <c r="G25" i="19"/>
  <c r="T24" i="19"/>
  <c r="S24" i="19"/>
  <c r="R24" i="19"/>
  <c r="G24" i="19"/>
  <c r="T23" i="19"/>
  <c r="S23" i="19"/>
  <c r="R23" i="19"/>
  <c r="G23" i="19"/>
  <c r="T22" i="19"/>
  <c r="S22" i="19"/>
  <c r="R22" i="19"/>
  <c r="G22" i="19"/>
  <c r="T21" i="19"/>
  <c r="S21" i="19"/>
  <c r="R21" i="19"/>
  <c r="G21" i="19"/>
  <c r="T20" i="19"/>
  <c r="S20" i="19"/>
  <c r="R20" i="19"/>
  <c r="G20" i="19"/>
  <c r="T19" i="19"/>
  <c r="S19" i="19"/>
  <c r="R19" i="19"/>
  <c r="G19" i="19"/>
  <c r="T18" i="19"/>
  <c r="S18" i="19"/>
  <c r="R18" i="19"/>
  <c r="G18" i="19"/>
  <c r="T17" i="19"/>
  <c r="S17" i="19"/>
  <c r="R17" i="19"/>
  <c r="G17" i="19"/>
  <c r="T16" i="19"/>
  <c r="S16" i="19"/>
  <c r="R16" i="19"/>
  <c r="G16" i="19"/>
  <c r="T15" i="19"/>
  <c r="S15" i="19"/>
  <c r="R15" i="19"/>
  <c r="G15" i="19"/>
  <c r="T14" i="19"/>
  <c r="S14" i="19"/>
  <c r="R14" i="19"/>
  <c r="G14" i="19"/>
  <c r="T13" i="19"/>
  <c r="S13" i="19"/>
  <c r="R13" i="19"/>
  <c r="G13" i="19"/>
  <c r="T12" i="19"/>
  <c r="S12" i="19"/>
  <c r="R12" i="19"/>
  <c r="G12" i="19"/>
  <c r="T11" i="19"/>
  <c r="S11" i="19"/>
  <c r="R11" i="19"/>
  <c r="G11" i="19"/>
  <c r="T10" i="19"/>
  <c r="S10" i="19"/>
  <c r="R10" i="19"/>
  <c r="G10" i="19"/>
  <c r="T9" i="19"/>
  <c r="S9" i="19"/>
  <c r="R9" i="19"/>
  <c r="G9" i="19"/>
  <c r="T8" i="19"/>
  <c r="S8" i="19"/>
  <c r="R8" i="19"/>
  <c r="G8" i="19"/>
  <c r="T7" i="19"/>
  <c r="S7" i="19"/>
  <c r="R7" i="19"/>
  <c r="G7" i="19"/>
  <c r="T6" i="19"/>
  <c r="S6" i="19"/>
  <c r="R6" i="19"/>
  <c r="G6" i="19"/>
  <c r="T5" i="19"/>
  <c r="S5" i="19"/>
  <c r="R5" i="19"/>
  <c r="G5" i="19"/>
  <c r="T4" i="19"/>
  <c r="S4" i="19"/>
  <c r="R4" i="19"/>
  <c r="Q4" i="19"/>
  <c r="I4" i="19"/>
  <c r="G4" i="19"/>
  <c r="T3" i="19"/>
  <c r="S3" i="19"/>
  <c r="R3" i="19"/>
  <c r="G3" i="19"/>
  <c r="T2" i="19"/>
  <c r="S2" i="19"/>
  <c r="R2" i="19"/>
  <c r="G2" i="19"/>
  <c r="M390" i="15"/>
  <c r="M389" i="15"/>
  <c r="M388" i="15"/>
  <c r="M387" i="15"/>
  <c r="M386" i="15"/>
  <c r="M385" i="15"/>
  <c r="M384" i="15"/>
  <c r="M383" i="15"/>
  <c r="M382" i="15"/>
  <c r="M381" i="15"/>
  <c r="M380" i="15"/>
  <c r="M379" i="15"/>
  <c r="M378" i="15"/>
  <c r="M377" i="15"/>
  <c r="M376" i="15"/>
  <c r="M375" i="15"/>
  <c r="M374" i="15"/>
  <c r="M373" i="15"/>
  <c r="M372" i="15"/>
  <c r="M371" i="15"/>
  <c r="M370" i="15"/>
  <c r="M369" i="15"/>
  <c r="M368" i="15"/>
  <c r="M367" i="15"/>
  <c r="M366" i="15"/>
  <c r="M365" i="15"/>
  <c r="M364" i="15"/>
  <c r="M363" i="15"/>
  <c r="M362" i="15"/>
  <c r="M361" i="15"/>
  <c r="M360" i="15"/>
  <c r="M359" i="15"/>
  <c r="M358" i="15"/>
  <c r="M357" i="15"/>
  <c r="M356" i="15"/>
  <c r="M355" i="15"/>
  <c r="M354" i="15"/>
  <c r="M353" i="15"/>
  <c r="M352" i="15"/>
  <c r="M351" i="15"/>
  <c r="M350" i="15"/>
  <c r="M349" i="15"/>
  <c r="M348" i="15"/>
  <c r="M347" i="15"/>
  <c r="M346" i="15"/>
  <c r="M345" i="15"/>
  <c r="M344" i="15"/>
  <c r="M343" i="15"/>
  <c r="M342" i="15"/>
  <c r="M341" i="15"/>
  <c r="M340" i="15"/>
  <c r="M339" i="15"/>
  <c r="M338" i="15"/>
  <c r="M337" i="15"/>
  <c r="M336" i="15"/>
  <c r="M335" i="15"/>
  <c r="M334" i="15"/>
  <c r="M333" i="15"/>
  <c r="M332" i="15"/>
  <c r="M331" i="15"/>
  <c r="M330" i="15"/>
  <c r="M329" i="15"/>
  <c r="M328" i="15"/>
  <c r="M327" i="15"/>
  <c r="M326" i="15"/>
  <c r="M325" i="15"/>
  <c r="M324" i="15"/>
  <c r="M323" i="15"/>
  <c r="M322" i="15"/>
  <c r="M321" i="15"/>
  <c r="M320" i="15"/>
  <c r="M319" i="15"/>
  <c r="M318" i="15"/>
  <c r="M317" i="15"/>
  <c r="M316" i="15"/>
  <c r="M315" i="15"/>
  <c r="M314" i="15"/>
  <c r="M313" i="15"/>
  <c r="M312" i="15"/>
  <c r="M311" i="15"/>
  <c r="M310" i="15"/>
  <c r="M309" i="15"/>
  <c r="M308" i="15"/>
  <c r="M307" i="15"/>
  <c r="M306" i="15"/>
  <c r="M305" i="15"/>
  <c r="M304" i="15"/>
  <c r="M303" i="15"/>
  <c r="M302" i="15"/>
  <c r="M301" i="15"/>
  <c r="M300" i="15"/>
  <c r="M299" i="15"/>
  <c r="M298" i="15"/>
  <c r="M297" i="15"/>
  <c r="M296" i="15"/>
  <c r="M295" i="15"/>
  <c r="M294" i="15"/>
  <c r="M293" i="15"/>
  <c r="M292" i="15"/>
  <c r="M291" i="15"/>
  <c r="M290" i="15"/>
  <c r="M289" i="15"/>
  <c r="M288" i="15"/>
  <c r="M287" i="15"/>
  <c r="M286" i="15"/>
  <c r="M285" i="15"/>
  <c r="M284" i="15"/>
  <c r="M283" i="15"/>
  <c r="M282" i="15"/>
  <c r="M281" i="15"/>
  <c r="M280" i="15"/>
  <c r="M279" i="15"/>
  <c r="M278" i="15"/>
  <c r="M277" i="15"/>
  <c r="M276" i="15"/>
  <c r="M275" i="15"/>
  <c r="M274" i="15"/>
  <c r="M273" i="15"/>
  <c r="M272" i="15"/>
  <c r="M271" i="15"/>
  <c r="M270" i="15"/>
  <c r="M269" i="15"/>
  <c r="M268" i="15"/>
  <c r="M267" i="15"/>
  <c r="M266" i="15"/>
  <c r="M265" i="15"/>
  <c r="M264" i="15"/>
  <c r="M263" i="15"/>
  <c r="M262" i="15"/>
  <c r="M261" i="15"/>
  <c r="M260" i="15"/>
  <c r="M259" i="15"/>
  <c r="M258" i="15"/>
  <c r="M257" i="15"/>
  <c r="M256" i="15"/>
  <c r="M255" i="15"/>
  <c r="M254" i="15"/>
  <c r="M253" i="15"/>
  <c r="M252" i="15"/>
  <c r="M251" i="15"/>
  <c r="M250" i="15"/>
  <c r="M249" i="15"/>
  <c r="M248" i="15"/>
  <c r="M247" i="15"/>
  <c r="M246" i="15"/>
  <c r="M245" i="15"/>
  <c r="M244" i="15"/>
  <c r="M243" i="15"/>
  <c r="M242" i="15"/>
  <c r="M241" i="15"/>
  <c r="M240" i="15"/>
  <c r="M239" i="15"/>
  <c r="M238" i="15"/>
  <c r="M237" i="15"/>
  <c r="M236" i="15"/>
  <c r="M235" i="15"/>
  <c r="M234" i="15"/>
  <c r="M233" i="15"/>
  <c r="M232" i="15"/>
  <c r="M231" i="15"/>
  <c r="M230" i="15"/>
  <c r="M229" i="15"/>
  <c r="M228" i="15"/>
  <c r="M227" i="15"/>
  <c r="M226" i="15"/>
  <c r="M225" i="15"/>
  <c r="M224" i="15"/>
  <c r="M223" i="15"/>
  <c r="M222" i="15"/>
  <c r="M221" i="15"/>
  <c r="M220" i="15"/>
  <c r="M219" i="15"/>
  <c r="M218" i="15"/>
  <c r="M217" i="15"/>
  <c r="M216" i="15"/>
  <c r="M215" i="15"/>
  <c r="M214" i="15"/>
  <c r="M213" i="15"/>
  <c r="M212" i="15"/>
  <c r="M211" i="15"/>
  <c r="M210" i="15"/>
  <c r="M209" i="15"/>
  <c r="M208" i="15"/>
  <c r="M207" i="15"/>
  <c r="M206" i="15"/>
  <c r="M205" i="15"/>
  <c r="M204" i="15"/>
  <c r="M203" i="15"/>
  <c r="M202" i="15"/>
  <c r="M201" i="15"/>
  <c r="M200" i="15"/>
  <c r="M199" i="15"/>
  <c r="M198" i="15"/>
  <c r="M197" i="15"/>
  <c r="M196" i="15"/>
  <c r="M195" i="15"/>
  <c r="M194" i="15"/>
  <c r="M193" i="15"/>
  <c r="M192" i="15"/>
  <c r="M191" i="15"/>
  <c r="M190" i="15"/>
  <c r="M189" i="15"/>
  <c r="M188" i="15"/>
  <c r="M187" i="15"/>
  <c r="M186" i="15"/>
  <c r="M185" i="15"/>
  <c r="M184" i="15"/>
  <c r="M183" i="15"/>
  <c r="M182" i="15"/>
  <c r="M168" i="15"/>
  <c r="M167" i="15"/>
  <c r="M166" i="15"/>
  <c r="M165" i="15"/>
  <c r="M164" i="15"/>
  <c r="M163" i="15"/>
  <c r="M162" i="15"/>
  <c r="M161" i="15"/>
  <c r="M159" i="15"/>
  <c r="M158" i="15"/>
  <c r="M157" i="15"/>
  <c r="M156" i="15"/>
  <c r="M155" i="15"/>
  <c r="M154" i="15"/>
  <c r="M153" i="15"/>
  <c r="M152" i="15"/>
  <c r="M151" i="15"/>
  <c r="M150" i="15"/>
  <c r="M149" i="15"/>
  <c r="M148" i="15"/>
  <c r="M147" i="15"/>
  <c r="M146" i="15"/>
  <c r="M145" i="15"/>
  <c r="M144" i="15"/>
  <c r="M143" i="15"/>
  <c r="M142" i="15"/>
  <c r="M141" i="15"/>
  <c r="M140" i="15"/>
  <c r="M139" i="15"/>
  <c r="M138" i="15"/>
  <c r="M137" i="15"/>
  <c r="M136" i="15"/>
  <c r="M135" i="15"/>
  <c r="M134" i="15"/>
  <c r="M133" i="15"/>
  <c r="M132" i="15"/>
  <c r="M131" i="15"/>
  <c r="M130" i="15"/>
  <c r="M129" i="15"/>
  <c r="M128" i="15"/>
  <c r="M127" i="15"/>
  <c r="M126" i="15"/>
  <c r="M125" i="15"/>
  <c r="M124" i="15"/>
  <c r="M123" i="15"/>
  <c r="M122" i="15"/>
  <c r="M121" i="15"/>
  <c r="M120" i="15"/>
  <c r="M119" i="15"/>
  <c r="M118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M105" i="15"/>
  <c r="M104" i="15"/>
  <c r="M103" i="15"/>
  <c r="M102" i="15"/>
  <c r="M101" i="15"/>
  <c r="M100" i="15"/>
  <c r="M99" i="15"/>
  <c r="M98" i="15"/>
  <c r="M97" i="15"/>
  <c r="M96" i="15"/>
  <c r="M95" i="15"/>
  <c r="M94" i="15"/>
  <c r="M93" i="15"/>
  <c r="M92" i="15"/>
  <c r="M91" i="15"/>
  <c r="M90" i="15"/>
  <c r="M89" i="15"/>
  <c r="M88" i="15"/>
  <c r="M87" i="15"/>
  <c r="M86" i="15"/>
  <c r="M85" i="15"/>
  <c r="M84" i="15"/>
  <c r="M83" i="15"/>
  <c r="M82" i="15"/>
  <c r="M81" i="15"/>
  <c r="M80" i="15"/>
  <c r="M79" i="15"/>
  <c r="M78" i="15"/>
  <c r="M77" i="15"/>
  <c r="M76" i="15"/>
  <c r="M75" i="15"/>
  <c r="M74" i="15"/>
  <c r="M73" i="15"/>
  <c r="M72" i="15"/>
  <c r="M71" i="15"/>
  <c r="M70" i="15"/>
  <c r="M69" i="15"/>
  <c r="M68" i="15"/>
  <c r="M67" i="15"/>
  <c r="M66" i="15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4" i="15"/>
  <c r="M3" i="15"/>
  <c r="M2" i="15"/>
  <c r="M503" i="13"/>
  <c r="M502" i="13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M109" i="13"/>
  <c r="M108" i="13"/>
  <c r="M107" i="13"/>
  <c r="M106" i="13"/>
  <c r="M105" i="13"/>
  <c r="M104" i="13"/>
  <c r="M103" i="13"/>
  <c r="M102" i="13"/>
  <c r="M101" i="13"/>
  <c r="M100" i="13"/>
  <c r="M99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U454" i="12"/>
  <c r="T454" i="12"/>
  <c r="R454" i="12"/>
  <c r="M454" i="12"/>
  <c r="U453" i="12"/>
  <c r="T453" i="12"/>
  <c r="R453" i="12"/>
  <c r="M453" i="12"/>
  <c r="U452" i="12"/>
  <c r="T452" i="12"/>
  <c r="R452" i="12"/>
  <c r="M452" i="12"/>
  <c r="U451" i="12"/>
  <c r="T451" i="12"/>
  <c r="R451" i="12"/>
  <c r="M451" i="12"/>
  <c r="U450" i="12"/>
  <c r="T450" i="12"/>
  <c r="R450" i="12"/>
  <c r="M450" i="12"/>
  <c r="U449" i="12"/>
  <c r="T449" i="12"/>
  <c r="R449" i="12"/>
  <c r="M449" i="12"/>
  <c r="U448" i="12"/>
  <c r="T448" i="12"/>
  <c r="R448" i="12"/>
  <c r="M448" i="12"/>
  <c r="U447" i="12"/>
  <c r="T447" i="12"/>
  <c r="R447" i="12"/>
  <c r="M447" i="12"/>
  <c r="U446" i="12"/>
  <c r="T446" i="12"/>
  <c r="R446" i="12"/>
  <c r="M446" i="12"/>
  <c r="U445" i="12"/>
  <c r="T445" i="12"/>
  <c r="R445" i="12"/>
  <c r="M445" i="12"/>
  <c r="U444" i="12"/>
  <c r="T444" i="12"/>
  <c r="R444" i="12"/>
  <c r="M444" i="12"/>
  <c r="U443" i="12"/>
  <c r="T443" i="12"/>
  <c r="R443" i="12"/>
  <c r="M443" i="12"/>
  <c r="U442" i="12"/>
  <c r="T442" i="12"/>
  <c r="R442" i="12"/>
  <c r="M442" i="12"/>
  <c r="U441" i="12"/>
  <c r="T441" i="12"/>
  <c r="R441" i="12"/>
  <c r="M441" i="12"/>
  <c r="U440" i="12"/>
  <c r="T440" i="12"/>
  <c r="R440" i="12"/>
  <c r="M440" i="12"/>
  <c r="U439" i="12"/>
  <c r="T439" i="12"/>
  <c r="R439" i="12"/>
  <c r="M439" i="12"/>
  <c r="U438" i="12"/>
  <c r="T438" i="12"/>
  <c r="R438" i="12"/>
  <c r="M438" i="12"/>
  <c r="U437" i="12"/>
  <c r="T437" i="12"/>
  <c r="R437" i="12"/>
  <c r="M437" i="12"/>
  <c r="U436" i="12"/>
  <c r="T436" i="12"/>
  <c r="R436" i="12"/>
  <c r="M436" i="12"/>
  <c r="U435" i="12"/>
  <c r="T435" i="12"/>
  <c r="R435" i="12"/>
  <c r="M435" i="12"/>
  <c r="U434" i="12"/>
  <c r="T434" i="12"/>
  <c r="R434" i="12"/>
  <c r="M434" i="12"/>
  <c r="U433" i="12"/>
  <c r="T433" i="12"/>
  <c r="R433" i="12"/>
  <c r="M433" i="12"/>
  <c r="U432" i="12"/>
  <c r="T432" i="12"/>
  <c r="R432" i="12"/>
  <c r="M432" i="12"/>
  <c r="U431" i="12"/>
  <c r="T431" i="12"/>
  <c r="R431" i="12"/>
  <c r="M431" i="12"/>
  <c r="U430" i="12"/>
  <c r="T430" i="12"/>
  <c r="R430" i="12"/>
  <c r="M430" i="12"/>
  <c r="U429" i="12"/>
  <c r="T429" i="12"/>
  <c r="R429" i="12"/>
  <c r="M429" i="12"/>
  <c r="U428" i="12"/>
  <c r="T428" i="12"/>
  <c r="R428" i="12"/>
  <c r="M428" i="12"/>
  <c r="U427" i="12"/>
  <c r="T427" i="12"/>
  <c r="R427" i="12"/>
  <c r="M427" i="12"/>
  <c r="U426" i="12"/>
  <c r="T426" i="12"/>
  <c r="R426" i="12"/>
  <c r="M426" i="12"/>
  <c r="U425" i="12"/>
  <c r="T425" i="12"/>
  <c r="R425" i="12"/>
  <c r="M425" i="12"/>
  <c r="U424" i="12"/>
  <c r="T424" i="12"/>
  <c r="R424" i="12"/>
  <c r="M424" i="12"/>
  <c r="U423" i="12"/>
  <c r="T423" i="12"/>
  <c r="R423" i="12"/>
  <c r="M423" i="12"/>
  <c r="U422" i="12"/>
  <c r="T422" i="12"/>
  <c r="R422" i="12"/>
  <c r="M422" i="12"/>
  <c r="U421" i="12"/>
  <c r="T421" i="12"/>
  <c r="R421" i="12"/>
  <c r="M421" i="12"/>
  <c r="U420" i="12"/>
  <c r="T420" i="12"/>
  <c r="R420" i="12"/>
  <c r="M420" i="12"/>
  <c r="U419" i="12"/>
  <c r="T419" i="12"/>
  <c r="M419" i="12"/>
  <c r="U418" i="12"/>
  <c r="T418" i="12"/>
  <c r="R418" i="12"/>
  <c r="M418" i="12"/>
  <c r="U417" i="12"/>
  <c r="T417" i="12"/>
  <c r="R417" i="12"/>
  <c r="M417" i="12"/>
  <c r="U416" i="12"/>
  <c r="T416" i="12"/>
  <c r="R416" i="12"/>
  <c r="M416" i="12"/>
  <c r="U415" i="12"/>
  <c r="T415" i="12"/>
  <c r="R415" i="12"/>
  <c r="M415" i="12"/>
  <c r="U414" i="12"/>
  <c r="T414" i="12"/>
  <c r="R414" i="12"/>
  <c r="M414" i="12"/>
  <c r="U413" i="12"/>
  <c r="T413" i="12"/>
  <c r="R413" i="12"/>
  <c r="M413" i="12"/>
  <c r="U412" i="12"/>
  <c r="T412" i="12"/>
  <c r="R412" i="12"/>
  <c r="M412" i="12"/>
  <c r="U411" i="12"/>
  <c r="T411" i="12"/>
  <c r="R411" i="12"/>
  <c r="M411" i="12"/>
  <c r="U410" i="12"/>
  <c r="T410" i="12"/>
  <c r="R410" i="12"/>
  <c r="M410" i="12"/>
  <c r="U409" i="12"/>
  <c r="T409" i="12"/>
  <c r="R409" i="12"/>
  <c r="M409" i="12"/>
  <c r="U408" i="12"/>
  <c r="T408" i="12"/>
  <c r="R408" i="12"/>
  <c r="M408" i="12"/>
  <c r="U407" i="12"/>
  <c r="T407" i="12"/>
  <c r="R407" i="12"/>
  <c r="M407" i="12"/>
  <c r="U406" i="12"/>
  <c r="T406" i="12"/>
  <c r="R406" i="12"/>
  <c r="M406" i="12"/>
  <c r="U405" i="12"/>
  <c r="T405" i="12"/>
  <c r="R405" i="12"/>
  <c r="M405" i="12"/>
  <c r="U404" i="12"/>
  <c r="T404" i="12"/>
  <c r="R404" i="12"/>
  <c r="M404" i="12"/>
  <c r="U403" i="12"/>
  <c r="T403" i="12"/>
  <c r="R403" i="12"/>
  <c r="M403" i="12"/>
  <c r="U402" i="12"/>
  <c r="T402" i="12"/>
  <c r="R402" i="12"/>
  <c r="M402" i="12"/>
  <c r="U401" i="12"/>
  <c r="T401" i="12"/>
  <c r="R401" i="12"/>
  <c r="M401" i="12"/>
  <c r="U400" i="12"/>
  <c r="T400" i="12"/>
  <c r="R400" i="12"/>
  <c r="M400" i="12"/>
  <c r="U399" i="12"/>
  <c r="T399" i="12"/>
  <c r="R399" i="12"/>
  <c r="M399" i="12"/>
  <c r="U398" i="12"/>
  <c r="T398" i="12"/>
  <c r="R398" i="12"/>
  <c r="M398" i="12"/>
  <c r="U397" i="12"/>
  <c r="T397" i="12"/>
  <c r="R397" i="12"/>
  <c r="M397" i="12"/>
  <c r="U396" i="12"/>
  <c r="T396" i="12"/>
  <c r="R396" i="12"/>
  <c r="M396" i="12"/>
  <c r="U395" i="12"/>
  <c r="T395" i="12"/>
  <c r="R395" i="12"/>
  <c r="M395" i="12"/>
  <c r="U394" i="12"/>
  <c r="T394" i="12"/>
  <c r="R394" i="12"/>
  <c r="M394" i="12"/>
  <c r="U393" i="12"/>
  <c r="T393" i="12"/>
  <c r="M393" i="12"/>
  <c r="U392" i="12"/>
  <c r="T392" i="12"/>
  <c r="R392" i="12"/>
  <c r="M392" i="12"/>
  <c r="U391" i="12"/>
  <c r="T391" i="12"/>
  <c r="R391" i="12"/>
  <c r="M391" i="12"/>
  <c r="U390" i="12"/>
  <c r="T390" i="12"/>
  <c r="R390" i="12"/>
  <c r="M390" i="12"/>
  <c r="U389" i="12"/>
  <c r="T389" i="12"/>
  <c r="R389" i="12"/>
  <c r="M389" i="12"/>
  <c r="U388" i="12"/>
  <c r="T388" i="12"/>
  <c r="R388" i="12"/>
  <c r="M388" i="12"/>
  <c r="U387" i="12"/>
  <c r="T387" i="12"/>
  <c r="R387" i="12"/>
  <c r="M387" i="12"/>
  <c r="U386" i="12"/>
  <c r="T386" i="12"/>
  <c r="R386" i="12"/>
  <c r="M386" i="12"/>
  <c r="U385" i="12"/>
  <c r="T385" i="12"/>
  <c r="R385" i="12"/>
  <c r="M385" i="12"/>
  <c r="U384" i="12"/>
  <c r="T384" i="12"/>
  <c r="R384" i="12"/>
  <c r="M384" i="12"/>
  <c r="U383" i="12"/>
  <c r="T383" i="12"/>
  <c r="R383" i="12"/>
  <c r="M383" i="12"/>
  <c r="U382" i="12"/>
  <c r="T382" i="12"/>
  <c r="R382" i="12"/>
  <c r="M382" i="12"/>
  <c r="U381" i="12"/>
  <c r="T381" i="12"/>
  <c r="R381" i="12"/>
  <c r="M381" i="12"/>
  <c r="U380" i="12"/>
  <c r="T380" i="12"/>
  <c r="R380" i="12"/>
  <c r="M380" i="12"/>
  <c r="U379" i="12"/>
  <c r="T379" i="12"/>
  <c r="R379" i="12"/>
  <c r="M379" i="12"/>
  <c r="U378" i="12"/>
  <c r="T378" i="12"/>
  <c r="R378" i="12"/>
  <c r="M378" i="12"/>
  <c r="U377" i="12"/>
  <c r="T377" i="12"/>
  <c r="R377" i="12"/>
  <c r="M377" i="12"/>
  <c r="U376" i="12"/>
  <c r="T376" i="12"/>
  <c r="R376" i="12"/>
  <c r="M376" i="12"/>
  <c r="U375" i="12"/>
  <c r="T375" i="12"/>
  <c r="R375" i="12"/>
  <c r="M375" i="12"/>
  <c r="U374" i="12"/>
  <c r="T374" i="12"/>
  <c r="R374" i="12"/>
  <c r="M374" i="12"/>
  <c r="U373" i="12"/>
  <c r="T373" i="12"/>
  <c r="R373" i="12"/>
  <c r="M373" i="12"/>
  <c r="U372" i="12"/>
  <c r="T372" i="12"/>
  <c r="R372" i="12"/>
  <c r="M372" i="12"/>
  <c r="U371" i="12"/>
  <c r="T371" i="12"/>
  <c r="R371" i="12"/>
  <c r="M371" i="12"/>
  <c r="U370" i="12"/>
  <c r="T370" i="12"/>
  <c r="R370" i="12"/>
  <c r="M370" i="12"/>
  <c r="U369" i="12"/>
  <c r="T369" i="12"/>
  <c r="R369" i="12"/>
  <c r="M369" i="12"/>
  <c r="U368" i="12"/>
  <c r="T368" i="12"/>
  <c r="R368" i="12"/>
  <c r="M368" i="12"/>
  <c r="U367" i="12"/>
  <c r="T367" i="12"/>
  <c r="R367" i="12"/>
  <c r="M367" i="12"/>
  <c r="U366" i="12"/>
  <c r="T366" i="12"/>
  <c r="R366" i="12"/>
  <c r="M366" i="12"/>
  <c r="T365" i="12"/>
  <c r="U365" i="12" s="1"/>
  <c r="R365" i="12"/>
  <c r="M365" i="12"/>
  <c r="U364" i="12"/>
  <c r="T364" i="12"/>
  <c r="R364" i="12"/>
  <c r="M364" i="12"/>
  <c r="U363" i="12"/>
  <c r="T363" i="12"/>
  <c r="R363" i="12"/>
  <c r="M363" i="12"/>
  <c r="T362" i="12"/>
  <c r="U362" i="12" s="1"/>
  <c r="R362" i="12"/>
  <c r="M362" i="12"/>
  <c r="U361" i="12"/>
  <c r="T361" i="12"/>
  <c r="R361" i="12"/>
  <c r="M361" i="12"/>
  <c r="T360" i="12"/>
  <c r="U360" i="12" s="1"/>
  <c r="R360" i="12"/>
  <c r="M360" i="12"/>
  <c r="U359" i="12"/>
  <c r="T359" i="12"/>
  <c r="R359" i="12"/>
  <c r="M359" i="12"/>
  <c r="U358" i="12"/>
  <c r="T358" i="12"/>
  <c r="R358" i="12"/>
  <c r="M358" i="12"/>
  <c r="T357" i="12"/>
  <c r="U357" i="12" s="1"/>
  <c r="R357" i="12"/>
  <c r="M357" i="12"/>
  <c r="U356" i="12"/>
  <c r="T356" i="12"/>
  <c r="R356" i="12"/>
  <c r="M356" i="12"/>
  <c r="T355" i="12"/>
  <c r="U355" i="12" s="1"/>
  <c r="R355" i="12"/>
  <c r="M355" i="12"/>
  <c r="U354" i="12"/>
  <c r="T354" i="12"/>
  <c r="M354" i="12"/>
  <c r="U353" i="12"/>
  <c r="T353" i="12"/>
  <c r="R353" i="12"/>
  <c r="M353" i="12"/>
  <c r="U352" i="12"/>
  <c r="T352" i="12"/>
  <c r="R352" i="12"/>
  <c r="M352" i="12"/>
  <c r="U351" i="12"/>
  <c r="T351" i="12"/>
  <c r="R351" i="12"/>
  <c r="M351" i="12"/>
  <c r="U350" i="12"/>
  <c r="T350" i="12"/>
  <c r="R350" i="12"/>
  <c r="M350" i="12"/>
  <c r="U349" i="12"/>
  <c r="T349" i="12"/>
  <c r="R349" i="12"/>
  <c r="M349" i="12"/>
  <c r="U348" i="12"/>
  <c r="T348" i="12"/>
  <c r="R348" i="12"/>
  <c r="M348" i="12"/>
  <c r="U347" i="12"/>
  <c r="T347" i="12"/>
  <c r="R347" i="12"/>
  <c r="M347" i="12"/>
  <c r="U346" i="12"/>
  <c r="T346" i="12"/>
  <c r="R346" i="12"/>
  <c r="M346" i="12"/>
  <c r="U345" i="12"/>
  <c r="T345" i="12"/>
  <c r="R345" i="12"/>
  <c r="M345" i="12"/>
  <c r="U344" i="12"/>
  <c r="T344" i="12"/>
  <c r="R344" i="12"/>
  <c r="M344" i="12"/>
  <c r="U343" i="12"/>
  <c r="T343" i="12"/>
  <c r="R343" i="12"/>
  <c r="M343" i="12"/>
  <c r="U342" i="12"/>
  <c r="T342" i="12"/>
  <c r="R342" i="12"/>
  <c r="M342" i="12"/>
  <c r="U341" i="12"/>
  <c r="T341" i="12"/>
  <c r="R341" i="12"/>
  <c r="M341" i="12"/>
  <c r="U340" i="12"/>
  <c r="T340" i="12"/>
  <c r="R340" i="12"/>
  <c r="M340" i="12"/>
  <c r="U339" i="12"/>
  <c r="T339" i="12"/>
  <c r="R339" i="12"/>
  <c r="M339" i="12"/>
  <c r="U338" i="12"/>
  <c r="T338" i="12"/>
  <c r="R338" i="12"/>
  <c r="M338" i="12"/>
  <c r="U337" i="12"/>
  <c r="T337" i="12"/>
  <c r="R337" i="12"/>
  <c r="M337" i="12"/>
  <c r="U336" i="12"/>
  <c r="T336" i="12"/>
  <c r="R336" i="12"/>
  <c r="M336" i="12"/>
  <c r="U335" i="12"/>
  <c r="T335" i="12"/>
  <c r="R335" i="12"/>
  <c r="M335" i="12"/>
  <c r="U334" i="12"/>
  <c r="T334" i="12"/>
  <c r="R334" i="12"/>
  <c r="M334" i="12"/>
  <c r="U333" i="12"/>
  <c r="T333" i="12"/>
  <c r="R333" i="12"/>
  <c r="M333" i="12"/>
  <c r="U332" i="12"/>
  <c r="T332" i="12"/>
  <c r="R332" i="12"/>
  <c r="M332" i="12"/>
  <c r="U331" i="12"/>
  <c r="T331" i="12"/>
  <c r="R331" i="12"/>
  <c r="M331" i="12"/>
  <c r="U330" i="12"/>
  <c r="T330" i="12"/>
  <c r="R330" i="12"/>
  <c r="M330" i="12"/>
  <c r="U329" i="12"/>
  <c r="T329" i="12"/>
  <c r="R329" i="12"/>
  <c r="M329" i="12"/>
  <c r="U328" i="12"/>
  <c r="T328" i="12"/>
  <c r="R328" i="12"/>
  <c r="M328" i="12"/>
  <c r="U327" i="12"/>
  <c r="T327" i="12"/>
  <c r="R327" i="12"/>
  <c r="M327" i="12"/>
  <c r="U326" i="12"/>
  <c r="T326" i="12"/>
  <c r="R326" i="12"/>
  <c r="M326" i="12"/>
  <c r="U325" i="12"/>
  <c r="T325" i="12"/>
  <c r="R325" i="12"/>
  <c r="M325" i="12"/>
  <c r="U324" i="12"/>
  <c r="T324" i="12"/>
  <c r="R324" i="12"/>
  <c r="M324" i="12"/>
  <c r="U323" i="12"/>
  <c r="T323" i="12"/>
  <c r="R323" i="12"/>
  <c r="M323" i="12"/>
  <c r="U322" i="12"/>
  <c r="T322" i="12"/>
  <c r="R322" i="12"/>
  <c r="M322" i="12"/>
  <c r="U321" i="12"/>
  <c r="T321" i="12"/>
  <c r="R321" i="12"/>
  <c r="M321" i="12"/>
  <c r="U320" i="12"/>
  <c r="T320" i="12"/>
  <c r="R320" i="12"/>
  <c r="M320" i="12"/>
  <c r="U319" i="12"/>
  <c r="T319" i="12"/>
  <c r="R319" i="12"/>
  <c r="M319" i="12"/>
  <c r="U318" i="12"/>
  <c r="T318" i="12"/>
  <c r="R318" i="12"/>
  <c r="M318" i="12"/>
  <c r="U317" i="12"/>
  <c r="T317" i="12"/>
  <c r="R317" i="12"/>
  <c r="M317" i="12"/>
  <c r="U316" i="12"/>
  <c r="T316" i="12"/>
  <c r="R316" i="12"/>
  <c r="M316" i="12"/>
  <c r="U315" i="12"/>
  <c r="T315" i="12"/>
  <c r="R315" i="12"/>
  <c r="M315" i="12"/>
  <c r="U314" i="12"/>
  <c r="T314" i="12"/>
  <c r="R314" i="12"/>
  <c r="M314" i="12"/>
  <c r="U313" i="12"/>
  <c r="T313" i="12"/>
  <c r="R313" i="12"/>
  <c r="M313" i="12"/>
  <c r="U312" i="12"/>
  <c r="T312" i="12"/>
  <c r="R312" i="12"/>
  <c r="M312" i="12"/>
  <c r="U311" i="12"/>
  <c r="T311" i="12"/>
  <c r="R311" i="12"/>
  <c r="M311" i="12"/>
  <c r="U310" i="12"/>
  <c r="T310" i="12"/>
  <c r="R310" i="12"/>
  <c r="M310" i="12"/>
  <c r="U309" i="12"/>
  <c r="T309" i="12"/>
  <c r="R309" i="12"/>
  <c r="M309" i="12"/>
  <c r="U308" i="12"/>
  <c r="T308" i="12"/>
  <c r="R308" i="12"/>
  <c r="M308" i="12"/>
  <c r="U307" i="12"/>
  <c r="T307" i="12"/>
  <c r="R307" i="12"/>
  <c r="M307" i="12"/>
  <c r="U306" i="12"/>
  <c r="T306" i="12"/>
  <c r="R306" i="12"/>
  <c r="M306" i="12"/>
  <c r="U305" i="12"/>
  <c r="T305" i="12"/>
  <c r="R305" i="12"/>
  <c r="M305" i="12"/>
  <c r="U304" i="12"/>
  <c r="T304" i="12"/>
  <c r="R304" i="12"/>
  <c r="M304" i="12"/>
  <c r="U303" i="12"/>
  <c r="T303" i="12"/>
  <c r="R303" i="12"/>
  <c r="M303" i="12"/>
  <c r="U302" i="12"/>
  <c r="T302" i="12"/>
  <c r="R302" i="12"/>
  <c r="M302" i="12"/>
  <c r="U301" i="12"/>
  <c r="T301" i="12"/>
  <c r="R301" i="12"/>
  <c r="M301" i="12"/>
  <c r="U300" i="12"/>
  <c r="T300" i="12"/>
  <c r="R300" i="12"/>
  <c r="M300" i="12"/>
  <c r="U299" i="12"/>
  <c r="T299" i="12"/>
  <c r="R299" i="12"/>
  <c r="M299" i="12"/>
  <c r="U298" i="12"/>
  <c r="T298" i="12"/>
  <c r="R298" i="12"/>
  <c r="M298" i="12"/>
  <c r="U297" i="12"/>
  <c r="T297" i="12"/>
  <c r="R297" i="12"/>
  <c r="M297" i="12"/>
  <c r="U296" i="12"/>
  <c r="T296" i="12"/>
  <c r="R296" i="12"/>
  <c r="M296" i="12"/>
  <c r="U295" i="12"/>
  <c r="T295" i="12"/>
  <c r="R295" i="12"/>
  <c r="M295" i="12"/>
  <c r="U294" i="12"/>
  <c r="T294" i="12"/>
  <c r="R294" i="12"/>
  <c r="M294" i="12"/>
  <c r="U293" i="12"/>
  <c r="T293" i="12"/>
  <c r="R293" i="12"/>
  <c r="M293" i="12"/>
  <c r="U292" i="12"/>
  <c r="T292" i="12"/>
  <c r="R292" i="12"/>
  <c r="M292" i="12"/>
  <c r="U291" i="12"/>
  <c r="T291" i="12"/>
  <c r="R291" i="12"/>
  <c r="M291" i="12"/>
  <c r="U290" i="12"/>
  <c r="T290" i="12"/>
  <c r="R290" i="12"/>
  <c r="M290" i="12"/>
  <c r="U289" i="12"/>
  <c r="T289" i="12"/>
  <c r="R289" i="12"/>
  <c r="M289" i="12"/>
  <c r="U288" i="12"/>
  <c r="T288" i="12"/>
  <c r="M288" i="12"/>
  <c r="T287" i="12"/>
  <c r="U287" i="12" s="1"/>
  <c r="R287" i="12"/>
  <c r="M287" i="12"/>
  <c r="U286" i="12"/>
  <c r="T286" i="12"/>
  <c r="R286" i="12"/>
  <c r="M286" i="12"/>
  <c r="T285" i="12"/>
  <c r="U285" i="12" s="1"/>
  <c r="R285" i="12"/>
  <c r="M285" i="12"/>
  <c r="T284" i="12"/>
  <c r="U284" i="12" s="1"/>
  <c r="R284" i="12"/>
  <c r="M284" i="12"/>
  <c r="T283" i="12"/>
  <c r="U283" i="12" s="1"/>
  <c r="R283" i="12"/>
  <c r="M283" i="12"/>
  <c r="T282" i="12"/>
  <c r="U282" i="12" s="1"/>
  <c r="R282" i="12"/>
  <c r="M282" i="12"/>
  <c r="U281" i="12"/>
  <c r="T281" i="12"/>
  <c r="R281" i="12"/>
  <c r="M281" i="12"/>
  <c r="T280" i="12"/>
  <c r="U280" i="12" s="1"/>
  <c r="R280" i="12"/>
  <c r="M280" i="12"/>
  <c r="T279" i="12"/>
  <c r="U279" i="12" s="1"/>
  <c r="R279" i="12"/>
  <c r="M279" i="12"/>
  <c r="T278" i="12"/>
  <c r="U278" i="12" s="1"/>
  <c r="R278" i="12"/>
  <c r="M278" i="12"/>
  <c r="T277" i="12"/>
  <c r="U277" i="12" s="1"/>
  <c r="R277" i="12"/>
  <c r="M277" i="12"/>
  <c r="U276" i="12"/>
  <c r="T276" i="12"/>
  <c r="R276" i="12"/>
  <c r="M276" i="12"/>
  <c r="T275" i="12"/>
  <c r="U275" i="12" s="1"/>
  <c r="R275" i="12"/>
  <c r="M275" i="12"/>
  <c r="T274" i="12"/>
  <c r="U274" i="12" s="1"/>
  <c r="R274" i="12"/>
  <c r="M274" i="12"/>
  <c r="T273" i="12"/>
  <c r="U273" i="12" s="1"/>
  <c r="R273" i="12"/>
  <c r="M273" i="12"/>
  <c r="T272" i="12"/>
  <c r="U272" i="12" s="1"/>
  <c r="R272" i="12"/>
  <c r="M272" i="12"/>
  <c r="U271" i="12"/>
  <c r="T271" i="12"/>
  <c r="R271" i="12"/>
  <c r="M271" i="12"/>
  <c r="T270" i="12"/>
  <c r="U270" i="12" s="1"/>
  <c r="R270" i="12"/>
  <c r="M270" i="12"/>
  <c r="T269" i="12"/>
  <c r="U269" i="12" s="1"/>
  <c r="R269" i="12"/>
  <c r="M269" i="12"/>
  <c r="T268" i="12"/>
  <c r="U268" i="12" s="1"/>
  <c r="R268" i="12"/>
  <c r="M268" i="12"/>
  <c r="T267" i="12"/>
  <c r="U267" i="12" s="1"/>
  <c r="R267" i="12"/>
  <c r="M267" i="12"/>
  <c r="U266" i="12"/>
  <c r="T266" i="12"/>
  <c r="R266" i="12"/>
  <c r="M266" i="12"/>
  <c r="T265" i="12"/>
  <c r="U265" i="12" s="1"/>
  <c r="R265" i="12"/>
  <c r="M265" i="12"/>
  <c r="T264" i="12"/>
  <c r="U264" i="12" s="1"/>
  <c r="R264" i="12"/>
  <c r="M264" i="12"/>
  <c r="T263" i="12"/>
  <c r="U263" i="12" s="1"/>
  <c r="R263" i="12"/>
  <c r="M263" i="12"/>
  <c r="T262" i="12"/>
  <c r="U262" i="12" s="1"/>
  <c r="R262" i="12"/>
  <c r="M262" i="12"/>
  <c r="U261" i="12"/>
  <c r="T261" i="12"/>
  <c r="R261" i="12"/>
  <c r="M261" i="12"/>
  <c r="T260" i="12"/>
  <c r="U260" i="12" s="1"/>
  <c r="R260" i="12"/>
  <c r="M260" i="12"/>
  <c r="T259" i="12"/>
  <c r="U259" i="12" s="1"/>
  <c r="R259" i="12"/>
  <c r="M259" i="12"/>
  <c r="T258" i="12"/>
  <c r="U258" i="12" s="1"/>
  <c r="R258" i="12"/>
  <c r="M258" i="12"/>
  <c r="T257" i="12"/>
  <c r="U257" i="12" s="1"/>
  <c r="R257" i="12"/>
  <c r="M257" i="12"/>
  <c r="U256" i="12"/>
  <c r="T256" i="12"/>
  <c r="R256" i="12"/>
  <c r="M256" i="12"/>
  <c r="T255" i="12"/>
  <c r="U255" i="12" s="1"/>
  <c r="R255" i="12"/>
  <c r="M255" i="12"/>
  <c r="T254" i="12"/>
  <c r="U254" i="12" s="1"/>
  <c r="R254" i="12"/>
  <c r="O254" i="12"/>
  <c r="M254" i="12"/>
  <c r="U253" i="12"/>
  <c r="T253" i="12"/>
  <c r="R253" i="12"/>
  <c r="M253" i="12"/>
  <c r="U252" i="12"/>
  <c r="T252" i="12"/>
  <c r="R252" i="12"/>
  <c r="M252" i="12"/>
  <c r="U251" i="12"/>
  <c r="T251" i="12"/>
  <c r="R251" i="12"/>
  <c r="M251" i="12"/>
  <c r="U250" i="12"/>
  <c r="T250" i="12"/>
  <c r="R250" i="12"/>
  <c r="M250" i="12"/>
  <c r="U249" i="12"/>
  <c r="T249" i="12"/>
  <c r="R249" i="12"/>
  <c r="M249" i="12"/>
  <c r="U248" i="12"/>
  <c r="T248" i="12"/>
  <c r="R248" i="12"/>
  <c r="M248" i="12"/>
  <c r="U247" i="12"/>
  <c r="T247" i="12"/>
  <c r="R247" i="12"/>
  <c r="M247" i="12"/>
  <c r="U246" i="12"/>
  <c r="T246" i="12"/>
  <c r="M246" i="12"/>
  <c r="T245" i="12"/>
  <c r="U245" i="12" s="1"/>
  <c r="R245" i="12"/>
  <c r="M245" i="12"/>
  <c r="T244" i="12"/>
  <c r="U244" i="12" s="1"/>
  <c r="R244" i="12"/>
  <c r="M244" i="12"/>
  <c r="T243" i="12"/>
  <c r="U243" i="12" s="1"/>
  <c r="R243" i="12"/>
  <c r="M243" i="12"/>
  <c r="T242" i="12"/>
  <c r="U242" i="12" s="1"/>
  <c r="R242" i="12"/>
  <c r="M242" i="12"/>
  <c r="U241" i="12"/>
  <c r="T241" i="12"/>
  <c r="R241" i="12"/>
  <c r="M241" i="12"/>
  <c r="T240" i="12"/>
  <c r="U240" i="12" s="1"/>
  <c r="R240" i="12"/>
  <c r="M240" i="12"/>
  <c r="T239" i="12"/>
  <c r="U239" i="12" s="1"/>
  <c r="R239" i="12"/>
  <c r="M239" i="12"/>
  <c r="T238" i="12"/>
  <c r="U238" i="12" s="1"/>
  <c r="R238" i="12"/>
  <c r="M238" i="12"/>
  <c r="T237" i="12"/>
  <c r="U237" i="12" s="1"/>
  <c r="R237" i="12"/>
  <c r="M237" i="12"/>
  <c r="U236" i="12"/>
  <c r="T236" i="12"/>
  <c r="R236" i="12"/>
  <c r="M236" i="12"/>
  <c r="T235" i="12"/>
  <c r="U235" i="12" s="1"/>
  <c r="R235" i="12"/>
  <c r="M235" i="12"/>
  <c r="W234" i="12"/>
  <c r="U234" i="12"/>
  <c r="M234" i="12"/>
  <c r="U233" i="12"/>
  <c r="T233" i="12"/>
  <c r="R233" i="12"/>
  <c r="M233" i="12"/>
  <c r="U232" i="12"/>
  <c r="T232" i="12"/>
  <c r="R232" i="12"/>
  <c r="M232" i="12"/>
  <c r="U231" i="12"/>
  <c r="T231" i="12"/>
  <c r="R231" i="12"/>
  <c r="M231" i="12"/>
  <c r="U230" i="12"/>
  <c r="T230" i="12"/>
  <c r="R230" i="12"/>
  <c r="M230" i="12"/>
  <c r="U229" i="12"/>
  <c r="T229" i="12"/>
  <c r="R229" i="12"/>
  <c r="M229" i="12"/>
  <c r="U228" i="12"/>
  <c r="T228" i="12"/>
  <c r="R228" i="12"/>
  <c r="M228" i="12"/>
  <c r="U227" i="12"/>
  <c r="T227" i="12"/>
  <c r="R227" i="12"/>
  <c r="M227" i="12"/>
  <c r="U226" i="12"/>
  <c r="T226" i="12"/>
  <c r="R226" i="12"/>
  <c r="M226" i="12"/>
  <c r="U225" i="12"/>
  <c r="T225" i="12"/>
  <c r="R225" i="12"/>
  <c r="M225" i="12"/>
  <c r="U224" i="12"/>
  <c r="T224" i="12"/>
  <c r="M224" i="12"/>
  <c r="T223" i="12"/>
  <c r="U223" i="12" s="1"/>
  <c r="R223" i="12"/>
  <c r="M223" i="12"/>
  <c r="U222" i="12"/>
  <c r="T222" i="12"/>
  <c r="R222" i="12"/>
  <c r="M222" i="12"/>
  <c r="U221" i="12"/>
  <c r="T221" i="12"/>
  <c r="R221" i="12"/>
  <c r="M221" i="12"/>
  <c r="U220" i="12"/>
  <c r="T220" i="12"/>
  <c r="R220" i="12"/>
  <c r="M220" i="12"/>
  <c r="T219" i="12"/>
  <c r="U219" i="12" s="1"/>
  <c r="R219" i="12"/>
  <c r="M219" i="12"/>
  <c r="T218" i="12"/>
  <c r="U218" i="12" s="1"/>
  <c r="R218" i="12"/>
  <c r="M218" i="12"/>
  <c r="U217" i="12"/>
  <c r="T217" i="12"/>
  <c r="R217" i="12"/>
  <c r="M217" i="12"/>
  <c r="T216" i="12"/>
  <c r="U216" i="12" s="1"/>
  <c r="R216" i="12"/>
  <c r="M216" i="12"/>
  <c r="U215" i="12"/>
  <c r="T215" i="12"/>
  <c r="R215" i="12"/>
  <c r="M215" i="12"/>
  <c r="T214" i="12"/>
  <c r="U214" i="12" s="1"/>
  <c r="R214" i="12"/>
  <c r="M214" i="12"/>
  <c r="T213" i="12"/>
  <c r="U213" i="12" s="1"/>
  <c r="R213" i="12"/>
  <c r="M213" i="12"/>
  <c r="U212" i="12"/>
  <c r="T212" i="12"/>
  <c r="R212" i="12"/>
  <c r="M212" i="12"/>
  <c r="U211" i="12"/>
  <c r="T211" i="12"/>
  <c r="R211" i="12"/>
  <c r="M211" i="12"/>
  <c r="U210" i="12"/>
  <c r="T210" i="12"/>
  <c r="R210" i="12"/>
  <c r="M210" i="12"/>
  <c r="T209" i="12"/>
  <c r="U209" i="12" s="1"/>
  <c r="R209" i="12"/>
  <c r="M209" i="12"/>
  <c r="T208" i="12"/>
  <c r="U208" i="12" s="1"/>
  <c r="R208" i="12"/>
  <c r="M208" i="12"/>
  <c r="U207" i="12"/>
  <c r="T207" i="12"/>
  <c r="R207" i="12"/>
  <c r="M207" i="12"/>
  <c r="U206" i="12"/>
  <c r="T206" i="12"/>
  <c r="R206" i="12"/>
  <c r="M206" i="12"/>
  <c r="U205" i="12"/>
  <c r="T205" i="12"/>
  <c r="R205" i="12"/>
  <c r="M205" i="12"/>
  <c r="T204" i="12"/>
  <c r="U204" i="12" s="1"/>
  <c r="R204" i="12"/>
  <c r="M204" i="12"/>
  <c r="T203" i="12"/>
  <c r="U203" i="12" s="1"/>
  <c r="R203" i="12"/>
  <c r="M203" i="12"/>
  <c r="U202" i="12"/>
  <c r="T202" i="12"/>
  <c r="R202" i="12"/>
  <c r="M202" i="12"/>
  <c r="U201" i="12"/>
  <c r="T201" i="12"/>
  <c r="R201" i="12"/>
  <c r="M201" i="12"/>
  <c r="U200" i="12"/>
  <c r="T200" i="12"/>
  <c r="R200" i="12"/>
  <c r="M200" i="12"/>
  <c r="T199" i="12"/>
  <c r="U199" i="12" s="1"/>
  <c r="R199" i="12"/>
  <c r="M199" i="12"/>
  <c r="T198" i="12"/>
  <c r="U198" i="12" s="1"/>
  <c r="R198" i="12"/>
  <c r="M198" i="12"/>
  <c r="U197" i="12"/>
  <c r="T197" i="12"/>
  <c r="R197" i="12"/>
  <c r="M197" i="12"/>
  <c r="U196" i="12"/>
  <c r="T196" i="12"/>
  <c r="R196" i="12"/>
  <c r="M196" i="12"/>
  <c r="U195" i="12"/>
  <c r="T195" i="12"/>
  <c r="R195" i="12"/>
  <c r="M195" i="12"/>
  <c r="T194" i="12"/>
  <c r="U194" i="12" s="1"/>
  <c r="R194" i="12"/>
  <c r="M194" i="12"/>
  <c r="T193" i="12"/>
  <c r="U193" i="12" s="1"/>
  <c r="R193" i="12"/>
  <c r="M193" i="12"/>
  <c r="U192" i="12"/>
  <c r="T192" i="12"/>
  <c r="R192" i="12"/>
  <c r="M192" i="12"/>
  <c r="T191" i="12"/>
  <c r="U191" i="12" s="1"/>
  <c r="R191" i="12"/>
  <c r="M191" i="12"/>
  <c r="U190" i="12"/>
  <c r="T190" i="12"/>
  <c r="R190" i="12"/>
  <c r="M190" i="12"/>
  <c r="T189" i="12"/>
  <c r="U189" i="12" s="1"/>
  <c r="R189" i="12"/>
  <c r="M189" i="12"/>
  <c r="T188" i="12"/>
  <c r="U188" i="12" s="1"/>
  <c r="R188" i="12"/>
  <c r="M188" i="12"/>
  <c r="U187" i="12"/>
  <c r="T187" i="12"/>
  <c r="R187" i="12"/>
  <c r="M187" i="12"/>
  <c r="T186" i="12"/>
  <c r="U186" i="12" s="1"/>
  <c r="R186" i="12"/>
  <c r="M186" i="12"/>
  <c r="U185" i="12"/>
  <c r="T185" i="12"/>
  <c r="R185" i="12"/>
  <c r="M185" i="12"/>
  <c r="T184" i="12"/>
  <c r="U184" i="12" s="1"/>
  <c r="R184" i="12"/>
  <c r="M184" i="12"/>
  <c r="T183" i="12"/>
  <c r="U183" i="12" s="1"/>
  <c r="R183" i="12"/>
  <c r="M183" i="12"/>
  <c r="U182" i="12"/>
  <c r="T182" i="12"/>
  <c r="R182" i="12"/>
  <c r="M182" i="12"/>
  <c r="T181" i="12"/>
  <c r="U181" i="12" s="1"/>
  <c r="R181" i="12"/>
  <c r="M181" i="12"/>
  <c r="U180" i="12"/>
  <c r="T180" i="12"/>
  <c r="R180" i="12"/>
  <c r="M180" i="12"/>
  <c r="T179" i="12"/>
  <c r="U179" i="12" s="1"/>
  <c r="R179" i="12"/>
  <c r="M179" i="12"/>
  <c r="T178" i="12"/>
  <c r="U178" i="12" s="1"/>
  <c r="R178" i="12"/>
  <c r="M178" i="12"/>
  <c r="U177" i="12"/>
  <c r="T177" i="12"/>
  <c r="R177" i="12"/>
  <c r="M177" i="12"/>
  <c r="U176" i="12"/>
  <c r="T176" i="12"/>
  <c r="R176" i="12"/>
  <c r="M176" i="12"/>
  <c r="U175" i="12"/>
  <c r="T175" i="12"/>
  <c r="R175" i="12"/>
  <c r="M175" i="12"/>
  <c r="T174" i="12"/>
  <c r="U174" i="12" s="1"/>
  <c r="R174" i="12"/>
  <c r="M174" i="12"/>
  <c r="T173" i="12"/>
  <c r="U173" i="12" s="1"/>
  <c r="R173" i="12"/>
  <c r="M173" i="12"/>
  <c r="U172" i="12"/>
  <c r="T172" i="12"/>
  <c r="R172" i="12"/>
  <c r="M172" i="12"/>
  <c r="U171" i="12"/>
  <c r="T171" i="12"/>
  <c r="R171" i="12"/>
  <c r="M171" i="12"/>
  <c r="U170" i="12"/>
  <c r="T170" i="12"/>
  <c r="R170" i="12"/>
  <c r="M170" i="12"/>
  <c r="T169" i="12"/>
  <c r="U169" i="12" s="1"/>
  <c r="R169" i="12"/>
  <c r="M169" i="12"/>
  <c r="T168" i="12"/>
  <c r="U168" i="12" s="1"/>
  <c r="R168" i="12"/>
  <c r="M168" i="12"/>
  <c r="U167" i="12"/>
  <c r="T167" i="12"/>
  <c r="R167" i="12"/>
  <c r="M167" i="12"/>
  <c r="T166" i="12"/>
  <c r="U166" i="12" s="1"/>
  <c r="R166" i="12"/>
  <c r="M166" i="12"/>
  <c r="T165" i="12"/>
  <c r="U165" i="12" s="1"/>
  <c r="R165" i="12"/>
  <c r="M165" i="12"/>
  <c r="T164" i="12"/>
  <c r="U164" i="12" s="1"/>
  <c r="R164" i="12"/>
  <c r="M164" i="12"/>
  <c r="T163" i="12"/>
  <c r="U163" i="12" s="1"/>
  <c r="R163" i="12"/>
  <c r="M163" i="12"/>
  <c r="U162" i="12"/>
  <c r="T162" i="12"/>
  <c r="R162" i="12"/>
  <c r="M162" i="12"/>
  <c r="T161" i="12"/>
  <c r="U161" i="12" s="1"/>
  <c r="R161" i="12"/>
  <c r="M161" i="12"/>
  <c r="T160" i="12"/>
  <c r="U160" i="12" s="1"/>
  <c r="R160" i="12"/>
  <c r="M160" i="12"/>
  <c r="T159" i="12"/>
  <c r="U159" i="12" s="1"/>
  <c r="R159" i="12"/>
  <c r="M159" i="12"/>
  <c r="T158" i="12"/>
  <c r="U158" i="12" s="1"/>
  <c r="R158" i="12"/>
  <c r="M158" i="12"/>
  <c r="U157" i="12"/>
  <c r="T157" i="12"/>
  <c r="R157" i="12"/>
  <c r="M157" i="12"/>
  <c r="U156" i="12"/>
  <c r="T156" i="12"/>
  <c r="R156" i="12"/>
  <c r="M156" i="12"/>
  <c r="T155" i="12"/>
  <c r="U155" i="12" s="1"/>
  <c r="R155" i="12"/>
  <c r="M155" i="12"/>
  <c r="T154" i="12"/>
  <c r="U154" i="12" s="1"/>
  <c r="R154" i="12"/>
  <c r="M154" i="12"/>
  <c r="T153" i="12"/>
  <c r="U153" i="12" s="1"/>
  <c r="R153" i="12"/>
  <c r="M153" i="12"/>
  <c r="U152" i="12"/>
  <c r="T152" i="12"/>
  <c r="R152" i="12"/>
  <c r="M152" i="12"/>
  <c r="T151" i="12"/>
  <c r="U151" i="12" s="1"/>
  <c r="R151" i="12"/>
  <c r="M151" i="12"/>
  <c r="T150" i="12"/>
  <c r="U150" i="12" s="1"/>
  <c r="R150" i="12"/>
  <c r="M150" i="12"/>
  <c r="T149" i="12"/>
  <c r="U149" i="12" s="1"/>
  <c r="R149" i="12"/>
  <c r="M149" i="12"/>
  <c r="T148" i="12"/>
  <c r="U148" i="12" s="1"/>
  <c r="R148" i="12"/>
  <c r="M148" i="12"/>
  <c r="U147" i="12"/>
  <c r="T147" i="12"/>
  <c r="R147" i="12"/>
  <c r="M147" i="12"/>
  <c r="T146" i="12"/>
  <c r="U146" i="12" s="1"/>
  <c r="R146" i="12"/>
  <c r="M146" i="12"/>
  <c r="T145" i="12"/>
  <c r="U145" i="12" s="1"/>
  <c r="R145" i="12"/>
  <c r="M145" i="12"/>
  <c r="T144" i="12"/>
  <c r="U144" i="12" s="1"/>
  <c r="R144" i="12"/>
  <c r="M144" i="12"/>
  <c r="T143" i="12"/>
  <c r="U143" i="12" s="1"/>
  <c r="R143" i="12"/>
  <c r="M143" i="12"/>
  <c r="T142" i="12"/>
  <c r="U142" i="12" s="1"/>
  <c r="R142" i="12"/>
  <c r="M142" i="12"/>
  <c r="U141" i="12"/>
  <c r="T141" i="12"/>
  <c r="R141" i="12"/>
  <c r="M141" i="12"/>
  <c r="T140" i="12"/>
  <c r="U140" i="12" s="1"/>
  <c r="R140" i="12"/>
  <c r="M140" i="12"/>
  <c r="T139" i="12"/>
  <c r="U139" i="12" s="1"/>
  <c r="R139" i="12"/>
  <c r="M139" i="12"/>
  <c r="T138" i="12"/>
  <c r="U138" i="12" s="1"/>
  <c r="R138" i="12"/>
  <c r="M138" i="12"/>
  <c r="U137" i="12"/>
  <c r="T137" i="12"/>
  <c r="R137" i="12"/>
  <c r="M137" i="12"/>
  <c r="U136" i="12"/>
  <c r="T136" i="12"/>
  <c r="R136" i="12"/>
  <c r="M136" i="12"/>
  <c r="T135" i="12"/>
  <c r="U135" i="12" s="1"/>
  <c r="R135" i="12"/>
  <c r="M135" i="12"/>
  <c r="T134" i="12"/>
  <c r="U134" i="12" s="1"/>
  <c r="R134" i="12"/>
  <c r="M134" i="12"/>
  <c r="T133" i="12"/>
  <c r="U133" i="12" s="1"/>
  <c r="R133" i="12"/>
  <c r="M133" i="12"/>
  <c r="T132" i="12"/>
  <c r="U132" i="12" s="1"/>
  <c r="R132" i="12"/>
  <c r="M132" i="12"/>
  <c r="T131" i="12"/>
  <c r="U131" i="12" s="1"/>
  <c r="R131" i="12"/>
  <c r="M131" i="12"/>
  <c r="T130" i="12"/>
  <c r="U130" i="12" s="1"/>
  <c r="R130" i="12"/>
  <c r="M130" i="12"/>
  <c r="T129" i="12"/>
  <c r="U129" i="12" s="1"/>
  <c r="R129" i="12"/>
  <c r="M129" i="12"/>
  <c r="T128" i="12"/>
  <c r="U128" i="12" s="1"/>
  <c r="R128" i="12"/>
  <c r="M128" i="12"/>
  <c r="U127" i="12"/>
  <c r="T127" i="12"/>
  <c r="R127" i="12"/>
  <c r="M127" i="12"/>
  <c r="U126" i="12"/>
  <c r="T126" i="12"/>
  <c r="R126" i="12"/>
  <c r="M126" i="12"/>
  <c r="T125" i="12"/>
  <c r="U125" i="12" s="1"/>
  <c r="R125" i="12"/>
  <c r="M125" i="12"/>
  <c r="T124" i="12"/>
  <c r="U124" i="12" s="1"/>
  <c r="R124" i="12"/>
  <c r="M124" i="12"/>
  <c r="T123" i="12"/>
  <c r="U123" i="12" s="1"/>
  <c r="R123" i="12"/>
  <c r="M123" i="12"/>
  <c r="U122" i="12"/>
  <c r="T122" i="12"/>
  <c r="R122" i="12"/>
  <c r="M122" i="12"/>
  <c r="U121" i="12"/>
  <c r="T121" i="12"/>
  <c r="R121" i="12"/>
  <c r="M121" i="12"/>
  <c r="T120" i="12"/>
  <c r="U120" i="12" s="1"/>
  <c r="R120" i="12"/>
  <c r="M120" i="12"/>
  <c r="T119" i="12"/>
  <c r="U119" i="12" s="1"/>
  <c r="R119" i="12"/>
  <c r="M119" i="12"/>
  <c r="T118" i="12"/>
  <c r="U118" i="12" s="1"/>
  <c r="R118" i="12"/>
  <c r="M118" i="12"/>
  <c r="T117" i="12"/>
  <c r="U117" i="12" s="1"/>
  <c r="R117" i="12"/>
  <c r="M117" i="12"/>
  <c r="T116" i="12"/>
  <c r="U116" i="12" s="1"/>
  <c r="R116" i="12"/>
  <c r="M116" i="12"/>
  <c r="T115" i="12"/>
  <c r="U115" i="12" s="1"/>
  <c r="R115" i="12"/>
  <c r="M115" i="12"/>
  <c r="T114" i="12"/>
  <c r="U114" i="12" s="1"/>
  <c r="R114" i="12"/>
  <c r="M114" i="12"/>
  <c r="T113" i="12"/>
  <c r="U113" i="12" s="1"/>
  <c r="R113" i="12"/>
  <c r="M113" i="12"/>
  <c r="T112" i="12"/>
  <c r="U112" i="12" s="1"/>
  <c r="R112" i="12"/>
  <c r="M112" i="12"/>
  <c r="T111" i="12"/>
  <c r="U111" i="12" s="1"/>
  <c r="R111" i="12"/>
  <c r="M111" i="12"/>
  <c r="T110" i="12"/>
  <c r="U110" i="12" s="1"/>
  <c r="R110" i="12"/>
  <c r="M110" i="12"/>
  <c r="T109" i="12"/>
  <c r="U109" i="12" s="1"/>
  <c r="R109" i="12"/>
  <c r="M109" i="12"/>
  <c r="T108" i="12"/>
  <c r="U108" i="12" s="1"/>
  <c r="R108" i="12"/>
  <c r="M108" i="12"/>
  <c r="T107" i="12"/>
  <c r="U107" i="12" s="1"/>
  <c r="R107" i="12"/>
  <c r="M107" i="12"/>
  <c r="U106" i="12"/>
  <c r="T106" i="12"/>
  <c r="R106" i="12"/>
  <c r="M106" i="12"/>
  <c r="T105" i="12"/>
  <c r="U105" i="12" s="1"/>
  <c r="R105" i="12"/>
  <c r="M105" i="12"/>
  <c r="T104" i="12"/>
  <c r="U104" i="12" s="1"/>
  <c r="R104" i="12"/>
  <c r="M104" i="12"/>
  <c r="T103" i="12"/>
  <c r="U103" i="12" s="1"/>
  <c r="R103" i="12"/>
  <c r="M103" i="12"/>
  <c r="U102" i="12"/>
  <c r="T102" i="12"/>
  <c r="R102" i="12"/>
  <c r="M102" i="12"/>
  <c r="U101" i="12"/>
  <c r="T101" i="12"/>
  <c r="R101" i="12"/>
  <c r="M101" i="12"/>
  <c r="T100" i="12"/>
  <c r="U100" i="12" s="1"/>
  <c r="R100" i="12"/>
  <c r="M100" i="12"/>
  <c r="T99" i="12"/>
  <c r="U99" i="12" s="1"/>
  <c r="R99" i="12"/>
  <c r="M99" i="12"/>
  <c r="T98" i="12"/>
  <c r="U98" i="12" s="1"/>
  <c r="R98" i="12"/>
  <c r="M98" i="12"/>
  <c r="U97" i="12"/>
  <c r="T97" i="12"/>
  <c r="R97" i="12"/>
  <c r="M97" i="12"/>
  <c r="U96" i="12"/>
  <c r="T96" i="12"/>
  <c r="R96" i="12"/>
  <c r="M96" i="12"/>
  <c r="T95" i="12"/>
  <c r="U95" i="12" s="1"/>
  <c r="R95" i="12"/>
  <c r="M95" i="12"/>
  <c r="T94" i="12"/>
  <c r="U94" i="12" s="1"/>
  <c r="R94" i="12"/>
  <c r="M94" i="12"/>
  <c r="T93" i="12"/>
  <c r="U93" i="12" s="1"/>
  <c r="R93" i="12"/>
  <c r="M93" i="12"/>
  <c r="U92" i="12"/>
  <c r="T92" i="12"/>
  <c r="R92" i="12"/>
  <c r="M92" i="12"/>
  <c r="T91" i="12"/>
  <c r="U91" i="12" s="1"/>
  <c r="R91" i="12"/>
  <c r="M91" i="12"/>
  <c r="T90" i="12"/>
  <c r="U90" i="12" s="1"/>
  <c r="R90" i="12"/>
  <c r="M90" i="12"/>
  <c r="T89" i="12"/>
  <c r="U89" i="12" s="1"/>
  <c r="R89" i="12"/>
  <c r="M89" i="12"/>
  <c r="T88" i="12"/>
  <c r="U88" i="12" s="1"/>
  <c r="R88" i="12"/>
  <c r="M88" i="12"/>
  <c r="T87" i="12"/>
  <c r="U87" i="12" s="1"/>
  <c r="R87" i="12"/>
  <c r="M87" i="12"/>
  <c r="U86" i="12"/>
  <c r="T86" i="12"/>
  <c r="R86" i="12"/>
  <c r="M86" i="12"/>
  <c r="T85" i="12"/>
  <c r="U85" i="12" s="1"/>
  <c r="R85" i="12"/>
  <c r="M85" i="12"/>
  <c r="T84" i="12"/>
  <c r="U84" i="12" s="1"/>
  <c r="R84" i="12"/>
  <c r="M84" i="12"/>
  <c r="T83" i="12"/>
  <c r="U83" i="12" s="1"/>
  <c r="R83" i="12"/>
  <c r="M83" i="12"/>
  <c r="U82" i="12"/>
  <c r="T82" i="12"/>
  <c r="R82" i="12"/>
  <c r="M82" i="12"/>
  <c r="U81" i="12"/>
  <c r="T81" i="12"/>
  <c r="R81" i="12"/>
  <c r="M81" i="12"/>
  <c r="T80" i="12"/>
  <c r="U80" i="12" s="1"/>
  <c r="R80" i="12"/>
  <c r="M80" i="12"/>
  <c r="T79" i="12"/>
  <c r="U79" i="12" s="1"/>
  <c r="R79" i="12"/>
  <c r="M79" i="12"/>
  <c r="T78" i="12"/>
  <c r="U78" i="12" s="1"/>
  <c r="R78" i="12"/>
  <c r="M78" i="12"/>
  <c r="U77" i="12"/>
  <c r="T77" i="12"/>
  <c r="R77" i="12"/>
  <c r="M77" i="12"/>
  <c r="U76" i="12"/>
  <c r="T76" i="12"/>
  <c r="R76" i="12"/>
  <c r="M76" i="12"/>
  <c r="T75" i="12"/>
  <c r="U75" i="12" s="1"/>
  <c r="R75" i="12"/>
  <c r="M75" i="12"/>
  <c r="T74" i="12"/>
  <c r="U74" i="12" s="1"/>
  <c r="R74" i="12"/>
  <c r="M74" i="12"/>
  <c r="T73" i="12"/>
  <c r="U73" i="12" s="1"/>
  <c r="R73" i="12"/>
  <c r="M73" i="12"/>
  <c r="T72" i="12"/>
  <c r="U72" i="12" s="1"/>
  <c r="R72" i="12"/>
  <c r="M72" i="12"/>
  <c r="T71" i="12"/>
  <c r="U71" i="12" s="1"/>
  <c r="R71" i="12"/>
  <c r="M71" i="12"/>
  <c r="T70" i="12"/>
  <c r="U70" i="12" s="1"/>
  <c r="R70" i="12"/>
  <c r="M70" i="12"/>
  <c r="T69" i="12"/>
  <c r="U69" i="12" s="1"/>
  <c r="R69" i="12"/>
  <c r="M69" i="12"/>
  <c r="T68" i="12"/>
  <c r="U68" i="12" s="1"/>
  <c r="R68" i="12"/>
  <c r="M68" i="12"/>
  <c r="T67" i="12"/>
  <c r="U67" i="12" s="1"/>
  <c r="R67" i="12"/>
  <c r="M67" i="12"/>
  <c r="T66" i="12"/>
  <c r="U66" i="12" s="1"/>
  <c r="R66" i="12"/>
  <c r="M66" i="12"/>
  <c r="T65" i="12"/>
  <c r="U65" i="12" s="1"/>
  <c r="R65" i="12"/>
  <c r="M65" i="12"/>
  <c r="T64" i="12"/>
  <c r="U64" i="12" s="1"/>
  <c r="R64" i="12"/>
  <c r="M64" i="12"/>
  <c r="T63" i="12"/>
  <c r="U63" i="12" s="1"/>
  <c r="R63" i="12"/>
  <c r="M63" i="12"/>
  <c r="U62" i="12"/>
  <c r="T62" i="12"/>
  <c r="R62" i="12"/>
  <c r="M62" i="12"/>
  <c r="U61" i="12"/>
  <c r="T61" i="12"/>
  <c r="R61" i="12"/>
  <c r="M61" i="12"/>
  <c r="T60" i="12"/>
  <c r="U60" i="12" s="1"/>
  <c r="R60" i="12"/>
  <c r="M60" i="12"/>
  <c r="T59" i="12"/>
  <c r="U59" i="12" s="1"/>
  <c r="R59" i="12"/>
  <c r="M59" i="12"/>
  <c r="T58" i="12"/>
  <c r="U58" i="12" s="1"/>
  <c r="R58" i="12"/>
  <c r="M58" i="12"/>
  <c r="T57" i="12"/>
  <c r="U57" i="12" s="1"/>
  <c r="R57" i="12"/>
  <c r="M57" i="12"/>
  <c r="T56" i="12"/>
  <c r="U56" i="12" s="1"/>
  <c r="R56" i="12"/>
  <c r="M56" i="12"/>
  <c r="T55" i="12"/>
  <c r="U55" i="12" s="1"/>
  <c r="R55" i="12"/>
  <c r="M55" i="12"/>
  <c r="T54" i="12"/>
  <c r="U54" i="12" s="1"/>
  <c r="R54" i="12"/>
  <c r="M54" i="12"/>
  <c r="T53" i="12"/>
  <c r="U53" i="12" s="1"/>
  <c r="R53" i="12"/>
  <c r="M53" i="12"/>
  <c r="T52" i="12"/>
  <c r="U52" i="12" s="1"/>
  <c r="R52" i="12"/>
  <c r="M52" i="12"/>
  <c r="T51" i="12"/>
  <c r="U51" i="12" s="1"/>
  <c r="R51" i="12"/>
  <c r="M51" i="12"/>
  <c r="T50" i="12"/>
  <c r="U50" i="12" s="1"/>
  <c r="R50" i="12"/>
  <c r="M50" i="12"/>
  <c r="T49" i="12"/>
  <c r="U49" i="12" s="1"/>
  <c r="R49" i="12"/>
  <c r="M49" i="12"/>
  <c r="T48" i="12"/>
  <c r="U48" i="12" s="1"/>
  <c r="R48" i="12"/>
  <c r="M48" i="12"/>
  <c r="U47" i="12"/>
  <c r="T47" i="12"/>
  <c r="R47" i="12"/>
  <c r="M47" i="12"/>
  <c r="T46" i="12"/>
  <c r="U46" i="12" s="1"/>
  <c r="R46" i="12"/>
  <c r="M46" i="12"/>
  <c r="T45" i="12"/>
  <c r="U45" i="12" s="1"/>
  <c r="R45" i="12"/>
  <c r="M45" i="12"/>
  <c r="T44" i="12"/>
  <c r="U44" i="12" s="1"/>
  <c r="R44" i="12"/>
  <c r="P44" i="12"/>
  <c r="M44" i="12"/>
  <c r="U43" i="12"/>
  <c r="T43" i="12"/>
  <c r="R43" i="12"/>
  <c r="P43" i="12"/>
  <c r="M43" i="12"/>
  <c r="O43" i="12" s="1"/>
  <c r="U42" i="12"/>
  <c r="T42" i="12"/>
  <c r="R42" i="12"/>
  <c r="M42" i="12"/>
  <c r="U41" i="12"/>
  <c r="T41" i="12"/>
  <c r="R41" i="12"/>
  <c r="M41" i="12"/>
  <c r="U40" i="12"/>
  <c r="T40" i="12"/>
  <c r="R40" i="12"/>
  <c r="M40" i="12"/>
  <c r="U39" i="12"/>
  <c r="T39" i="12"/>
  <c r="R39" i="12"/>
  <c r="M39" i="12"/>
  <c r="U38" i="12"/>
  <c r="T38" i="12"/>
  <c r="R38" i="12"/>
  <c r="M38" i="12"/>
  <c r="U37" i="12"/>
  <c r="T37" i="12"/>
  <c r="R37" i="12"/>
  <c r="M37" i="12"/>
  <c r="U36" i="12"/>
  <c r="T36" i="12"/>
  <c r="R36" i="12"/>
  <c r="M36" i="12"/>
  <c r="U35" i="12"/>
  <c r="T35" i="12"/>
  <c r="R35" i="12"/>
  <c r="M35" i="12"/>
  <c r="U34" i="12"/>
  <c r="T34" i="12"/>
  <c r="R34" i="12"/>
  <c r="M34" i="12"/>
  <c r="U33" i="12"/>
  <c r="T33" i="12"/>
  <c r="R33" i="12"/>
  <c r="M33" i="12"/>
  <c r="U32" i="12"/>
  <c r="T32" i="12"/>
  <c r="R32" i="12"/>
  <c r="M32" i="12"/>
  <c r="T31" i="12"/>
  <c r="U31" i="12" s="1"/>
  <c r="R31" i="12"/>
  <c r="M31" i="12"/>
  <c r="U30" i="12"/>
  <c r="T30" i="12"/>
  <c r="R30" i="12"/>
  <c r="M30" i="12"/>
  <c r="U29" i="12"/>
  <c r="T29" i="12"/>
  <c r="R29" i="12"/>
  <c r="M29" i="12"/>
  <c r="U28" i="12"/>
  <c r="T28" i="12"/>
  <c r="R28" i="12"/>
  <c r="M28" i="12"/>
  <c r="T27" i="12"/>
  <c r="U27" i="12" s="1"/>
  <c r="R27" i="12"/>
  <c r="M27" i="12"/>
  <c r="T26" i="12"/>
  <c r="U26" i="12" s="1"/>
  <c r="R26" i="12"/>
  <c r="M26" i="12"/>
  <c r="U25" i="12"/>
  <c r="T25" i="12"/>
  <c r="R25" i="12"/>
  <c r="M25" i="12"/>
  <c r="U24" i="12"/>
  <c r="T24" i="12"/>
  <c r="R24" i="12"/>
  <c r="M24" i="12"/>
  <c r="U23" i="12"/>
  <c r="T23" i="12"/>
  <c r="R23" i="12"/>
  <c r="M23" i="12"/>
  <c r="T22" i="12"/>
  <c r="U22" i="12" s="1"/>
  <c r="R22" i="12"/>
  <c r="M22" i="12"/>
  <c r="T21" i="12"/>
  <c r="U21" i="12" s="1"/>
  <c r="R21" i="12"/>
  <c r="M21" i="12"/>
  <c r="U20" i="12"/>
  <c r="T20" i="12"/>
  <c r="R20" i="12"/>
  <c r="M20" i="12"/>
  <c r="U19" i="12"/>
  <c r="T19" i="12"/>
  <c r="R19" i="12"/>
  <c r="M19" i="12"/>
  <c r="U18" i="12"/>
  <c r="T18" i="12"/>
  <c r="R18" i="12"/>
  <c r="M18" i="12"/>
  <c r="U17" i="12"/>
  <c r="T17" i="12"/>
  <c r="R17" i="12"/>
  <c r="M17" i="12"/>
  <c r="T16" i="12"/>
  <c r="U16" i="12" s="1"/>
  <c r="R16" i="12"/>
  <c r="M16" i="12"/>
  <c r="U15" i="12"/>
  <c r="T15" i="12"/>
  <c r="R15" i="12"/>
  <c r="M15" i="12"/>
  <c r="U14" i="12"/>
  <c r="T14" i="12"/>
  <c r="R14" i="12"/>
  <c r="M14" i="12"/>
  <c r="U13" i="12"/>
  <c r="T13" i="12"/>
  <c r="R13" i="12"/>
  <c r="M13" i="12"/>
  <c r="U12" i="12"/>
  <c r="T12" i="12"/>
  <c r="R12" i="12"/>
  <c r="M12" i="12"/>
  <c r="T11" i="12"/>
  <c r="U11" i="12" s="1"/>
  <c r="R11" i="12"/>
  <c r="M11" i="12"/>
  <c r="U10" i="12"/>
  <c r="T10" i="12"/>
  <c r="R10" i="12"/>
  <c r="M10" i="12"/>
  <c r="U9" i="12"/>
  <c r="T9" i="12"/>
  <c r="R9" i="12"/>
  <c r="M9" i="12"/>
  <c r="U8" i="12"/>
  <c r="T8" i="12"/>
  <c r="R8" i="12"/>
  <c r="M8" i="12"/>
  <c r="T7" i="12"/>
  <c r="U7" i="12" s="1"/>
  <c r="R7" i="12"/>
  <c r="M7" i="12"/>
  <c r="T6" i="12"/>
  <c r="U6" i="12" s="1"/>
  <c r="R6" i="12"/>
  <c r="M6" i="12"/>
  <c r="U5" i="12"/>
  <c r="T5" i="12"/>
  <c r="R5" i="12"/>
  <c r="M5" i="12"/>
  <c r="U4" i="12"/>
  <c r="T4" i="12"/>
  <c r="R4" i="12"/>
  <c r="M4" i="12"/>
  <c r="U3" i="12"/>
  <c r="T3" i="12"/>
  <c r="R3" i="12"/>
  <c r="M3" i="12"/>
  <c r="U2" i="12"/>
  <c r="T2" i="12"/>
  <c r="R2" i="12"/>
  <c r="M2" i="12"/>
  <c r="F225" i="10"/>
  <c r="H224" i="10"/>
  <c r="H225" i="10" l="1"/>
  <c r="H228" i="10" s="1"/>
  <c r="H229" i="10" s="1"/>
</calcChain>
</file>

<file path=xl/sharedStrings.xml><?xml version="1.0" encoding="utf-8"?>
<sst xmlns="http://schemas.openxmlformats.org/spreadsheetml/2006/main" count="6368" uniqueCount="2290">
  <si>
    <t>Margin</t>
  </si>
  <si>
    <t>Sell Price</t>
  </si>
  <si>
    <t>Base</t>
  </si>
  <si>
    <t>IP Rating</t>
  </si>
  <si>
    <t>Springs</t>
  </si>
  <si>
    <t>List Price</t>
  </si>
  <si>
    <t>Nett</t>
  </si>
  <si>
    <t>Cost Price</t>
  </si>
  <si>
    <t>Name</t>
  </si>
  <si>
    <t>Unit</t>
  </si>
  <si>
    <t>Grundfos</t>
  </si>
  <si>
    <t>Qty</t>
  </si>
  <si>
    <t>DT</t>
  </si>
  <si>
    <t>QEII</t>
  </si>
  <si>
    <t>Brand</t>
  </si>
  <si>
    <t>SKU</t>
  </si>
  <si>
    <t>Product</t>
  </si>
  <si>
    <t>Quantity</t>
  </si>
  <si>
    <t>96501699-BIP66</t>
  </si>
  <si>
    <t>Grundfos CR 15-3 3kW 2P Vertical multistage mounted on base with rubber mounts IP-66 Upgrade</t>
  </si>
  <si>
    <t>99247817-B</t>
  </si>
  <si>
    <t>Grundfos CRIE 15-3 3 kW IE3 IP-55 integral variable speed mounted on base with rubber mounts</t>
  </si>
  <si>
    <t>96500327BASE</t>
  </si>
  <si>
    <t>Grundfos CR 20-2 2.2kW 2P Vertical multistage mounted on base with rubber mounts</t>
  </si>
  <si>
    <t>96501698-BIP66</t>
  </si>
  <si>
    <t>Grundfos CR 15-2 2.2kW 2P IP66 Vertical multistage mounted on base with rubber mounts</t>
  </si>
  <si>
    <t>CRE10-4 PV-A-A-E-HQQE 1x200-240 60 HZ</t>
  </si>
  <si>
    <t>Grundfos CR 10-4 1.5kW 240/1/50 Fixed speed vertical multistage pump IE3 IP-55</t>
  </si>
  <si>
    <t>Grundfos CR 1-4 0.37kW 415V Vertical multistage pump</t>
  </si>
  <si>
    <t>Grundfos CR 1-5 0.37kW 415V Vertical multistage pump</t>
  </si>
  <si>
    <t>96121952-IP66</t>
  </si>
  <si>
    <t>Grundfos CR 32-2-2 3kW 2P Vertical multistage pump. Motor upgraded to IP-66 for external installation.</t>
  </si>
  <si>
    <t>96500964DTBASE</t>
  </si>
  <si>
    <t>Grundfos CR 10-2 0.75kW 2P Vertical multistage mounted on base with rubber mounts and stainless steel drip tray</t>
  </si>
  <si>
    <t>96501697-BDT</t>
  </si>
  <si>
    <t>Grundfos CR 15-1 1.1kW 2P Vertical multistage mounted on base with SS drip tray &amp; rubber mounts</t>
  </si>
  <si>
    <t>96501698-B</t>
  </si>
  <si>
    <t>Grundfos CR 15-2 2.2kW 2P Vertical multistage mounted on base with rubber mounts</t>
  </si>
  <si>
    <t>96501896-IP56</t>
  </si>
  <si>
    <t>Grundfos CR 15-4 4kW Vertical Multistage + IP56</t>
  </si>
  <si>
    <t>96516592DTBASE</t>
  </si>
  <si>
    <t>Grundfos CR 3-4 0.37kW 2P Vertical multistage mounted on base with rubber mounts and stainless steel drip tray</t>
  </si>
  <si>
    <t>96517037-B</t>
  </si>
  <si>
    <t>Grundfos CR 5-2 0.37kW 2P Vertical multistage mounted on base with rubber mounts</t>
  </si>
  <si>
    <t>96517039-B</t>
  </si>
  <si>
    <t>Grundfos CR 5-4 0.55kW 2P Vertical multistage mounted on base with rubber mounts</t>
  </si>
  <si>
    <t>96517039ISEIS-IP-56</t>
  </si>
  <si>
    <t>Grundfos CR 5-4 0.55kW + IB + SEIS + IP-56</t>
  </si>
  <si>
    <t>96520640DTBASE</t>
  </si>
  <si>
    <t>Grundfos CRN 1-4 0.37kW 415/3/50</t>
  </si>
  <si>
    <t>Grundfos CR 1-7 0.37kW 240/1/50 Fixed speed vertical multistage pump IE3 IP-55</t>
  </si>
  <si>
    <t>Grundfos CR 45-2 7.5kW IE3 IP-55 80mm DIN Flanged inline vertical multistage pump</t>
  </si>
  <si>
    <t>Grundfos CR 5-8 1.1kW 415V Vertical multistage pump</t>
  </si>
  <si>
    <t>Grundfos CR 1S-2 0.37kW Vertical multistage pump</t>
  </si>
  <si>
    <t>Grundfos CR 1S-3 0.37kW Vertical multistage pump</t>
  </si>
  <si>
    <t>CRE 10-3 2.2kW vertical multistage pump with integral variable speed drive</t>
  </si>
  <si>
    <t>CRE 15-1 1.5kW vertical multistage pump with integral variable speed drive</t>
  </si>
  <si>
    <t>CRE 20-2 inline vertical multistage pump with integral variable speed drive.</t>
  </si>
  <si>
    <t>CRE 45-2-1 11kW vertical multistage pump with integral variable speed drive</t>
  </si>
  <si>
    <t>96121952DTBASE</t>
  </si>
  <si>
    <t>Grundfos CR 32-2-2 3kW 2P Vertical multistage mounted on base with SS drip tray &amp; rubber mounts</t>
  </si>
  <si>
    <t>96500966-BIP66</t>
  </si>
  <si>
    <t>Grundfos CR 10-4 1.5kW 2P Vertical multistage mounted on base with rubber mounts IP-66 Upgrade</t>
  </si>
  <si>
    <t>96516977BASE</t>
  </si>
  <si>
    <t>Grundfos CR 5-4 0.55kW + BASE + RUBBER MOUNT</t>
  </si>
  <si>
    <t>Weight</t>
  </si>
  <si>
    <t>Item No</t>
  </si>
  <si>
    <t>Poles</t>
  </si>
  <si>
    <t>kW</t>
  </si>
  <si>
    <t>MEI</t>
  </si>
  <si>
    <t>Weight (kg)</t>
  </si>
  <si>
    <t>Length (mm)</t>
  </si>
  <si>
    <t>Width (mm)</t>
  </si>
  <si>
    <t>Height (mm)</t>
  </si>
  <si>
    <t>Length</t>
  </si>
  <si>
    <t>Width</t>
  </si>
  <si>
    <t>Spring SKU</t>
  </si>
  <si>
    <t>NBG 50-32-160/172</t>
  </si>
  <si>
    <t>1-151-800-630-125</t>
  </si>
  <si>
    <t>92932672-CSM14-125</t>
  </si>
  <si>
    <t>NBG 65-50-160/151</t>
  </si>
  <si>
    <t>NBG 65-50-160/162</t>
  </si>
  <si>
    <t>NBG 80-65-160/131</t>
  </si>
  <si>
    <t>NBG 50-32-200/197</t>
  </si>
  <si>
    <t>NBG 80-65-160/139</t>
  </si>
  <si>
    <t>NBG 50-32-200/184</t>
  </si>
  <si>
    <t>NBG 50-32-160/139</t>
  </si>
  <si>
    <t>NBG 50-32-200/216</t>
  </si>
  <si>
    <t>NBG 80-65-160/158</t>
  </si>
  <si>
    <t>NBG 50-32-200/219</t>
  </si>
  <si>
    <t>NBG 65-40-200/177</t>
  </si>
  <si>
    <t>NBG 80-65-160/175</t>
  </si>
  <si>
    <t>NBG 50-32-160/151</t>
  </si>
  <si>
    <t>NBG 65-40-200/198</t>
  </si>
  <si>
    <t>NBG 100-80-160/135</t>
  </si>
  <si>
    <t>NBG 80-50-200/171</t>
  </si>
  <si>
    <t>NBG 65-40-200/217</t>
  </si>
  <si>
    <t>NBG 80-50-200/188</t>
  </si>
  <si>
    <t>NBG 100-80-160/149</t>
  </si>
  <si>
    <t>NBG 50-32-160/163</t>
  </si>
  <si>
    <t>NBG 100-80-160/165</t>
  </si>
  <si>
    <t>NBG 65-50-160/144</t>
  </si>
  <si>
    <t>NBG 50-32-200/176</t>
  </si>
  <si>
    <t>NBG 100-65-200/170</t>
  </si>
  <si>
    <t>NBG 125-80-160/146</t>
  </si>
  <si>
    <t>NBG 65-40-250/219</t>
  </si>
  <si>
    <t>NBG 100-65-200/189</t>
  </si>
  <si>
    <t>NBG 80-50-250/221</t>
  </si>
  <si>
    <t>NBG 65-40-200/219</t>
  </si>
  <si>
    <t>2-317-1100-800-150</t>
  </si>
  <si>
    <t>92932673-CSM16-175</t>
  </si>
  <si>
    <t>NBG 80-50-200/210</t>
  </si>
  <si>
    <t>NBG 100-65-200/205</t>
  </si>
  <si>
    <t>7-246-950-720-150</t>
  </si>
  <si>
    <t>NBG 125-80-160/175</t>
  </si>
  <si>
    <t>NBG 100-80-160/177</t>
  </si>
  <si>
    <t>NBG 125-80-200/164</t>
  </si>
  <si>
    <t>NBG 80-50-250/241</t>
  </si>
  <si>
    <t>NBG 80-50-200/219</t>
  </si>
  <si>
    <t>NBG 65-40-250/245</t>
  </si>
  <si>
    <t>NBG 125-80-160/161</t>
  </si>
  <si>
    <t>NBG 125-100-160/160-140</t>
  </si>
  <si>
    <t>NBG 125-80-200/179</t>
  </si>
  <si>
    <t>91338157-CSM17-200</t>
  </si>
  <si>
    <t>NBG 50-32-160/177</t>
  </si>
  <si>
    <t>NBG 125-80-200/196</t>
  </si>
  <si>
    <t>NBG 65-50-160/158</t>
  </si>
  <si>
    <t>NBG 65-40-250/260</t>
  </si>
  <si>
    <t>NBG 50-32-200/190</t>
  </si>
  <si>
    <t>NBG 65-40-200/172</t>
  </si>
  <si>
    <t>NBG 80-65-160/136</t>
  </si>
  <si>
    <t>NBG 100-65-200/219</t>
  </si>
  <si>
    <t>NBG 65-50-160/172</t>
  </si>
  <si>
    <t>NBG 100-65-250/215</t>
  </si>
  <si>
    <t>NBG 125-100-200/178</t>
  </si>
  <si>
    <t>NBG 50-32-200/206</t>
  </si>
  <si>
    <t>NBG 65-40-200/188</t>
  </si>
  <si>
    <t>NBG 80-65-160/150</t>
  </si>
  <si>
    <t>NBG 125-80-160/177</t>
  </si>
  <si>
    <t>3-461-1200-800-200</t>
  </si>
  <si>
    <t>91338016-CLM96-250</t>
  </si>
  <si>
    <t>NBG 100-65-250/232</t>
  </si>
  <si>
    <t>NBG 65-40-315/283</t>
  </si>
  <si>
    <t>NBG 80-50-250/263</t>
  </si>
  <si>
    <t>NBG 100-80-160/143</t>
  </si>
  <si>
    <t>NBG 65-40-315/305</t>
  </si>
  <si>
    <t>NBG 125-100-160/169</t>
  </si>
  <si>
    <t>NBG 80-50-315/277</t>
  </si>
  <si>
    <t>NBG 125-100-160/176</t>
  </si>
  <si>
    <t>NBG 125-80-200/214</t>
  </si>
  <si>
    <t>NBG 125-100-200/195</t>
  </si>
  <si>
    <t>NBG 65-50-160/177</t>
  </si>
  <si>
    <t>NBG 100-65-250/254</t>
  </si>
  <si>
    <t>NBG 80-65-160/167</t>
  </si>
  <si>
    <t>NBG 125-80-250/225</t>
  </si>
  <si>
    <t>NBG 65-40-200/206</t>
  </si>
  <si>
    <t>NBG 125-100-200/211</t>
  </si>
  <si>
    <t>NBG 80-50-200/181</t>
  </si>
  <si>
    <t>NBG 65-40-315/334</t>
  </si>
  <si>
    <t>NBG 100-80-160/157</t>
  </si>
  <si>
    <t>NBG 80-65-160/177</t>
  </si>
  <si>
    <t>NBG 100-65-250/270</t>
  </si>
  <si>
    <t>NBG 80-50-200/198</t>
  </si>
  <si>
    <t>NBG 80-50-315/303</t>
  </si>
  <si>
    <t>NBG 100-80-160/173</t>
  </si>
  <si>
    <t>NBG 125-80-200/222</t>
  </si>
  <si>
    <t>91338018-CLM97-300</t>
  </si>
  <si>
    <t>NBG 100-65-200/162</t>
  </si>
  <si>
    <t>NBG 65-40-250/211</t>
  </si>
  <si>
    <t>NBG 100-65-315/261</t>
  </si>
  <si>
    <t>NBG 100-65-200/177</t>
  </si>
  <si>
    <t>NBG 125-80-160/147-127</t>
  </si>
  <si>
    <t>NBG 65-40-250/230</t>
  </si>
  <si>
    <t>NBG 80-50-315/331</t>
  </si>
  <si>
    <t>NBG 125-80-160/151</t>
  </si>
  <si>
    <t>NBG 150-125-200/176-154</t>
  </si>
  <si>
    <t>NBG 100-65-315/282</t>
  </si>
  <si>
    <t>NBG 80-50-250/205</t>
  </si>
  <si>
    <t>NBG 150-125-200/196-180</t>
  </si>
  <si>
    <t>NBG 100-65-200/190</t>
  </si>
  <si>
    <t>NBG 80-50-250/222</t>
  </si>
  <si>
    <t>NBG 125-100-160/160-154</t>
  </si>
  <si>
    <t>NBG 100-65-200/198</t>
  </si>
  <si>
    <t>NBG 125-80-160/167</t>
  </si>
  <si>
    <t>NBG 65-40-250/255</t>
  </si>
  <si>
    <t>NBG 80-50-250/233</t>
  </si>
  <si>
    <t>NBG 80-50-315/344</t>
  </si>
  <si>
    <t>NBG 100-65-315/320</t>
  </si>
  <si>
    <t>NBG 125-100-250/274</t>
  </si>
  <si>
    <t>NBG 125-100-250/245</t>
  </si>
  <si>
    <t>NBG 100-65-315/314</t>
  </si>
  <si>
    <t>NBG 125-80-200/171</t>
  </si>
  <si>
    <t>NBG 125-100-160/167</t>
  </si>
  <si>
    <t>NBG 150-125-200/226</t>
  </si>
  <si>
    <t>NBG 125-100-200/219</t>
  </si>
  <si>
    <t>4-648-1500-800-225</t>
  </si>
  <si>
    <t>91338019-CLM98-400</t>
  </si>
  <si>
    <t>NBG 125-80-315/305</t>
  </si>
  <si>
    <t>NBG 150-125-200/219</t>
  </si>
  <si>
    <t>NBG 150-125-250/236</t>
  </si>
  <si>
    <t>NBG 125-80-315/280</t>
  </si>
  <si>
    <t>NBG 125-80-250/270</t>
  </si>
  <si>
    <t>NBG 150-125-250/220</t>
  </si>
  <si>
    <t>NBG 125-100-315/279</t>
  </si>
  <si>
    <t>NBG 65-40-315/273</t>
  </si>
  <si>
    <t>NBG 100-65-200/217</t>
  </si>
  <si>
    <t>NBG 200-150-250/226-214</t>
  </si>
  <si>
    <t>NBG 125-80-315/320</t>
  </si>
  <si>
    <t>NBG 80-50-250/254</t>
  </si>
  <si>
    <t>NBG 125-80-200/188</t>
  </si>
  <si>
    <t>NBG 125-100-315/295</t>
  </si>
  <si>
    <t>NBG 150-125-250/249</t>
  </si>
  <si>
    <t>NBG 125-100-200/170</t>
  </si>
  <si>
    <t>NBG 100-65-250/223</t>
  </si>
  <si>
    <t>NBG 125-80-200/200</t>
  </si>
  <si>
    <t>NBG 65-40-315/298</t>
  </si>
  <si>
    <t>NBG 125-100-200/181</t>
  </si>
  <si>
    <t>NBG 80-50-315/267</t>
  </si>
  <si>
    <t>NBG 100-65-250/238</t>
  </si>
  <si>
    <t>NBG 125-80-400/347</t>
  </si>
  <si>
    <t>NBG 200-150-250/230</t>
  </si>
  <si>
    <t>NBG 150-125-315/275</t>
  </si>
  <si>
    <t>NBG 65-40-315/318</t>
  </si>
  <si>
    <t>NBG 200-150-200/218-208</t>
  </si>
  <si>
    <t>NBG 80-50-315/285</t>
  </si>
  <si>
    <t>NBG 125-80-315/334</t>
  </si>
  <si>
    <t>NBG 125-100-315/312</t>
  </si>
  <si>
    <t>NBG 150-125-250/262</t>
  </si>
  <si>
    <t>NBG 125-80-400/365</t>
  </si>
  <si>
    <t>NBG 200-150-250/242</t>
  </si>
  <si>
    <t>NBG 150-125-315/290</t>
  </si>
  <si>
    <t>NBG 125-100-400/334</t>
  </si>
  <si>
    <t>NBG 150-125-250/269</t>
  </si>
  <si>
    <t>NBG 125-100-315/334</t>
  </si>
  <si>
    <t>NBG 150-125-315/317</t>
  </si>
  <si>
    <t>5-972-1500-900-300</t>
  </si>
  <si>
    <t>91338020-CLM99-550</t>
  </si>
  <si>
    <t>NBG 200-150-250/262</t>
  </si>
  <si>
    <t>NBG 125-80-400/397</t>
  </si>
  <si>
    <t>NBG 125-100-400/360</t>
  </si>
  <si>
    <t>NBG 125-80-200/211</t>
  </si>
  <si>
    <t>NBG 125-100-200/192</t>
  </si>
  <si>
    <t>NBG 100-65-250/251</t>
  </si>
  <si>
    <t>NBG 125-80-250/220</t>
  </si>
  <si>
    <t>NBG 65-40-315/336</t>
  </si>
  <si>
    <t>NBG 80-50-315/300</t>
  </si>
  <si>
    <t>NBG 125-80-400/419</t>
  </si>
  <si>
    <t>91338021-CLM100-650</t>
  </si>
  <si>
    <t>NBG 150-125-315/336</t>
  </si>
  <si>
    <t>NBG 200-150-250/275</t>
  </si>
  <si>
    <t>NBG 125-80-400/438</t>
  </si>
  <si>
    <t>NBG 125-100-400/375</t>
  </si>
  <si>
    <t>NBG 150-125-315/338</t>
  </si>
  <si>
    <t>NBG 200-150-250/282</t>
  </si>
  <si>
    <t>NBG 125-100-200/203</t>
  </si>
  <si>
    <t>6-1512-2100-1000-300</t>
  </si>
  <si>
    <t>NBG 150-125-400/345</t>
  </si>
  <si>
    <t>NBG 125-100-400/395</t>
  </si>
  <si>
    <t>NBG 100-65-250/269</t>
  </si>
  <si>
    <t>NBG 125-80-250/234</t>
  </si>
  <si>
    <t>NBG 80-50-315/321</t>
  </si>
  <si>
    <t>NBG 125-100-250/205</t>
  </si>
  <si>
    <t>NBG 150-125-400/368</t>
  </si>
  <si>
    <t>NBG 100-65-315/272</t>
  </si>
  <si>
    <t>NBG 150-125-200/196-166</t>
  </si>
  <si>
    <t>NBG 125-100-250/229</t>
  </si>
  <si>
    <t>NBG 200-150-315/275</t>
  </si>
  <si>
    <t>NBG 125-80-250/257</t>
  </si>
  <si>
    <t>NBG 200-150-315/291</t>
  </si>
  <si>
    <t>NBG 100-65-315/295</t>
  </si>
  <si>
    <t>NBG 150-125-200/205</t>
  </si>
  <si>
    <t>NBG 125-100-400/415</t>
  </si>
  <si>
    <t>NBG 150-125-400/392</t>
  </si>
  <si>
    <t>NBG 200-150-200/216-176</t>
  </si>
  <si>
    <t>NBG 200-150-315/310</t>
  </si>
  <si>
    <t>NBG 150-125-400/433</t>
  </si>
  <si>
    <t>NBG 200-150-315/336</t>
  </si>
  <si>
    <t>NBG 200-150-400/343</t>
  </si>
  <si>
    <t>NBG 200-150-400/375</t>
  </si>
  <si>
    <t>NBG 100-65-315/308</t>
  </si>
  <si>
    <t>NBG 125-100-250/242</t>
  </si>
  <si>
    <t>NBG 125-80-315/278</t>
  </si>
  <si>
    <t>NBG 150-125-250/221</t>
  </si>
  <si>
    <t>NBG 200-150-200/218-202</t>
  </si>
  <si>
    <t>NBG 150-125-400/438</t>
  </si>
  <si>
    <t>NBG 200-150-400/394</t>
  </si>
  <si>
    <t>NBG 200-150-200/210-158</t>
  </si>
  <si>
    <t>NBG 50-32-160/173</t>
  </si>
  <si>
    <t>Pump Nett</t>
  </si>
  <si>
    <t>NK 150-280/273</t>
  </si>
  <si>
    <t>NK 100-280/240</t>
  </si>
  <si>
    <t>NK 125-380/307</t>
  </si>
  <si>
    <t>NK 150-300/289</t>
  </si>
  <si>
    <t>NK 200-350/307</t>
  </si>
  <si>
    <t>NK 125-350/289</t>
  </si>
  <si>
    <t>NK 125-350/319</t>
  </si>
  <si>
    <t>NK 40-180/176</t>
  </si>
  <si>
    <t>NK 40-180/173</t>
  </si>
  <si>
    <t>NK 40-180/155</t>
  </si>
  <si>
    <t>NK 40-180/140</t>
  </si>
  <si>
    <t>NK 40-180/125</t>
  </si>
  <si>
    <t>NK 40-180/112</t>
  </si>
  <si>
    <t>NK 40-180/162</t>
  </si>
  <si>
    <t>NK 40-180/145</t>
  </si>
  <si>
    <t>NK 40-180/130</t>
  </si>
  <si>
    <t>NK 40-220/250</t>
  </si>
  <si>
    <t>NK 40-220/244</t>
  </si>
  <si>
    <t>NK 40-220/212</t>
  </si>
  <si>
    <t>NK 40-220/192</t>
  </si>
  <si>
    <t>NK 40-220/172</t>
  </si>
  <si>
    <t>NK 40-220/218</t>
  </si>
  <si>
    <t>NK 40-220/200</t>
  </si>
  <si>
    <t>NK 40-220/179</t>
  </si>
  <si>
    <t>NK 40-220/167</t>
  </si>
  <si>
    <t>NK 40-225/246</t>
  </si>
  <si>
    <t>NK 40-225/230</t>
  </si>
  <si>
    <t>NK 40-225/210</t>
  </si>
  <si>
    <t>NK 40-225/192</t>
  </si>
  <si>
    <t>NK 40-225/173</t>
  </si>
  <si>
    <t>NK 40-225/158</t>
  </si>
  <si>
    <t>NK 40-225/250</t>
  </si>
  <si>
    <t>NK 40-225/226</t>
  </si>
  <si>
    <t>NK 40-225/199</t>
  </si>
  <si>
    <t>NK 40-225/182</t>
  </si>
  <si>
    <t>NK 40-225/162</t>
  </si>
  <si>
    <t>NK 50-225/240</t>
  </si>
  <si>
    <t>NK 50-225/225</t>
  </si>
  <si>
    <t>NK 50-225/208</t>
  </si>
  <si>
    <t>NK 50-225/193</t>
  </si>
  <si>
    <t>NK 50-225/172</t>
  </si>
  <si>
    <t>NK 50-225/151</t>
  </si>
  <si>
    <t>NK 50-225/139</t>
  </si>
  <si>
    <t>NK 50-225/237</t>
  </si>
  <si>
    <t>NK 50-225/207</t>
  </si>
  <si>
    <t>NK 50-225/181</t>
  </si>
  <si>
    <t>NK 50-225/160</t>
  </si>
  <si>
    <t>NK 50-225/144</t>
  </si>
  <si>
    <t>NK 50-280/262</t>
  </si>
  <si>
    <t>NK 50-280/250</t>
  </si>
  <si>
    <t>NK 50-280/226</t>
  </si>
  <si>
    <t>NK 50-280/208</t>
  </si>
  <si>
    <t>NK 50-350/340-336</t>
  </si>
  <si>
    <t>NK 50-350/304</t>
  </si>
  <si>
    <t>NK 50-350/278</t>
  </si>
  <si>
    <t>NK 50-350/256</t>
  </si>
  <si>
    <t>NK 50-350/236</t>
  </si>
  <si>
    <t>NK 65-180/172</t>
  </si>
  <si>
    <t>NK 65-180/169</t>
  </si>
  <si>
    <t>NK 65-180/154</t>
  </si>
  <si>
    <t>NK 65-180/139</t>
  </si>
  <si>
    <t>NK 65-180/124</t>
  </si>
  <si>
    <t>NK 65-180/113</t>
  </si>
  <si>
    <t>NK 65-180/162</t>
  </si>
  <si>
    <t>NK 65-180/145</t>
  </si>
  <si>
    <t>NK 65-180/131</t>
  </si>
  <si>
    <t>NK 65-225/242</t>
  </si>
  <si>
    <t>NK 65-225/232</t>
  </si>
  <si>
    <t>NK 65-225/200</t>
  </si>
  <si>
    <t>NK 65-225/184</t>
  </si>
  <si>
    <t>NK 65-225/167</t>
  </si>
  <si>
    <t>NK 65-225/150</t>
  </si>
  <si>
    <t>NK 65-225/211</t>
  </si>
  <si>
    <t>NK 65-225/183</t>
  </si>
  <si>
    <t>NK 65-225/158</t>
  </si>
  <si>
    <t>NK 65-225/144</t>
  </si>
  <si>
    <t>NK 65-225/240</t>
  </si>
  <si>
    <t>NK 65-225/193</t>
  </si>
  <si>
    <t>NK 65-225/182</t>
  </si>
  <si>
    <t>NK 65-280/280</t>
  </si>
  <si>
    <t>NK 65-280/270</t>
  </si>
  <si>
    <t>NK 65-280/240</t>
  </si>
  <si>
    <t>NK 65-280/217</t>
  </si>
  <si>
    <t>NK 65-280/258</t>
  </si>
  <si>
    <t>NK 65-280/237</t>
  </si>
  <si>
    <t>NK 65-280/210</t>
  </si>
  <si>
    <t>NK 80-180/174</t>
  </si>
  <si>
    <t>NK 80-180/172</t>
  </si>
  <si>
    <t>NK 80-180/153</t>
  </si>
  <si>
    <t>NK 80-180/137</t>
  </si>
  <si>
    <t>NK 80-180/123</t>
  </si>
  <si>
    <t>NK 80-180/112</t>
  </si>
  <si>
    <t>NK 80-180/165</t>
  </si>
  <si>
    <t>NK 80-180/145</t>
  </si>
  <si>
    <t>NK 80-180/128</t>
  </si>
  <si>
    <t>NK 80-225/225</t>
  </si>
  <si>
    <t>NK 80-225/205</t>
  </si>
  <si>
    <t>NK 80-225/193</t>
  </si>
  <si>
    <t>NK 80-225/183</t>
  </si>
  <si>
    <t>NK 80-225/166</t>
  </si>
  <si>
    <t>NK 80-225/157</t>
  </si>
  <si>
    <t>NK 80-225/190</t>
  </si>
  <si>
    <t>NK 80-225/171</t>
  </si>
  <si>
    <t>NK 80-225/156</t>
  </si>
  <si>
    <t>NK 80-225/139</t>
  </si>
  <si>
    <t>NK 80-225/202</t>
  </si>
  <si>
    <t>NK 80-225/187</t>
  </si>
  <si>
    <t>NK 80-225/165</t>
  </si>
  <si>
    <t>NK 80-280/278-270</t>
  </si>
  <si>
    <t>NK 80-280/257-249</t>
  </si>
  <si>
    <t>NK 80-280/231-223</t>
  </si>
  <si>
    <t>NK 80-280/214-206</t>
  </si>
  <si>
    <t>NK 80-280/267-259</t>
  </si>
  <si>
    <t>NK 80-280/226-218</t>
  </si>
  <si>
    <t>NK 80-280/207-199</t>
  </si>
  <si>
    <t>NK 80-350/328</t>
  </si>
  <si>
    <t>NK 80-350/299</t>
  </si>
  <si>
    <t>NK 80-350/271</t>
  </si>
  <si>
    <t>NK 80-350/243</t>
  </si>
  <si>
    <t>NK 80-350/219</t>
  </si>
  <si>
    <t>NK 80-350/293</t>
  </si>
  <si>
    <t>NK 80-350/264</t>
  </si>
  <si>
    <t>NK 80-350/240</t>
  </si>
  <si>
    <t>NK 100-180/172</t>
  </si>
  <si>
    <t>NK 100-180/167</t>
  </si>
  <si>
    <t>NK 100-180/153</t>
  </si>
  <si>
    <t>NK 100-180/141</t>
  </si>
  <si>
    <t>NK 100-180/126</t>
  </si>
  <si>
    <t>NK 100-180/174</t>
  </si>
  <si>
    <t>NK 100-180/161</t>
  </si>
  <si>
    <t>NK 100-180/146</t>
  </si>
  <si>
    <t>NK 100-180/138-130</t>
  </si>
  <si>
    <t>NK 100-180/173</t>
  </si>
  <si>
    <t>NK 100-180/159</t>
  </si>
  <si>
    <t>NK 100-180/140</t>
  </si>
  <si>
    <t>NK 100-225/238</t>
  </si>
  <si>
    <t>NK 100-225/215</t>
  </si>
  <si>
    <t>NK 100-225/197</t>
  </si>
  <si>
    <t>NK 100-225/185</t>
  </si>
  <si>
    <t>NK 100-225/172</t>
  </si>
  <si>
    <t>NK 100-225/156</t>
  </si>
  <si>
    <t>NK 100-225/235</t>
  </si>
  <si>
    <t>NK 100-225/204</t>
  </si>
  <si>
    <t>NK 100-225/181</t>
  </si>
  <si>
    <t>NK 100-225/162</t>
  </si>
  <si>
    <t>NK 100-225/236</t>
  </si>
  <si>
    <t>NK 100-225/198</t>
  </si>
  <si>
    <t>NK 100-225/177</t>
  </si>
  <si>
    <t>NK 100-280/256</t>
  </si>
  <si>
    <t>NK 100-280/215</t>
  </si>
  <si>
    <t>NK 100-280/196</t>
  </si>
  <si>
    <t>NK 100-280/234</t>
  </si>
  <si>
    <t>NK 100-280/218</t>
  </si>
  <si>
    <t>NK 100-280/194</t>
  </si>
  <si>
    <t>NK 100-350/326</t>
  </si>
  <si>
    <t>NK 100-350/308</t>
  </si>
  <si>
    <t>NK 100-350/290</t>
  </si>
  <si>
    <t>NK 100-350/261</t>
  </si>
  <si>
    <t>NK 100-350/224</t>
  </si>
  <si>
    <t>NK 100-350/307</t>
  </si>
  <si>
    <t>NK 100-350/279</t>
  </si>
  <si>
    <t>NK 100-350/251</t>
  </si>
  <si>
    <t>NK 125-225/232</t>
  </si>
  <si>
    <t>NK 125-225/223</t>
  </si>
  <si>
    <t>NK 125-225/197</t>
  </si>
  <si>
    <t>NK 125-225/179</t>
  </si>
  <si>
    <t>NK 125-225/218</t>
  </si>
  <si>
    <t>NK 125-225/202</t>
  </si>
  <si>
    <t>NK 125-225/178</t>
  </si>
  <si>
    <t>NK 125-280/270</t>
  </si>
  <si>
    <t>NK 125-280/256</t>
  </si>
  <si>
    <t>NK 125-280/232</t>
  </si>
  <si>
    <t>NK 125-280/204</t>
  </si>
  <si>
    <t>NK 125-280/251</t>
  </si>
  <si>
    <t>NK 125-280/205</t>
  </si>
  <si>
    <t>NK 125-350/333-329</t>
  </si>
  <si>
    <t>NK 125-350/276</t>
  </si>
  <si>
    <t>NK 125-350/253</t>
  </si>
  <si>
    <t>NK 125-350/228</t>
  </si>
  <si>
    <t>NK 125-350/301</t>
  </si>
  <si>
    <t>NK 125-350/275</t>
  </si>
  <si>
    <t>NK 125-350/247</t>
  </si>
  <si>
    <t>NK 150-225/242</t>
  </si>
  <si>
    <t>NK 150-225/238</t>
  </si>
  <si>
    <t>NK 150-225/216</t>
  </si>
  <si>
    <t>NK 150-225/196</t>
  </si>
  <si>
    <t>NK 150-225/180</t>
  </si>
  <si>
    <t>NK 150-225/233</t>
  </si>
  <si>
    <t>NK 150-225/212</t>
  </si>
  <si>
    <t>NK 150-225/198</t>
  </si>
  <si>
    <t>NK 150-280/260</t>
  </si>
  <si>
    <t>NK 150-280/247</t>
  </si>
  <si>
    <t>NK 150-280/232</t>
  </si>
  <si>
    <t>NK 150-280/214</t>
  </si>
  <si>
    <t>NK 150-280/251</t>
  </si>
  <si>
    <t>NK 150-280/229</t>
  </si>
  <si>
    <t>NK 150-280/210</t>
  </si>
  <si>
    <t>NK 150-350/328-324</t>
  </si>
  <si>
    <t>NK 150-350/318-314</t>
  </si>
  <si>
    <t>NK 150-350/294</t>
  </si>
  <si>
    <t>NK 150-350/273</t>
  </si>
  <si>
    <t>NK 150-350/254</t>
  </si>
  <si>
    <t>NK 150-350/238</t>
  </si>
  <si>
    <t>NK 150-350/301</t>
  </si>
  <si>
    <t>NK 150-350/264</t>
  </si>
  <si>
    <t>NK 150-350/240</t>
  </si>
  <si>
    <t>NK 150-350/217</t>
  </si>
  <si>
    <t>NK 150-380/430</t>
  </si>
  <si>
    <t>NK 150-380/409</t>
  </si>
  <si>
    <t>NK 150-380/380</t>
  </si>
  <si>
    <t>NK 150-380/350</t>
  </si>
  <si>
    <t>NK 150-380/308</t>
  </si>
  <si>
    <t>NK 150-380/402</t>
  </si>
  <si>
    <t>NK 150-380/351</t>
  </si>
  <si>
    <t>NK 150-380/329</t>
  </si>
  <si>
    <t>NK 150-380/300</t>
  </si>
  <si>
    <t>NK 250-380/416</t>
  </si>
  <si>
    <t>NK 250-380/404</t>
  </si>
  <si>
    <t>NK 250-380/375</t>
  </si>
  <si>
    <t>NK 250-380/353</t>
  </si>
  <si>
    <t>NK 250-380/333</t>
  </si>
  <si>
    <t>NK 250-380/302</t>
  </si>
  <si>
    <t>NK 250-380/403</t>
  </si>
  <si>
    <t>NK 250-380/365</t>
  </si>
  <si>
    <t>NK 250-380/334</t>
  </si>
  <si>
    <t>NK 250-380/316</t>
  </si>
  <si>
    <t>NK 32-180/177</t>
  </si>
  <si>
    <t>NK 32-180/166</t>
  </si>
  <si>
    <t>NK 32-180/152</t>
  </si>
  <si>
    <t>NK 32-180/140</t>
  </si>
  <si>
    <t>NK 32-180/123</t>
  </si>
  <si>
    <t>NK 32-180/174</t>
  </si>
  <si>
    <t>NK 32-180/159</t>
  </si>
  <si>
    <t>NK 32-180/138</t>
  </si>
  <si>
    <t>NK 100-380/426</t>
  </si>
  <si>
    <t>NK 100-380/415</t>
  </si>
  <si>
    <t>NK 100-380/390</t>
  </si>
  <si>
    <t>NK 100-380/367</t>
  </si>
  <si>
    <t>NK 100-380/341</t>
  </si>
  <si>
    <t>NK 100-380/313</t>
  </si>
  <si>
    <t>NK 100-380/408</t>
  </si>
  <si>
    <t>NK 100-380/372</t>
  </si>
  <si>
    <t>NK 100-380/329</t>
  </si>
  <si>
    <t>NK 100-380/300</t>
  </si>
  <si>
    <t>NK 125-180/176</t>
  </si>
  <si>
    <t>NK 125-180/166</t>
  </si>
  <si>
    <t>NK 125-180/160</t>
  </si>
  <si>
    <t>NK 125-180/152-148</t>
  </si>
  <si>
    <t>NK 125-180/144-116</t>
  </si>
  <si>
    <t>NK 125-180/171</t>
  </si>
  <si>
    <t>NK 125-180/158</t>
  </si>
  <si>
    <t>NK 125-180/152-136</t>
  </si>
  <si>
    <t>NK 125-180/164</t>
  </si>
  <si>
    <t>NK 125-180/152-146</t>
  </si>
  <si>
    <t>NK 125-380/410</t>
  </si>
  <si>
    <t>NK 125-380/405</t>
  </si>
  <si>
    <t>NK 125-380/360</t>
  </si>
  <si>
    <t>NK 125-380/333</t>
  </si>
  <si>
    <t>NK 125-380/283</t>
  </si>
  <si>
    <t>NK 125-380/406</t>
  </si>
  <si>
    <t>NK 125-380/380</t>
  </si>
  <si>
    <t>NK 125-380/349</t>
  </si>
  <si>
    <t>NK 125-380/314</t>
  </si>
  <si>
    <t>NK 32-130/142</t>
  </si>
  <si>
    <t>NK 32-130/135</t>
  </si>
  <si>
    <t>NK 32-130/121</t>
  </si>
  <si>
    <t>NK 32-130/111</t>
  </si>
  <si>
    <t>NK 32-130/133</t>
  </si>
  <si>
    <t>NK 32-130.1/144</t>
  </si>
  <si>
    <t>NK 32-130.1/140</t>
  </si>
  <si>
    <t>NK 32-130.1/124</t>
  </si>
  <si>
    <t>NK 32-130.1/114</t>
  </si>
  <si>
    <t>NK 32-130.1/100</t>
  </si>
  <si>
    <t>NK 32-130.1/135</t>
  </si>
  <si>
    <t>NK 32-165.1/177</t>
  </si>
  <si>
    <t>NK 32-165.1/168</t>
  </si>
  <si>
    <t>NK 32-165.1/156</t>
  </si>
  <si>
    <t>NK 32-165.1/141</t>
  </si>
  <si>
    <t>NK 32-165.1/167</t>
  </si>
  <si>
    <t>NK 32-165.1/151</t>
  </si>
  <si>
    <t>NK 32-205.1/207</t>
  </si>
  <si>
    <t>NK 32-205.1/205</t>
  </si>
  <si>
    <t>NK 32-205.1/189</t>
  </si>
  <si>
    <t>NK 32-205.1/176</t>
  </si>
  <si>
    <t>NK 32-205.1/192</t>
  </si>
  <si>
    <t>NK 32-205.1/174</t>
  </si>
  <si>
    <t>NK 40-130/142</t>
  </si>
  <si>
    <t>NK 40-130/140</t>
  </si>
  <si>
    <t>NK 40-130/131</t>
  </si>
  <si>
    <t>NK 40-130/122</t>
  </si>
  <si>
    <t>NK 40-130/108</t>
  </si>
  <si>
    <t>NK 40-130/135</t>
  </si>
  <si>
    <t>NK 50-130/142</t>
  </si>
  <si>
    <t>NK 50-130/135</t>
  </si>
  <si>
    <t>NK 50-130/124</t>
  </si>
  <si>
    <t>NK 50-130/113</t>
  </si>
  <si>
    <t>NK 50-130/138</t>
  </si>
  <si>
    <t>NK 50-130/129</t>
  </si>
  <si>
    <t>NK 65-130/144</t>
  </si>
  <si>
    <t>NK 65-130/136</t>
  </si>
  <si>
    <t>NK 65-130/124</t>
  </si>
  <si>
    <t>NK 65-130/117-107</t>
  </si>
  <si>
    <t>NK 65-130/141</t>
  </si>
  <si>
    <t>NK 65-130/128</t>
  </si>
  <si>
    <t>NK 65-130/119</t>
  </si>
  <si>
    <t>NK 50-280/239</t>
  </si>
  <si>
    <t>NK 50-280/219</t>
  </si>
  <si>
    <t>NK 50-280/209</t>
  </si>
  <si>
    <t>NK 50-280/197</t>
  </si>
  <si>
    <t>NK 250-360/370</t>
  </si>
  <si>
    <t>NK 250-360/359</t>
  </si>
  <si>
    <t>NK 250-360/315</t>
  </si>
  <si>
    <t>NK 250-360/291</t>
  </si>
  <si>
    <t>NK 250-360/273</t>
  </si>
  <si>
    <t>NK 250-360/360</t>
  </si>
  <si>
    <t>NK 250-360/331</t>
  </si>
  <si>
    <t>NK 250-360/310</t>
  </si>
  <si>
    <t>NK 250-360/275</t>
  </si>
  <si>
    <t>NK 200-380/404</t>
  </si>
  <si>
    <t>NK 200-380/400</t>
  </si>
  <si>
    <t>NK 200-380/368</t>
  </si>
  <si>
    <t>NK 200-380/346</t>
  </si>
  <si>
    <t>NK 200-380/314</t>
  </si>
  <si>
    <t>NK 200-380/393</t>
  </si>
  <si>
    <t>NK 200-380/348</t>
  </si>
  <si>
    <t>NK 200-380/329</t>
  </si>
  <si>
    <t>NK 200-380/308</t>
  </si>
  <si>
    <t>NK 300-300/346-340</t>
  </si>
  <si>
    <t>NK 300-300/326</t>
  </si>
  <si>
    <t>NK 300-300/305</t>
  </si>
  <si>
    <t>NK 300-300/280-272</t>
  </si>
  <si>
    <t>NK 300-300/280-224</t>
  </si>
  <si>
    <t>NK 300-300/340</t>
  </si>
  <si>
    <t>NK 300-300/307</t>
  </si>
  <si>
    <t>NK 300-300/290</t>
  </si>
  <si>
    <t>NK 300-300/280-248</t>
  </si>
  <si>
    <t>NK 300-300/276-196</t>
  </si>
  <si>
    <t>NK 350-350/416-382</t>
  </si>
  <si>
    <t>NK 350-350/408-374</t>
  </si>
  <si>
    <t>NK 350-350/388-356</t>
  </si>
  <si>
    <t>NK 350-350/372-336</t>
  </si>
  <si>
    <t>NK 350-350/348-316</t>
  </si>
  <si>
    <t>NK 350-350/408-376</t>
  </si>
  <si>
    <t>NK 350-350/388-352</t>
  </si>
  <si>
    <t>NK 350-350/364-336</t>
  </si>
  <si>
    <t>NK 350-350/342-306</t>
  </si>
  <si>
    <t>NK 150-300/269</t>
  </si>
  <si>
    <t>NK 150-300/281</t>
  </si>
  <si>
    <t>NK 200-300/304</t>
  </si>
  <si>
    <t>NK 200-300/288</t>
  </si>
  <si>
    <t>NK 200-300/273</t>
  </si>
  <si>
    <t>NK 200-500/530</t>
  </si>
  <si>
    <t>NK 200-500/516</t>
  </si>
  <si>
    <t>NK 200-500/497</t>
  </si>
  <si>
    <t>NK 200-500/477</t>
  </si>
  <si>
    <t>NK 200-500/468</t>
  </si>
  <si>
    <t>NK 200-500/449</t>
  </si>
  <si>
    <t>NK 200-500/422</t>
  </si>
  <si>
    <t>NK 200-500/521</t>
  </si>
  <si>
    <t>NK 200-500/471</t>
  </si>
  <si>
    <t>NK 200-500/441</t>
  </si>
  <si>
    <t>NK 200-500/419</t>
  </si>
  <si>
    <t>NK 300-400/480</t>
  </si>
  <si>
    <t>NK 300-400/455</t>
  </si>
  <si>
    <t>NK 300-400/434</t>
  </si>
  <si>
    <t>NK 300-400/409</t>
  </si>
  <si>
    <t>NK 300-400/395</t>
  </si>
  <si>
    <t>NK 300-400/479</t>
  </si>
  <si>
    <t>NK 300-400/437</t>
  </si>
  <si>
    <t>NK 300-400/390</t>
  </si>
  <si>
    <t>NK 300-350/370</t>
  </si>
  <si>
    <t>NK 300-350/358</t>
  </si>
  <si>
    <t>NK 300-350/343</t>
  </si>
  <si>
    <t>NK 300-350/327</t>
  </si>
  <si>
    <t>NK 300-350/356</t>
  </si>
  <si>
    <t>NK 300-350/337</t>
  </si>
  <si>
    <t>NK 250-315/304-288</t>
  </si>
  <si>
    <t>NK 250-315/300-288</t>
  </si>
  <si>
    <t>NK 250-315/280</t>
  </si>
  <si>
    <t>NK 250-315/264</t>
  </si>
  <si>
    <t>NK 250-315/258-210</t>
  </si>
  <si>
    <t>NK 250-315/283</t>
  </si>
  <si>
    <t>NK 250-315/260-228</t>
  </si>
  <si>
    <t>NK 300-310/350</t>
  </si>
  <si>
    <t>NK 300-310/328</t>
  </si>
  <si>
    <t>NK 300-310/348-240</t>
  </si>
  <si>
    <t>NK 300-310/332-212</t>
  </si>
  <si>
    <t>NK 300-310/320-190</t>
  </si>
  <si>
    <t>NK 300-310/348</t>
  </si>
  <si>
    <t>NK 300-310/350-258</t>
  </si>
  <si>
    <t>NK 300-310/336-212</t>
  </si>
  <si>
    <t>NK 300-310/328-196</t>
  </si>
  <si>
    <t>NK 300-310/320-184</t>
  </si>
  <si>
    <t>NK 200-350/341</t>
  </si>
  <si>
    <t>NK 200-350/337</t>
  </si>
  <si>
    <t>NK 200-350/291</t>
  </si>
  <si>
    <t>NK 200-350/276</t>
  </si>
  <si>
    <t>NK 200-350/260</t>
  </si>
  <si>
    <t>NK 200-350/239</t>
  </si>
  <si>
    <t>NK 200-350/339</t>
  </si>
  <si>
    <t>NK 200-350/323</t>
  </si>
  <si>
    <t>NK 200-350/303</t>
  </si>
  <si>
    <t>NK 200-350/279</t>
  </si>
  <si>
    <t>NK 200-350/251</t>
  </si>
  <si>
    <t>NK 200-350/228</t>
  </si>
  <si>
    <t>Inertia PN</t>
  </si>
  <si>
    <t>Inertia Size</t>
  </si>
  <si>
    <t>Standard Spring PN</t>
  </si>
  <si>
    <t>Standard Spring</t>
  </si>
  <si>
    <t>50mm Static Spring PN</t>
  </si>
  <si>
    <t>50mm Spring</t>
  </si>
  <si>
    <t>Qty Springs</t>
  </si>
  <si>
    <t>Pump List</t>
  </si>
  <si>
    <t>IP-56 List</t>
  </si>
  <si>
    <t>IP-56 Nett</t>
  </si>
  <si>
    <t>IP-66 List</t>
  </si>
  <si>
    <t>IP-66 Nett</t>
  </si>
  <si>
    <t>Inertia Nett</t>
  </si>
  <si>
    <t>Crossbar Nett</t>
  </si>
  <si>
    <t>Standard Spring Nett</t>
  </si>
  <si>
    <t>Total Standard Spring Nett</t>
  </si>
  <si>
    <t>50mm Spring Nett</t>
  </si>
  <si>
    <t>Total 50mm Spring</t>
  </si>
  <si>
    <t>24/25 Pump List</t>
  </si>
  <si>
    <t>24/25 Pump Nett</t>
  </si>
  <si>
    <t>Total Cost</t>
  </si>
  <si>
    <t>Total Sell</t>
  </si>
  <si>
    <t>TBA-8</t>
  </si>
  <si>
    <t>1500 x 100 x 300</t>
  </si>
  <si>
    <t>CLM-100</t>
  </si>
  <si>
    <t>NBG 125-80-250/247</t>
  </si>
  <si>
    <t>TBA</t>
  </si>
  <si>
    <t>1700 x 1200 x 300</t>
  </si>
  <si>
    <t>Base Nett</t>
  </si>
  <si>
    <t>Inertia SKU</t>
  </si>
  <si>
    <t>RM Nett</t>
  </si>
  <si>
    <t>Mount Qty</t>
  </si>
  <si>
    <t>RM Total</t>
  </si>
  <si>
    <t>Seismic SKU</t>
  </si>
  <si>
    <t>Seismic Name</t>
  </si>
  <si>
    <t>Seismic Qty</t>
  </si>
  <si>
    <t>Std Spring PN</t>
  </si>
  <si>
    <t>IE4</t>
  </si>
  <si>
    <t>1700 x 810 x 200</t>
  </si>
  <si>
    <t>CLM-98</t>
  </si>
  <si>
    <t>1450 x 800 x 200</t>
  </si>
  <si>
    <t>CLM-97</t>
  </si>
  <si>
    <t>1700 x 900 x 200</t>
  </si>
  <si>
    <t>CLM-99</t>
  </si>
  <si>
    <t>TBA-5</t>
  </si>
  <si>
    <t>1900 x 1200 x 250</t>
  </si>
  <si>
    <t>1200 x 650 x 150</t>
  </si>
  <si>
    <t>CSM-16</t>
  </si>
  <si>
    <t>1100 x 800 x 150</t>
  </si>
  <si>
    <t>1320 x 740 x 125</t>
  </si>
  <si>
    <t>CSM-17</t>
  </si>
  <si>
    <t>1400 x 700 x 175</t>
  </si>
  <si>
    <t>CLM-96</t>
  </si>
  <si>
    <t>1350 x 800 x 175</t>
  </si>
  <si>
    <t>1300 x 800 x 200</t>
  </si>
  <si>
    <t>1500 x 800 x 225</t>
  </si>
  <si>
    <t>1400 x 720 x 125</t>
  </si>
  <si>
    <t>TBA-4</t>
  </si>
  <si>
    <t>1700 x 1200 x 200</t>
  </si>
  <si>
    <t>1600 x 800 x 225</t>
  </si>
  <si>
    <t>1500 x 900 x 220</t>
  </si>
  <si>
    <t>1700 x 850 x 225</t>
  </si>
  <si>
    <t>1750 x 1200 x 200</t>
  </si>
  <si>
    <t>2500 x 900 x 600</t>
  </si>
  <si>
    <t>CDM-553</t>
  </si>
  <si>
    <t>TBA-7</t>
  </si>
  <si>
    <t>2100 x 1400 x 250</t>
  </si>
  <si>
    <t>2200 x 1350 x 250</t>
  </si>
  <si>
    <t>TBA-2</t>
  </si>
  <si>
    <t>2200 x 1400 x 300</t>
  </si>
  <si>
    <t>CDM-551</t>
  </si>
  <si>
    <t>TBA-9</t>
  </si>
  <si>
    <t>1800 x 1000 x 250</t>
  </si>
  <si>
    <t>1800 x 800 x 250</t>
  </si>
  <si>
    <t>2200 x 1400 x 250</t>
  </si>
  <si>
    <t>TBA-3</t>
  </si>
  <si>
    <t>2400 x 1200 x 300</t>
  </si>
  <si>
    <t>1900 x 1200 x 400</t>
  </si>
  <si>
    <t>2500 x 1450 x 300</t>
  </si>
  <si>
    <t>Seismic Total</t>
  </si>
  <si>
    <t>CR1-10</t>
  </si>
  <si>
    <t>CR1-11</t>
  </si>
  <si>
    <t>CR1-12</t>
  </si>
  <si>
    <t>CR1-13</t>
  </si>
  <si>
    <t>CR1-15</t>
  </si>
  <si>
    <t>CR1-17</t>
  </si>
  <si>
    <t>CR1-19</t>
  </si>
  <si>
    <t>CR1-2</t>
  </si>
  <si>
    <t>CR1-21</t>
  </si>
  <si>
    <t>CR1-23</t>
  </si>
  <si>
    <t>CR1-25</t>
  </si>
  <si>
    <t>CR1-27</t>
  </si>
  <si>
    <t>CR1-3</t>
  </si>
  <si>
    <t>CR1-30</t>
  </si>
  <si>
    <t>CR1-33</t>
  </si>
  <si>
    <t>CR1-36</t>
  </si>
  <si>
    <t>CR1-4</t>
  </si>
  <si>
    <t>CR1-5</t>
  </si>
  <si>
    <t>CR1-6</t>
  </si>
  <si>
    <t>CR1-7</t>
  </si>
  <si>
    <t>CR1-8</t>
  </si>
  <si>
    <t>CR1-9</t>
  </si>
  <si>
    <t>CR10-1</t>
  </si>
  <si>
    <t>CR10-10</t>
  </si>
  <si>
    <t>CR10-12</t>
  </si>
  <si>
    <t>CR10-14</t>
  </si>
  <si>
    <t>CR10-16</t>
  </si>
  <si>
    <t>CR10-18</t>
  </si>
  <si>
    <t>CR10-2</t>
  </si>
  <si>
    <t>CR10-20</t>
  </si>
  <si>
    <t>CR10-22</t>
  </si>
  <si>
    <t>CR10-3</t>
  </si>
  <si>
    <t>CR10-4</t>
  </si>
  <si>
    <t>CR10-5</t>
  </si>
  <si>
    <t>CR10-6</t>
  </si>
  <si>
    <t>CR10-7</t>
  </si>
  <si>
    <t>CR10-8</t>
  </si>
  <si>
    <t>CR10-9</t>
  </si>
  <si>
    <t>CR125-1</t>
  </si>
  <si>
    <t>CR125-2</t>
  </si>
  <si>
    <t>CR125-2-1</t>
  </si>
  <si>
    <t>CR125-2-2</t>
  </si>
  <si>
    <t>CR125-3</t>
  </si>
  <si>
    <t>CR125-3-1</t>
  </si>
  <si>
    <t>CR125-4</t>
  </si>
  <si>
    <t>CR125-4-2</t>
  </si>
  <si>
    <t>CR125-5</t>
  </si>
  <si>
    <t>CR15-1</t>
  </si>
  <si>
    <t>CR15-10</t>
  </si>
  <si>
    <t>CR15-12</t>
  </si>
  <si>
    <t>CR15-14</t>
  </si>
  <si>
    <t>CR15-17</t>
  </si>
  <si>
    <t>CR15-2</t>
  </si>
  <si>
    <t>CR15-3</t>
  </si>
  <si>
    <t>CR15-4</t>
  </si>
  <si>
    <t>CR15-5</t>
  </si>
  <si>
    <t>CR15-6</t>
  </si>
  <si>
    <t>CR15-7</t>
  </si>
  <si>
    <t>CR15-8</t>
  </si>
  <si>
    <t>CR15-9</t>
  </si>
  <si>
    <t>CR155-1</t>
  </si>
  <si>
    <t>CR155-1-1</t>
  </si>
  <si>
    <t>CR155-2</t>
  </si>
  <si>
    <t>CR155-2-2</t>
  </si>
  <si>
    <t>CR155-3</t>
  </si>
  <si>
    <t>CR155-3-2</t>
  </si>
  <si>
    <t>CR155-4-1</t>
  </si>
  <si>
    <t>CR185-1</t>
  </si>
  <si>
    <t>CR185-1-1</t>
  </si>
  <si>
    <t>CR185-2</t>
  </si>
  <si>
    <t>CR185-2-2</t>
  </si>
  <si>
    <t>CR185-3</t>
  </si>
  <si>
    <t>CR185-3-3</t>
  </si>
  <si>
    <t>CR185-4</t>
  </si>
  <si>
    <t>CR185-4-3</t>
  </si>
  <si>
    <t>CR185-5</t>
  </si>
  <si>
    <t>CR185-5-3</t>
  </si>
  <si>
    <t>CR185-6</t>
  </si>
  <si>
    <t>CR185-6-3</t>
  </si>
  <si>
    <t>CR185-7</t>
  </si>
  <si>
    <t>CR185-7-3</t>
  </si>
  <si>
    <t>CR185-8</t>
  </si>
  <si>
    <t>CR185-8-3</t>
  </si>
  <si>
    <t>CR1S-10</t>
  </si>
  <si>
    <t>CR1S-11</t>
  </si>
  <si>
    <t>CR1S-12</t>
  </si>
  <si>
    <t>CR1S-13</t>
  </si>
  <si>
    <t>CR1S-15</t>
  </si>
  <si>
    <t>CR1S-17</t>
  </si>
  <si>
    <t>CR1S-19</t>
  </si>
  <si>
    <t>CR1S-2</t>
  </si>
  <si>
    <t>CR1S-21</t>
  </si>
  <si>
    <t>CR1S-23</t>
  </si>
  <si>
    <t>CR1S-25</t>
  </si>
  <si>
    <t>CR1S-27</t>
  </si>
  <si>
    <t>CR1S-3</t>
  </si>
  <si>
    <t>CR1S-30</t>
  </si>
  <si>
    <t>CR1S-33</t>
  </si>
  <si>
    <t>CR1S-36</t>
  </si>
  <si>
    <t>CR1S-4</t>
  </si>
  <si>
    <t>CR1S-5</t>
  </si>
  <si>
    <t>CR1S-6</t>
  </si>
  <si>
    <t>CR1S-7</t>
  </si>
  <si>
    <t>CR1S-8</t>
  </si>
  <si>
    <t>CR1S-9</t>
  </si>
  <si>
    <t>CR20-1</t>
  </si>
  <si>
    <t>CR20-10</t>
  </si>
  <si>
    <t>CR20-12</t>
  </si>
  <si>
    <t>CR20-14</t>
  </si>
  <si>
    <t>CR20-17</t>
  </si>
  <si>
    <t>CR20-2</t>
  </si>
  <si>
    <t>CR20-3</t>
  </si>
  <si>
    <t>CR20-4</t>
  </si>
  <si>
    <t>CR20-5</t>
  </si>
  <si>
    <t>CR20-6</t>
  </si>
  <si>
    <t>CR20-7</t>
  </si>
  <si>
    <t>CR20-8</t>
  </si>
  <si>
    <t>CR215-1</t>
  </si>
  <si>
    <t>CR215-1-1</t>
  </si>
  <si>
    <t>CR215-2</t>
  </si>
  <si>
    <t>CR215-2-1</t>
  </si>
  <si>
    <t>CR215-2-2</t>
  </si>
  <si>
    <t>CR215-3</t>
  </si>
  <si>
    <t>CR215-3-2</t>
  </si>
  <si>
    <t>CR215-4</t>
  </si>
  <si>
    <t>CR215-4-2</t>
  </si>
  <si>
    <t>CR215-5</t>
  </si>
  <si>
    <t>CR215-5-2</t>
  </si>
  <si>
    <t>CR215-6</t>
  </si>
  <si>
    <t>CR215-6-3</t>
  </si>
  <si>
    <t>CR215-7-2</t>
  </si>
  <si>
    <t>CR255-1</t>
  </si>
  <si>
    <t>CR255-1-1</t>
  </si>
  <si>
    <t>CR255-2</t>
  </si>
  <si>
    <t>CR255-2-2</t>
  </si>
  <si>
    <t>CR255-3</t>
  </si>
  <si>
    <t>CR255-3-2</t>
  </si>
  <si>
    <t>CR255-4</t>
  </si>
  <si>
    <t>CR255-4-2</t>
  </si>
  <si>
    <t>CR255-5</t>
  </si>
  <si>
    <t>CR255-5-3</t>
  </si>
  <si>
    <t>CR255-6-2</t>
  </si>
  <si>
    <t>CR3-10</t>
  </si>
  <si>
    <t>CR3-11</t>
  </si>
  <si>
    <t>CR3-12</t>
  </si>
  <si>
    <t>CR3-13</t>
  </si>
  <si>
    <t>CR3-15</t>
  </si>
  <si>
    <t>CR3-17</t>
  </si>
  <si>
    <t>CR3-19</t>
  </si>
  <si>
    <t>CR3-2</t>
  </si>
  <si>
    <t>CR3-21</t>
  </si>
  <si>
    <t>CR3-23</t>
  </si>
  <si>
    <t>CR3-25</t>
  </si>
  <si>
    <t>CR3-27</t>
  </si>
  <si>
    <t>CR3-29</t>
  </si>
  <si>
    <t>CR3-3</t>
  </si>
  <si>
    <t>CR3-31</t>
  </si>
  <si>
    <t>CR3-33</t>
  </si>
  <si>
    <t>CR3-36</t>
  </si>
  <si>
    <t>CR3-4</t>
  </si>
  <si>
    <t>CR3-5</t>
  </si>
  <si>
    <t>CR3-6</t>
  </si>
  <si>
    <t>CR3-7</t>
  </si>
  <si>
    <t>CR3-8</t>
  </si>
  <si>
    <t>CR3-9</t>
  </si>
  <si>
    <t>CR32-1</t>
  </si>
  <si>
    <t>CR32-1-1</t>
  </si>
  <si>
    <t>CR32-10</t>
  </si>
  <si>
    <t>CR32-10-2</t>
  </si>
  <si>
    <t>CR32-11</t>
  </si>
  <si>
    <t>CR32-11-2</t>
  </si>
  <si>
    <t>CR32-12</t>
  </si>
  <si>
    <t>CR32-12-2</t>
  </si>
  <si>
    <t>CR32-13</t>
  </si>
  <si>
    <t>CR32-13-2</t>
  </si>
  <si>
    <t>CR32-14</t>
  </si>
  <si>
    <t>CR32-14-2</t>
  </si>
  <si>
    <t>CR32-2</t>
  </si>
  <si>
    <t>CR32-2-2</t>
  </si>
  <si>
    <t>CR32-3</t>
  </si>
  <si>
    <t>CR32-3-2</t>
  </si>
  <si>
    <t>CR32-4</t>
  </si>
  <si>
    <t>CR32-4-2</t>
  </si>
  <si>
    <t>CR32-5</t>
  </si>
  <si>
    <t>CR32-5-2</t>
  </si>
  <si>
    <t>CR32-6</t>
  </si>
  <si>
    <t>CR32-6-2</t>
  </si>
  <si>
    <t>CR32-7</t>
  </si>
  <si>
    <t>CR32-7-2</t>
  </si>
  <si>
    <t>CR32-8</t>
  </si>
  <si>
    <t>CR32-8-2</t>
  </si>
  <si>
    <t>CR32-9</t>
  </si>
  <si>
    <t>CR32-9-2</t>
  </si>
  <si>
    <t>CR45-1</t>
  </si>
  <si>
    <t>CR45-1-1</t>
  </si>
  <si>
    <t>CR45-10</t>
  </si>
  <si>
    <t>CR45-10-2</t>
  </si>
  <si>
    <t>CR45-11</t>
  </si>
  <si>
    <t>CR45-11-2</t>
  </si>
  <si>
    <t>CR45-12</t>
  </si>
  <si>
    <t>CR45-12-2</t>
  </si>
  <si>
    <t>CR45-13-2</t>
  </si>
  <si>
    <t>CR45-2</t>
  </si>
  <si>
    <t>CR45-2-2</t>
  </si>
  <si>
    <t>CR45-3</t>
  </si>
  <si>
    <t>CR45-3-2</t>
  </si>
  <si>
    <t>CR45-4</t>
  </si>
  <si>
    <t>CR45-4-2</t>
  </si>
  <si>
    <t>CR45-5</t>
  </si>
  <si>
    <t>CR45-5-2</t>
  </si>
  <si>
    <t>CR45-6</t>
  </si>
  <si>
    <t>CR45-6-2</t>
  </si>
  <si>
    <t>CR45-7</t>
  </si>
  <si>
    <t>CR45-7-2</t>
  </si>
  <si>
    <t>CR45-8</t>
  </si>
  <si>
    <t>CR45-8-2</t>
  </si>
  <si>
    <t>CR45-9</t>
  </si>
  <si>
    <t>CR45-9-2</t>
  </si>
  <si>
    <t>CR5-10</t>
  </si>
  <si>
    <t>CR5-11</t>
  </si>
  <si>
    <t>CR5-12</t>
  </si>
  <si>
    <t>CR5-13</t>
  </si>
  <si>
    <t>CR5-14</t>
  </si>
  <si>
    <t>CR5-15</t>
  </si>
  <si>
    <t>CR5-16</t>
  </si>
  <si>
    <t>CR5-18</t>
  </si>
  <si>
    <t>CR5-2</t>
  </si>
  <si>
    <t>CR5-20</t>
  </si>
  <si>
    <t>CR5-22</t>
  </si>
  <si>
    <t>CR5-24</t>
  </si>
  <si>
    <t>CR5-26</t>
  </si>
  <si>
    <t>CR5-29</t>
  </si>
  <si>
    <t>CR5-3</t>
  </si>
  <si>
    <t>CR5-32</t>
  </si>
  <si>
    <t>CR5-36</t>
  </si>
  <si>
    <t>CR5-4</t>
  </si>
  <si>
    <t>CR5-5</t>
  </si>
  <si>
    <t>CR5-6</t>
  </si>
  <si>
    <t>CR5-7</t>
  </si>
  <si>
    <t>CR5-8</t>
  </si>
  <si>
    <t>CR5-9</t>
  </si>
  <si>
    <t>CR64-1</t>
  </si>
  <si>
    <t>CR64-1-1</t>
  </si>
  <si>
    <t>CR64-2</t>
  </si>
  <si>
    <t>CR64-2-1</t>
  </si>
  <si>
    <t>CR64-2-2</t>
  </si>
  <si>
    <t>CR64-3</t>
  </si>
  <si>
    <t>CR64-3-1</t>
  </si>
  <si>
    <t>CR64-3-2</t>
  </si>
  <si>
    <t>CR64-4</t>
  </si>
  <si>
    <t>CR64-4-1</t>
  </si>
  <si>
    <t>CR64-4-2</t>
  </si>
  <si>
    <t>CR64-5</t>
  </si>
  <si>
    <t>CR64-5-1</t>
  </si>
  <si>
    <t>CR64-5-2</t>
  </si>
  <si>
    <t>CR64-6</t>
  </si>
  <si>
    <t>CR64-6-1</t>
  </si>
  <si>
    <t>CR64-6-2</t>
  </si>
  <si>
    <t>CR64-7</t>
  </si>
  <si>
    <t>CR64-7-1</t>
  </si>
  <si>
    <t>CR64-7-2</t>
  </si>
  <si>
    <t>CR64-8-1</t>
  </si>
  <si>
    <t>CR64-8-2</t>
  </si>
  <si>
    <t>CR95-1</t>
  </si>
  <si>
    <t>CR95-1-1</t>
  </si>
  <si>
    <t>CR95-2</t>
  </si>
  <si>
    <t>CR95-2-2</t>
  </si>
  <si>
    <t>CR95-3</t>
  </si>
  <si>
    <t>CR95-3-2</t>
  </si>
  <si>
    <t>CR95-4</t>
  </si>
  <si>
    <t>CR95-5</t>
  </si>
  <si>
    <t>CR95-6</t>
  </si>
  <si>
    <t>CR95-7</t>
  </si>
  <si>
    <t>CR95-8-2</t>
  </si>
  <si>
    <t>CRE95-1</t>
  </si>
  <si>
    <t>CRE95-2-2</t>
  </si>
  <si>
    <t>CRE95-2-1</t>
  </si>
  <si>
    <t>CRE125-1-1</t>
  </si>
  <si>
    <t>CRE125-1</t>
  </si>
  <si>
    <t>CRE155-1-1</t>
  </si>
  <si>
    <t>CRE32-4</t>
  </si>
  <si>
    <t>CRE32-5-2</t>
  </si>
  <si>
    <t>CRE32-5</t>
  </si>
  <si>
    <t>CRE32-6</t>
  </si>
  <si>
    <t>CRE32-7</t>
  </si>
  <si>
    <t>CRE45-2</t>
  </si>
  <si>
    <t>CRE45-3</t>
  </si>
  <si>
    <t>CRE45-4-2</t>
  </si>
  <si>
    <t>CRE64-2-2</t>
  </si>
  <si>
    <t>CRE64-2-1</t>
  </si>
  <si>
    <t>CRE64-3-2</t>
  </si>
  <si>
    <t>CRE1-3</t>
  </si>
  <si>
    <t>CRE1-4</t>
  </si>
  <si>
    <t>CRE1-5</t>
  </si>
  <si>
    <t>CRE1-6</t>
  </si>
  <si>
    <t>CRE1-9</t>
  </si>
  <si>
    <t>CRE1-12</t>
  </si>
  <si>
    <t>CRE1-13</t>
  </si>
  <si>
    <t>CRE3-2</t>
  </si>
  <si>
    <t>CRE3-3</t>
  </si>
  <si>
    <t>CRE3-4</t>
  </si>
  <si>
    <t>CRE3-5</t>
  </si>
  <si>
    <t>CRE3-6</t>
  </si>
  <si>
    <t>CRE3-8</t>
  </si>
  <si>
    <t>CRE3-11</t>
  </si>
  <si>
    <t>CRE5-2</t>
  </si>
  <si>
    <t>CRE5-3</t>
  </si>
  <si>
    <t>CRE5-4</t>
  </si>
  <si>
    <t>CRE5-5</t>
  </si>
  <si>
    <t>CRE1-17</t>
  </si>
  <si>
    <t>CRE1-21</t>
  </si>
  <si>
    <t>CRE3-12</t>
  </si>
  <si>
    <t>CRE3-17</t>
  </si>
  <si>
    <t>CRE3-21</t>
  </si>
  <si>
    <t>CRE5-6</t>
  </si>
  <si>
    <t>CRE5-12</t>
  </si>
  <si>
    <t>CRE5-16</t>
  </si>
  <si>
    <t>CRE5-20</t>
  </si>
  <si>
    <t>CRE10-1</t>
  </si>
  <si>
    <t>CRE10-2</t>
  </si>
  <si>
    <t>CRE15-1</t>
  </si>
  <si>
    <t>CRE10-3</t>
  </si>
  <si>
    <t>CRE10-4</t>
  </si>
  <si>
    <t>CRE10-5</t>
  </si>
  <si>
    <t>CRE10-6</t>
  </si>
  <si>
    <t>CRE10-7</t>
  </si>
  <si>
    <t>CRE10-9</t>
  </si>
  <si>
    <t>CRE10-12</t>
  </si>
  <si>
    <t>CRE15-2</t>
  </si>
  <si>
    <t>CRE15-3</t>
  </si>
  <si>
    <t>CRE15-4</t>
  </si>
  <si>
    <t>CRE15-5</t>
  </si>
  <si>
    <t>CRE15-6</t>
  </si>
  <si>
    <t>CRE15-8</t>
  </si>
  <si>
    <t>CRE15-10</t>
  </si>
  <si>
    <t>CRE20-1</t>
  </si>
  <si>
    <t>CRE20-2</t>
  </si>
  <si>
    <t>CRE20-3</t>
  </si>
  <si>
    <t>CRE20-4</t>
  </si>
  <si>
    <t>CRE20-5</t>
  </si>
  <si>
    <t>CRE20-6</t>
  </si>
  <si>
    <t>CRE20-7</t>
  </si>
  <si>
    <t>CRE20-8</t>
  </si>
  <si>
    <t>CRE10-13</t>
  </si>
  <si>
    <t>CRE20-9</t>
  </si>
  <si>
    <t>CRE125-2-2</t>
  </si>
  <si>
    <t>CRE32-8</t>
  </si>
  <si>
    <t>CRE32-9</t>
  </si>
  <si>
    <t>CRE45-4</t>
  </si>
  <si>
    <t>CRE45-5</t>
  </si>
  <si>
    <t>CRE64-3</t>
  </si>
  <si>
    <t>CRE95-2</t>
  </si>
  <si>
    <t>CRE155-1</t>
  </si>
  <si>
    <t>CRE32-1-1</t>
  </si>
  <si>
    <t>CRE32-1</t>
  </si>
  <si>
    <t>CRE32-2-1</t>
  </si>
  <si>
    <t>CRE32-2</t>
  </si>
  <si>
    <t>CRE32-4-2</t>
  </si>
  <si>
    <t>CRE45-1-1</t>
  </si>
  <si>
    <t>CRE45-1</t>
  </si>
  <si>
    <t>CRE45-2-1</t>
  </si>
  <si>
    <t>CRE45-2-2</t>
  </si>
  <si>
    <t>CRE64-1-1</t>
  </si>
  <si>
    <t>CRE64-1</t>
  </si>
  <si>
    <t>CRE95-1-1</t>
  </si>
  <si>
    <t>CRI1S-2</t>
  </si>
  <si>
    <t>CRI1S-3</t>
  </si>
  <si>
    <t>CRI1S-4</t>
  </si>
  <si>
    <t>CRI1S-5</t>
  </si>
  <si>
    <t>CRI1S-6</t>
  </si>
  <si>
    <t>CRI1S-7</t>
  </si>
  <si>
    <t>CRI1S-8</t>
  </si>
  <si>
    <t>CRI1S-9</t>
  </si>
  <si>
    <t>CRI1S-10</t>
  </si>
  <si>
    <t>CRI1S-11</t>
  </si>
  <si>
    <t>CRI1S-12</t>
  </si>
  <si>
    <t>CRI1S-13</t>
  </si>
  <si>
    <t>CRI1S-15</t>
  </si>
  <si>
    <t>CRI1S-17</t>
  </si>
  <si>
    <t>CRI1S-19</t>
  </si>
  <si>
    <t>CRI1S-21</t>
  </si>
  <si>
    <t>CRI1S-23</t>
  </si>
  <si>
    <t>CRI1S-25</t>
  </si>
  <si>
    <t>CRI1S-27</t>
  </si>
  <si>
    <t>CRI1S-30</t>
  </si>
  <si>
    <t>CRI1S-33</t>
  </si>
  <si>
    <t>CRI1S-36</t>
  </si>
  <si>
    <t>CRI1-2</t>
  </si>
  <si>
    <t>CRI1-3</t>
  </si>
  <si>
    <t>CRI1-4</t>
  </si>
  <si>
    <t>CRI1-5</t>
  </si>
  <si>
    <t>CRI1-6</t>
  </si>
  <si>
    <t>CRI1-7</t>
  </si>
  <si>
    <t>CRI1-8</t>
  </si>
  <si>
    <t>CRI1-9</t>
  </si>
  <si>
    <t>CRI1-10</t>
  </si>
  <si>
    <t>CRI1-11</t>
  </si>
  <si>
    <t>CRI1-12</t>
  </si>
  <si>
    <t>CRI1-13</t>
  </si>
  <si>
    <t>CRI1-15</t>
  </si>
  <si>
    <t>CRI1-25</t>
  </si>
  <si>
    <t>CRI1-27</t>
  </si>
  <si>
    <t>CRI1-30</t>
  </si>
  <si>
    <t>CRI1-33</t>
  </si>
  <si>
    <t>CRI1-36</t>
  </si>
  <si>
    <t>CRI1-17</t>
  </si>
  <si>
    <t>CRI1-19</t>
  </si>
  <si>
    <t>CRI1-21</t>
  </si>
  <si>
    <t>CRI1-23</t>
  </si>
  <si>
    <t>CRI3-2</t>
  </si>
  <si>
    <t>CRI3-3</t>
  </si>
  <si>
    <t>CRI3-4</t>
  </si>
  <si>
    <t>CRI3-5</t>
  </si>
  <si>
    <t>CRI3-6</t>
  </si>
  <si>
    <t>CRI3-7</t>
  </si>
  <si>
    <t>CRI3-8</t>
  </si>
  <si>
    <t>CRI3-9</t>
  </si>
  <si>
    <t>CRI3-10</t>
  </si>
  <si>
    <t>CRI3-11</t>
  </si>
  <si>
    <t>CRI3-12</t>
  </si>
  <si>
    <t>CRI3-13</t>
  </si>
  <si>
    <t>CRI3-15</t>
  </si>
  <si>
    <t>CRI3-17</t>
  </si>
  <si>
    <t>CRI3-19</t>
  </si>
  <si>
    <t>CRI3-21</t>
  </si>
  <si>
    <t>CRI3-23</t>
  </si>
  <si>
    <t>CRI3-25</t>
  </si>
  <si>
    <t>CRI3-27</t>
  </si>
  <si>
    <t>CRI3-29</t>
  </si>
  <si>
    <t>CRI5-2</t>
  </si>
  <si>
    <t>CRI5-3</t>
  </si>
  <si>
    <t>CRI5-4</t>
  </si>
  <si>
    <t>CRI5-5</t>
  </si>
  <si>
    <t>CRI5-6</t>
  </si>
  <si>
    <t>CRI5-7</t>
  </si>
  <si>
    <t>CRI5-8</t>
  </si>
  <si>
    <t>CRI5-9</t>
  </si>
  <si>
    <t>CRI5-10</t>
  </si>
  <si>
    <t>CRI5-11</t>
  </si>
  <si>
    <t>CRI5-12</t>
  </si>
  <si>
    <t>CRI5-13</t>
  </si>
  <si>
    <t>CRI5-14</t>
  </si>
  <si>
    <t>CRI5-15</t>
  </si>
  <si>
    <t>CRI5-16</t>
  </si>
  <si>
    <t>CRI20-2</t>
  </si>
  <si>
    <t>CRI10-6</t>
  </si>
  <si>
    <t>CRI10-5</t>
  </si>
  <si>
    <t>CRI15-2</t>
  </si>
  <si>
    <t>CRI10-1</t>
  </si>
  <si>
    <t>CRI10-2</t>
  </si>
  <si>
    <t>CRI10-3</t>
  </si>
  <si>
    <t>CRI10-4</t>
  </si>
  <si>
    <t>CRI15-1</t>
  </si>
  <si>
    <t>CRI20-1</t>
  </si>
  <si>
    <t>CRI20-3</t>
  </si>
  <si>
    <t>CRI20-4</t>
  </si>
  <si>
    <t>CRI20-5</t>
  </si>
  <si>
    <t>CRI20-6</t>
  </si>
  <si>
    <t>CRI20-7</t>
  </si>
  <si>
    <t>CRI20-8</t>
  </si>
  <si>
    <t>CRI20-10</t>
  </si>
  <si>
    <t>CRI20-12</t>
  </si>
  <si>
    <t>CRI20-14</t>
  </si>
  <si>
    <t>CRI20-17</t>
  </si>
  <si>
    <t>CRI10-7</t>
  </si>
  <si>
    <t>CRI10-8</t>
  </si>
  <si>
    <t>CRI10-9</t>
  </si>
  <si>
    <t>CRI10-10</t>
  </si>
  <si>
    <t>CRI10-12</t>
  </si>
  <si>
    <t>CRI10-14</t>
  </si>
  <si>
    <t>CRI10-16</t>
  </si>
  <si>
    <t>CRI10-18</t>
  </si>
  <si>
    <t>CRI10-20</t>
  </si>
  <si>
    <t>CRI10-22</t>
  </si>
  <si>
    <t>CRI15-3</t>
  </si>
  <si>
    <t>CRI15-4</t>
  </si>
  <si>
    <t>CRI15-5</t>
  </si>
  <si>
    <t>CRI15-6</t>
  </si>
  <si>
    <t>CRI15-7</t>
  </si>
  <si>
    <t>CRI15-8</t>
  </si>
  <si>
    <t>CRI15-9</t>
  </si>
  <si>
    <t>CRI15-10</t>
  </si>
  <si>
    <t>CRI15-12</t>
  </si>
  <si>
    <t>CRI15-14</t>
  </si>
  <si>
    <t>CRI15-17</t>
  </si>
  <si>
    <t>CRI3-31</t>
  </si>
  <si>
    <t>CRI3-33</t>
  </si>
  <si>
    <t>CRI3-36</t>
  </si>
  <si>
    <t>CRI5-18</t>
  </si>
  <si>
    <t>CRI5-20</t>
  </si>
  <si>
    <t>CRI5-22</t>
  </si>
  <si>
    <t>CRI5-24</t>
  </si>
  <si>
    <t>CRI5-26</t>
  </si>
  <si>
    <t>CRI5-29</t>
  </si>
  <si>
    <t>CRI5-32</t>
  </si>
  <si>
    <t>CRI5-36</t>
  </si>
  <si>
    <t>CRI45-2-2</t>
  </si>
  <si>
    <t>CRI32-2</t>
  </si>
  <si>
    <t>CRI32-1-1</t>
  </si>
  <si>
    <t>CRI32-1</t>
  </si>
  <si>
    <t>CRI32-2-2</t>
  </si>
  <si>
    <t>CRI32-3-2</t>
  </si>
  <si>
    <t>CRI32-3</t>
  </si>
  <si>
    <t>CRI32-4-2</t>
  </si>
  <si>
    <t>CRI32-4</t>
  </si>
  <si>
    <t>CRI32-5-2</t>
  </si>
  <si>
    <t>CRI32-5</t>
  </si>
  <si>
    <t>CRI32-6-2</t>
  </si>
  <si>
    <t>CRI32-6</t>
  </si>
  <si>
    <t>CRI32-7</t>
  </si>
  <si>
    <t>CRI32-8-2</t>
  </si>
  <si>
    <t>CRI32-8</t>
  </si>
  <si>
    <t>CRI32-9-2</t>
  </si>
  <si>
    <t>CRI32-9</t>
  </si>
  <si>
    <t>CRI32-10-2</t>
  </si>
  <si>
    <t>CRI32-10</t>
  </si>
  <si>
    <t>CRI32-11</t>
  </si>
  <si>
    <t>CRI32-12</t>
  </si>
  <si>
    <t>CRI32-13</t>
  </si>
  <si>
    <t>CRI32-14</t>
  </si>
  <si>
    <t>CRI45-1-1</t>
  </si>
  <si>
    <t>CRI45-1</t>
  </si>
  <si>
    <t>CRI45-2</t>
  </si>
  <si>
    <t>CRI45-3-2</t>
  </si>
  <si>
    <t>CRI45-3</t>
  </si>
  <si>
    <t>CRI45-4-2</t>
  </si>
  <si>
    <t>CRI45-4</t>
  </si>
  <si>
    <t>CRI45-5-2</t>
  </si>
  <si>
    <t>CRI45-5</t>
  </si>
  <si>
    <t>CRI45-6</t>
  </si>
  <si>
    <t>CRI45-7-2</t>
  </si>
  <si>
    <t>CRI45-8-2</t>
  </si>
  <si>
    <t>CRI45-8</t>
  </si>
  <si>
    <t>CRI45-9-2</t>
  </si>
  <si>
    <t>CRI45-9</t>
  </si>
  <si>
    <t>CRI45-10-2</t>
  </si>
  <si>
    <t>CRI45-11</t>
  </si>
  <si>
    <t>CRI45-12</t>
  </si>
  <si>
    <t>CRI45-13-2</t>
  </si>
  <si>
    <t>CRI64-1-1</t>
  </si>
  <si>
    <t>CRI64-1</t>
  </si>
  <si>
    <t>CRI64-2-2</t>
  </si>
  <si>
    <t>CRI64-2-1</t>
  </si>
  <si>
    <t>CRI64-2</t>
  </si>
  <si>
    <t>CRI64-3-2</t>
  </si>
  <si>
    <t>CRI64-3-1</t>
  </si>
  <si>
    <t>CRI64-3</t>
  </si>
  <si>
    <t>CRI64-4-2</t>
  </si>
  <si>
    <t>CRI64-4-1</t>
  </si>
  <si>
    <t>CRI64-4</t>
  </si>
  <si>
    <t>CRI64-5-2</t>
  </si>
  <si>
    <t>CRI64-5-1</t>
  </si>
  <si>
    <t>CRI64-5</t>
  </si>
  <si>
    <t>CRI64-6-2</t>
  </si>
  <si>
    <t>CRI64-6-1</t>
  </si>
  <si>
    <t>CRI64-6</t>
  </si>
  <si>
    <t>CRI64-7-1</t>
  </si>
  <si>
    <t>CRI64-7</t>
  </si>
  <si>
    <t>CRI64-8-1</t>
  </si>
  <si>
    <t>CRI32-7-2</t>
  </si>
  <si>
    <t>CRI32-11-2</t>
  </si>
  <si>
    <t>CRI32-12-2</t>
  </si>
  <si>
    <t>CRI32-13-2</t>
  </si>
  <si>
    <t>CRI32-14-2</t>
  </si>
  <si>
    <t>CRI45-7</t>
  </si>
  <si>
    <t>CRI45-10</t>
  </si>
  <si>
    <t>CRI45-11-2</t>
  </si>
  <si>
    <t>CRI45-12-2</t>
  </si>
  <si>
    <t>CRI64-8-2</t>
  </si>
  <si>
    <t>CRI64-7-2</t>
  </si>
  <si>
    <t>CRI45-6-2</t>
  </si>
  <si>
    <t>CRIE1-3</t>
  </si>
  <si>
    <t>CRIE1-4</t>
  </si>
  <si>
    <t>CRIE1-5</t>
  </si>
  <si>
    <t>CRIE1-6</t>
  </si>
  <si>
    <t>CRIE1-9</t>
  </si>
  <si>
    <t>CRIE1-12</t>
  </si>
  <si>
    <t>CRIE1-13</t>
  </si>
  <si>
    <t>CRIE1-17</t>
  </si>
  <si>
    <t>CRIE3-2</t>
  </si>
  <si>
    <t>CRIE3-3</t>
  </si>
  <si>
    <t>CRIE3-4</t>
  </si>
  <si>
    <t>CRIE3-6</t>
  </si>
  <si>
    <t>CRIE3-11</t>
  </si>
  <si>
    <t>CRIE5-2</t>
  </si>
  <si>
    <t>CRIE5-3</t>
  </si>
  <si>
    <t>CRIE5-4</t>
  </si>
  <si>
    <t>CRIE1-21</t>
  </si>
  <si>
    <t>CRIE3-12</t>
  </si>
  <si>
    <t>CRIE3-17</t>
  </si>
  <si>
    <t>CRIE5-6</t>
  </si>
  <si>
    <t>CRIE5-12</t>
  </si>
  <si>
    <t>CRIE5-16</t>
  </si>
  <si>
    <t>CRIE5-20</t>
  </si>
  <si>
    <t>CRIE10-1</t>
  </si>
  <si>
    <t>CRIE10-2</t>
  </si>
  <si>
    <t>CRIE15-1</t>
  </si>
  <si>
    <t>CRIE10-3</t>
  </si>
  <si>
    <t>CRIE10-4</t>
  </si>
  <si>
    <t>CRIE10-5</t>
  </si>
  <si>
    <t>CRIE10-6</t>
  </si>
  <si>
    <t>CRIE10-7</t>
  </si>
  <si>
    <t>CRIE10-9</t>
  </si>
  <si>
    <t>CRIE10-12</t>
  </si>
  <si>
    <t>CRIE15-2</t>
  </si>
  <si>
    <t>CRIE15-3</t>
  </si>
  <si>
    <t>CRIE15-4</t>
  </si>
  <si>
    <t>CRIE15-5</t>
  </si>
  <si>
    <t>CRIE15-6</t>
  </si>
  <si>
    <t>CRIE15-8</t>
  </si>
  <si>
    <t>CRIE15-10</t>
  </si>
  <si>
    <t>CRIE20-1</t>
  </si>
  <si>
    <t>CRIE20-2</t>
  </si>
  <si>
    <t>CRIE20-3</t>
  </si>
  <si>
    <t>CRIE20-4</t>
  </si>
  <si>
    <t>CRIE20-5</t>
  </si>
  <si>
    <t>CRIE20-6</t>
  </si>
  <si>
    <t>CRIE20-7</t>
  </si>
  <si>
    <t>CRIE20-8</t>
  </si>
  <si>
    <t>CRIE10-13</t>
  </si>
  <si>
    <t>CRIE20-9</t>
  </si>
  <si>
    <t>CRIE32-5-2</t>
  </si>
  <si>
    <t>CRIE32-6</t>
  </si>
  <si>
    <t>CRIE32-7</t>
  </si>
  <si>
    <t>CRIE45-2</t>
  </si>
  <si>
    <t>CRIE45-3</t>
  </si>
  <si>
    <t>CRIE45-4-2</t>
  </si>
  <si>
    <t>CRIE64-2-2</t>
  </si>
  <si>
    <t>CRIE64-2-1</t>
  </si>
  <si>
    <t>CRIE64-3-2</t>
  </si>
  <si>
    <t>CRIE32-4-2</t>
  </si>
  <si>
    <t>CRIE45-2-1</t>
  </si>
  <si>
    <t>CRIE45-2-2</t>
  </si>
  <si>
    <t>CRIE32-2-1</t>
  </si>
  <si>
    <t>CRIE32-2</t>
  </si>
  <si>
    <t>CRIE45-1-1</t>
  </si>
  <si>
    <t>CRIE32-1</t>
  </si>
  <si>
    <t>CRIE32-1-1</t>
  </si>
  <si>
    <t>CRIE45-1</t>
  </si>
  <si>
    <t>CRIE64-1-1</t>
  </si>
  <si>
    <t>CRIE64-1</t>
  </si>
  <si>
    <t>CRN185-2-2</t>
  </si>
  <si>
    <t>CRN185-2</t>
  </si>
  <si>
    <t>CRN185-3-3</t>
  </si>
  <si>
    <t>CRN185-3</t>
  </si>
  <si>
    <t>CRN185-4-3</t>
  </si>
  <si>
    <t>CRN185-4</t>
  </si>
  <si>
    <t>CRN185-5-3</t>
  </si>
  <si>
    <t>CRN185-5</t>
  </si>
  <si>
    <t>CRN185-6-3</t>
  </si>
  <si>
    <t>CRN185-6</t>
  </si>
  <si>
    <t>CRN185-7-3</t>
  </si>
  <si>
    <t>CRN185-7</t>
  </si>
  <si>
    <t>CRN185-8-3</t>
  </si>
  <si>
    <t>CRN185-8</t>
  </si>
  <si>
    <t>CRN215-1</t>
  </si>
  <si>
    <t>CRN215-2-2</t>
  </si>
  <si>
    <t>CRN215-2-1</t>
  </si>
  <si>
    <t>CRN215-2</t>
  </si>
  <si>
    <t>CRN215-3-2</t>
  </si>
  <si>
    <t>CRN215-3</t>
  </si>
  <si>
    <t>CRN215-4-2</t>
  </si>
  <si>
    <t>CRN215-4</t>
  </si>
  <si>
    <t>CRN215-5-2</t>
  </si>
  <si>
    <t>CRN215-5</t>
  </si>
  <si>
    <t>CRN215-6-3</t>
  </si>
  <si>
    <t>CRN215-6</t>
  </si>
  <si>
    <t>CRN215-7-2</t>
  </si>
  <si>
    <t>CRN255-1-1</t>
  </si>
  <si>
    <t>CRN255-1</t>
  </si>
  <si>
    <t>CRN255-2-2</t>
  </si>
  <si>
    <t>CRN255-2</t>
  </si>
  <si>
    <t>CRN255-3-2</t>
  </si>
  <si>
    <t>CRN255-3</t>
  </si>
  <si>
    <t>CRN255-4-2</t>
  </si>
  <si>
    <t>CRN255-4</t>
  </si>
  <si>
    <t>CRN255-5-3</t>
  </si>
  <si>
    <t>CRN255-5</t>
  </si>
  <si>
    <t>CRN255-6-2</t>
  </si>
  <si>
    <t>CRN95-8</t>
  </si>
  <si>
    <t>CRN95-9</t>
  </si>
  <si>
    <t>CRN95-10</t>
  </si>
  <si>
    <t>CRN95-11</t>
  </si>
  <si>
    <t>CRN95-12</t>
  </si>
  <si>
    <t>CRN125-11</t>
  </si>
  <si>
    <t>CRN125-12</t>
  </si>
  <si>
    <t>CRN155-8</t>
  </si>
  <si>
    <t>CRN155-9</t>
  </si>
  <si>
    <t>CRN155-10</t>
  </si>
  <si>
    <t>CRN155-11-1</t>
  </si>
  <si>
    <t>CRN1S-2</t>
  </si>
  <si>
    <t>CRN1S-3</t>
  </si>
  <si>
    <t>CRN1S-4</t>
  </si>
  <si>
    <t>CRN1S-5</t>
  </si>
  <si>
    <t>CRN1S-6</t>
  </si>
  <si>
    <t>CRN1S-7</t>
  </si>
  <si>
    <t>CRN1S-8</t>
  </si>
  <si>
    <t>CRN1S-9</t>
  </si>
  <si>
    <t>CRN1S-10</t>
  </si>
  <si>
    <t>CRN1S-11</t>
  </si>
  <si>
    <t>CRN1S-12</t>
  </si>
  <si>
    <t>CRN1S-13</t>
  </si>
  <si>
    <t>CRN1S-15</t>
  </si>
  <si>
    <t>CRN1S-17</t>
  </si>
  <si>
    <t>CRN1S-19</t>
  </si>
  <si>
    <t>CRN1S-21</t>
  </si>
  <si>
    <t>CRN1S-23</t>
  </si>
  <si>
    <t>CRN1S-25</t>
  </si>
  <si>
    <t>CRN1S-27</t>
  </si>
  <si>
    <t>CRN1S-30</t>
  </si>
  <si>
    <t>CRN1S-33</t>
  </si>
  <si>
    <t>CRN1S-36</t>
  </si>
  <si>
    <t>CRN1-2</t>
  </si>
  <si>
    <t>CRN1-3</t>
  </si>
  <si>
    <t>CRN1-4</t>
  </si>
  <si>
    <t>CRN1-5</t>
  </si>
  <si>
    <t>CRN1-6</t>
  </si>
  <si>
    <t>CRN1-7</t>
  </si>
  <si>
    <t>CRN1-8</t>
  </si>
  <si>
    <t>CRN1-9</t>
  </si>
  <si>
    <t>CRN1-10</t>
  </si>
  <si>
    <t>CRN1-11</t>
  </si>
  <si>
    <t>CRN1-12</t>
  </si>
  <si>
    <t>CRN1-13</t>
  </si>
  <si>
    <t>CRN1-15</t>
  </si>
  <si>
    <t>CRN1-25</t>
  </si>
  <si>
    <t>CRN1-27</t>
  </si>
  <si>
    <t>CRN1-30</t>
  </si>
  <si>
    <t>CRN1-33</t>
  </si>
  <si>
    <t>CRN1-36</t>
  </si>
  <si>
    <t>CRN1-17</t>
  </si>
  <si>
    <t>CRN1-19</t>
  </si>
  <si>
    <t>CRN1-21</t>
  </si>
  <si>
    <t>CRN1-23</t>
  </si>
  <si>
    <t>CRN3-2</t>
  </si>
  <si>
    <t>CRN3-3</t>
  </si>
  <si>
    <t>CRN3-4</t>
  </si>
  <si>
    <t>CRN3-5</t>
  </si>
  <si>
    <t>CRN3-6</t>
  </si>
  <si>
    <t>CRN3-7</t>
  </si>
  <si>
    <t>CRN3-8</t>
  </si>
  <si>
    <t>CRN3-9</t>
  </si>
  <si>
    <t>CRN3-10</t>
  </si>
  <si>
    <t>CRN3-11</t>
  </si>
  <si>
    <t>CRN3-12</t>
  </si>
  <si>
    <t>CRN3-13</t>
  </si>
  <si>
    <t>CRN3-15</t>
  </si>
  <si>
    <t>CRN3-17</t>
  </si>
  <si>
    <t>CRN3-19</t>
  </si>
  <si>
    <t>CRN3-21</t>
  </si>
  <si>
    <t>CRN3-23</t>
  </si>
  <si>
    <t>CRN3-25</t>
  </si>
  <si>
    <t>CRN3-27</t>
  </si>
  <si>
    <t>CRN3-29</t>
  </si>
  <si>
    <t>CRN5-2</t>
  </si>
  <si>
    <t>CRN5-3</t>
  </si>
  <si>
    <t>CRN5-4</t>
  </si>
  <si>
    <t>CRN5-5</t>
  </si>
  <si>
    <t>CRN5-6</t>
  </si>
  <si>
    <t>CRN5-7</t>
  </si>
  <si>
    <t>CRN5-8</t>
  </si>
  <si>
    <t>CRN5-9</t>
  </si>
  <si>
    <t>CRN5-10</t>
  </si>
  <si>
    <t>CRN5-11</t>
  </si>
  <si>
    <t>CRN5-12</t>
  </si>
  <si>
    <t>CRN5-13</t>
  </si>
  <si>
    <t>CRN5-14</t>
  </si>
  <si>
    <t>CRN5-15</t>
  </si>
  <si>
    <t>CRN5-16</t>
  </si>
  <si>
    <t>CRN20-2</t>
  </si>
  <si>
    <t>CRN10-5</t>
  </si>
  <si>
    <t>CRN10-6</t>
  </si>
  <si>
    <t>CRN10-1</t>
  </si>
  <si>
    <t>CRN10-2</t>
  </si>
  <si>
    <t>CRN10-3</t>
  </si>
  <si>
    <t>CRN10-4</t>
  </si>
  <si>
    <t>CRN15-1</t>
  </si>
  <si>
    <t>CRN20-1</t>
  </si>
  <si>
    <t>CRN32-1-1</t>
  </si>
  <si>
    <t>CRN32-1</t>
  </si>
  <si>
    <t>CRN32-2-2</t>
  </si>
  <si>
    <t>CRN32-2</t>
  </si>
  <si>
    <t>CRN32-3-2</t>
  </si>
  <si>
    <t>CRN32-3</t>
  </si>
  <si>
    <t>CRN32-4-2</t>
  </si>
  <si>
    <t>CRN32-4</t>
  </si>
  <si>
    <t>CRN32-5-2</t>
  </si>
  <si>
    <t>CRN32-5</t>
  </si>
  <si>
    <t>CRN32-6-2</t>
  </si>
  <si>
    <t>CRN32-6</t>
  </si>
  <si>
    <t>CRN32-7-2</t>
  </si>
  <si>
    <t>CRN32-7</t>
  </si>
  <si>
    <t>CRN32-8-2</t>
  </si>
  <si>
    <t>CRN32-8</t>
  </si>
  <si>
    <t>CRN32-9-2</t>
  </si>
  <si>
    <t>CRN32-9</t>
  </si>
  <si>
    <t>CRN32-10-2</t>
  </si>
  <si>
    <t>CRN32-10</t>
  </si>
  <si>
    <t>CRN32-11-2</t>
  </si>
  <si>
    <t>CRN32-11</t>
  </si>
  <si>
    <t>CRN32-12-2</t>
  </si>
  <si>
    <t>CRN32-12</t>
  </si>
  <si>
    <t>CRN32-13-2</t>
  </si>
  <si>
    <t>CRN32-13</t>
  </si>
  <si>
    <t>CRN32-14-2</t>
  </si>
  <si>
    <t>CRN32-14</t>
  </si>
  <si>
    <t>CRN45-1-1</t>
  </si>
  <si>
    <t>CRN45-1</t>
  </si>
  <si>
    <t>CRN45-2-2</t>
  </si>
  <si>
    <t>CRN45-2</t>
  </si>
  <si>
    <t>CRN45-3-2</t>
  </si>
  <si>
    <t>CRN45-3</t>
  </si>
  <si>
    <t>CRN45-4-2</t>
  </si>
  <si>
    <t>CRN45-4</t>
  </si>
  <si>
    <t>CRN45-5-2</t>
  </si>
  <si>
    <t>CRN45-5</t>
  </si>
  <si>
    <t>CRN45-6-2</t>
  </si>
  <si>
    <t>CRN45-6</t>
  </si>
  <si>
    <t>CRN45-7-2</t>
  </si>
  <si>
    <t>CRN45-7</t>
  </si>
  <si>
    <t>CRN45-8-2</t>
  </si>
  <si>
    <t>CRN45-8</t>
  </si>
  <si>
    <t>CRN45-9-2</t>
  </si>
  <si>
    <t>CRN45-9</t>
  </si>
  <si>
    <t>CRN45-10-2</t>
  </si>
  <si>
    <t>CRN45-10</t>
  </si>
  <si>
    <t>CRN45-11-2</t>
  </si>
  <si>
    <t>CRN45-11</t>
  </si>
  <si>
    <t>CRN45-12-2</t>
  </si>
  <si>
    <t>CRN45-12</t>
  </si>
  <si>
    <t>CRN45-13-2</t>
  </si>
  <si>
    <t>CRN64-1-1</t>
  </si>
  <si>
    <t>CRN64-1</t>
  </si>
  <si>
    <t>CRN64-2-2</t>
  </si>
  <si>
    <t>CRN64-2-1</t>
  </si>
  <si>
    <t>CRN64-2</t>
  </si>
  <si>
    <t>CRN64-3-2</t>
  </si>
  <si>
    <t>CRN64-3-1</t>
  </si>
  <si>
    <t>CRN64-3</t>
  </si>
  <si>
    <t>CRN64-4-2</t>
  </si>
  <si>
    <t>CRN64-4-1</t>
  </si>
  <si>
    <t>CRN64-4</t>
  </si>
  <si>
    <t>CRN64-5-2</t>
  </si>
  <si>
    <t>CRN64-5-1</t>
  </si>
  <si>
    <t>CRN64-5</t>
  </si>
  <si>
    <t>CRN64-6-2</t>
  </si>
  <si>
    <t>CRN64-6-1</t>
  </si>
  <si>
    <t>CRN64-6</t>
  </si>
  <si>
    <t>CRN64-7-2</t>
  </si>
  <si>
    <t>CRN64-7-1</t>
  </si>
  <si>
    <t>CRN64-7</t>
  </si>
  <si>
    <t>CRN64-8-2</t>
  </si>
  <si>
    <t>CRN64-8-1</t>
  </si>
  <si>
    <t>CRN20-3</t>
  </si>
  <si>
    <t>CRN20-4</t>
  </si>
  <si>
    <t>CRN20-5</t>
  </si>
  <si>
    <t>CRN20-6</t>
  </si>
  <si>
    <t>CRN20-7</t>
  </si>
  <si>
    <t>CRN20-8</t>
  </si>
  <si>
    <t>CRN20-10</t>
  </si>
  <si>
    <t>CRN20-12</t>
  </si>
  <si>
    <t>CRN20-14</t>
  </si>
  <si>
    <t>CRN20-17</t>
  </si>
  <si>
    <t>CRN10-7</t>
  </si>
  <si>
    <t>CRN10-8</t>
  </si>
  <si>
    <t>CRN10-9</t>
  </si>
  <si>
    <t>CRN10-10</t>
  </si>
  <si>
    <t>CRN10-12</t>
  </si>
  <si>
    <t>CRN10-14</t>
  </si>
  <si>
    <t>CRN10-16</t>
  </si>
  <si>
    <t>CRN10-18</t>
  </si>
  <si>
    <t>CRN10-20</t>
  </si>
  <si>
    <t>CRN10-22</t>
  </si>
  <si>
    <t>CRN15-2</t>
  </si>
  <si>
    <t>CRN15-3</t>
  </si>
  <si>
    <t>CRN15-4</t>
  </si>
  <si>
    <t>CRN15-5</t>
  </si>
  <si>
    <t>CRN15-6</t>
  </si>
  <si>
    <t>CRN15-7</t>
  </si>
  <si>
    <t>CRN15-8</t>
  </si>
  <si>
    <t>CRN15-9</t>
  </si>
  <si>
    <t>CRN15-10</t>
  </si>
  <si>
    <t>CRN15-12</t>
  </si>
  <si>
    <t>CRN15-14</t>
  </si>
  <si>
    <t>CRN15-17</t>
  </si>
  <si>
    <t>CRN5-22</t>
  </si>
  <si>
    <t>CRN5-24</t>
  </si>
  <si>
    <t>CRN5-26</t>
  </si>
  <si>
    <t>CRN5-29</t>
  </si>
  <si>
    <t>CRN5-32</t>
  </si>
  <si>
    <t>CRN5-36</t>
  </si>
  <si>
    <t>CRN3-31</t>
  </si>
  <si>
    <t>CRN3-33</t>
  </si>
  <si>
    <t>CRN3-36</t>
  </si>
  <si>
    <t>CRN5-18</t>
  </si>
  <si>
    <t>CRN5-20</t>
  </si>
  <si>
    <t>CRN95-1-1</t>
  </si>
  <si>
    <t>CRN95-1</t>
  </si>
  <si>
    <t>CRN95-2-2</t>
  </si>
  <si>
    <t>CRN95-2</t>
  </si>
  <si>
    <t>CRN95-3-2</t>
  </si>
  <si>
    <t>CRN95-3</t>
  </si>
  <si>
    <t>CRN95-4</t>
  </si>
  <si>
    <t>CRN95-5</t>
  </si>
  <si>
    <t>CRN125-1</t>
  </si>
  <si>
    <t>CRN125-2-2</t>
  </si>
  <si>
    <t>CRN125-2-1</t>
  </si>
  <si>
    <t>CRN125-2</t>
  </si>
  <si>
    <t>CRN155-1-1</t>
  </si>
  <si>
    <t>CRN155-1</t>
  </si>
  <si>
    <t>CRN155-2-2</t>
  </si>
  <si>
    <t>CRN185-1-1</t>
  </si>
  <si>
    <t>CRN185-1</t>
  </si>
  <si>
    <t>CRN215-1-1</t>
  </si>
  <si>
    <t>CRN95-6</t>
  </si>
  <si>
    <t>CRN95-7</t>
  </si>
  <si>
    <t>CRN95-8-2</t>
  </si>
  <si>
    <t>CRN125-3-1</t>
  </si>
  <si>
    <t>CRN125-3</t>
  </si>
  <si>
    <t>CRN125-4-2</t>
  </si>
  <si>
    <t>CRN125-4</t>
  </si>
  <si>
    <t>CRN125-5</t>
  </si>
  <si>
    <t>CRN125-6</t>
  </si>
  <si>
    <t>CRN125-7</t>
  </si>
  <si>
    <t>CRN125-8</t>
  </si>
  <si>
    <t>CRN125-9-2</t>
  </si>
  <si>
    <t>CRN155-2</t>
  </si>
  <si>
    <t>CRN155-3-2</t>
  </si>
  <si>
    <t>CRN155-3</t>
  </si>
  <si>
    <t>CRN155-4-1</t>
  </si>
  <si>
    <t>CRN155-5-2</t>
  </si>
  <si>
    <t>CRN155-5</t>
  </si>
  <si>
    <t>CRN155-6</t>
  </si>
  <si>
    <t>CRN125-9</t>
  </si>
  <si>
    <t>CRN125-10</t>
  </si>
  <si>
    <t>CRN155-7</t>
  </si>
  <si>
    <t>CRN155-8-2</t>
  </si>
  <si>
    <t>CRNE95-1</t>
  </si>
  <si>
    <t>CRNE95-2-2</t>
  </si>
  <si>
    <t>CRNE95-2-1</t>
  </si>
  <si>
    <t>CRNE125-1-1</t>
  </si>
  <si>
    <t>CRNE125-1</t>
  </si>
  <si>
    <t>CRNE155-1-1</t>
  </si>
  <si>
    <t>CRNE32-4</t>
  </si>
  <si>
    <t>CRNE32-5-2</t>
  </si>
  <si>
    <t>CRNE32-5</t>
  </si>
  <si>
    <t>CRNE32-6</t>
  </si>
  <si>
    <t>CRNE32-7</t>
  </si>
  <si>
    <t>CRNE45-2</t>
  </si>
  <si>
    <t>CRNE45-3</t>
  </si>
  <si>
    <t>CRNE45-4-2</t>
  </si>
  <si>
    <t>CRNE64-2-2</t>
  </si>
  <si>
    <t>CRNE64-2-1</t>
  </si>
  <si>
    <t>CRNE64-3-2</t>
  </si>
  <si>
    <t>CRNE1-3</t>
  </si>
  <si>
    <t>CRNE1-4</t>
  </si>
  <si>
    <t>CRNE1-5</t>
  </si>
  <si>
    <t>CRNE1-6</t>
  </si>
  <si>
    <t>CRNE1-9</t>
  </si>
  <si>
    <t>CRNE1-13</t>
  </si>
  <si>
    <t>CRNE1-17</t>
  </si>
  <si>
    <t>CRNE3-2</t>
  </si>
  <si>
    <t>CRNE3-3</t>
  </si>
  <si>
    <t>CRNE3-4</t>
  </si>
  <si>
    <t>CRNE3-6</t>
  </si>
  <si>
    <t>CRNE3-11</t>
  </si>
  <si>
    <t>CRNE5-2</t>
  </si>
  <si>
    <t>CRNE5-3</t>
  </si>
  <si>
    <t>CRNE5-4</t>
  </si>
  <si>
    <t>CRNE1-12</t>
  </si>
  <si>
    <t>CRNE1-21</t>
  </si>
  <si>
    <t>CRNE3-12</t>
  </si>
  <si>
    <t>CRNE3-21</t>
  </si>
  <si>
    <t>CRNE5-6</t>
  </si>
  <si>
    <t>CRNE5-12</t>
  </si>
  <si>
    <t>CRNE5-20</t>
  </si>
  <si>
    <t>CRNE10-1</t>
  </si>
  <si>
    <t>CRNE10-2</t>
  </si>
  <si>
    <t>CRNE15-1</t>
  </si>
  <si>
    <t>CRNE10-3</t>
  </si>
  <si>
    <t>CRNE10-4</t>
  </si>
  <si>
    <t>CRNE10-5</t>
  </si>
  <si>
    <t>CRNE10-6</t>
  </si>
  <si>
    <t>CRNE10-7</t>
  </si>
  <si>
    <t>CRNE10-9</t>
  </si>
  <si>
    <t>CRNE10-12</t>
  </si>
  <si>
    <t>CRNE15-2</t>
  </si>
  <si>
    <t>CRNE15-3</t>
  </si>
  <si>
    <t>CRNE15-4</t>
  </si>
  <si>
    <t>CRNE15-5</t>
  </si>
  <si>
    <t>CRNE15-6</t>
  </si>
  <si>
    <t>CRNE15-8</t>
  </si>
  <si>
    <t>CRNE15-10</t>
  </si>
  <si>
    <t>CRNE20-1</t>
  </si>
  <si>
    <t>CRNE20-2</t>
  </si>
  <si>
    <t>CRNE20-3</t>
  </si>
  <si>
    <t>CRNE20-4</t>
  </si>
  <si>
    <t>CRNE20-5</t>
  </si>
  <si>
    <t>CRNE20-6</t>
  </si>
  <si>
    <t>CRNE20-7</t>
  </si>
  <si>
    <t>CRNE20-8</t>
  </si>
  <si>
    <t>CRNE10-13</t>
  </si>
  <si>
    <t>CRNE20-9</t>
  </si>
  <si>
    <t>CRNE125-2-2</t>
  </si>
  <si>
    <t>CRNE32-1-1</t>
  </si>
  <si>
    <t>CRNE32-1</t>
  </si>
  <si>
    <t>CRNE32-2-1</t>
  </si>
  <si>
    <t>CRNE32-2</t>
  </si>
  <si>
    <t>CRNE32-4-2</t>
  </si>
  <si>
    <t>CRNE45-1-1</t>
  </si>
  <si>
    <t>CRNE45-1</t>
  </si>
  <si>
    <t>CRNE45-2-1</t>
  </si>
  <si>
    <t>CRNE45-2-2</t>
  </si>
  <si>
    <t>CRNE64-1-1</t>
  </si>
  <si>
    <t>CRNE64-1</t>
  </si>
  <si>
    <t>CRNE95-1-1</t>
  </si>
  <si>
    <t>620 x 620 x 310</t>
  </si>
  <si>
    <t>RM SKU</t>
  </si>
  <si>
    <t>RM Name</t>
  </si>
  <si>
    <t>Rubber Mount Nett</t>
  </si>
  <si>
    <t>Seismic Spring SKU</t>
  </si>
  <si>
    <t>Seismic Spring Name</t>
  </si>
  <si>
    <t>RM Total Nett</t>
  </si>
  <si>
    <t>Seismic Spring Nett</t>
  </si>
  <si>
    <t>Seis Total Nett</t>
  </si>
  <si>
    <t>TP 40-240/2 A-F-B-BQQE-IX1</t>
  </si>
  <si>
    <t>TP 40-300/2 A-F-B-BQQE-JX1</t>
  </si>
  <si>
    <t>TP 50-190/2 A-F-B-BQQE-HX1</t>
  </si>
  <si>
    <t>NR1 - Yellow</t>
  </si>
  <si>
    <t>TP 50-240/2 A-F-B-BQQE-IX1</t>
  </si>
  <si>
    <t>TP 50-290/2 A-F-B-BQQE-JX1</t>
  </si>
  <si>
    <t>TP 50-190/4 A-F-B-BQQE-IX3</t>
  </si>
  <si>
    <t>TP 50-230/4 A-F-B-BQQE-JX3</t>
  </si>
  <si>
    <t>TP 50-360/2 A-F-B-BQQE-KX1</t>
  </si>
  <si>
    <t>TP 50-430/2 A-F-B-BQQE-LX1</t>
  </si>
  <si>
    <t>TP 65-150/4 A-F-B-BQQE-IX3</t>
  </si>
  <si>
    <t>TP 65-170/4 A-F-B-BQQE-JX3</t>
  </si>
  <si>
    <t>TP 65-340/2 A-F-B-BQQE-LX1</t>
  </si>
  <si>
    <t>TP 65-410/2 A-F-B-BQQE-MX1</t>
  </si>
  <si>
    <t>TP 65-460/2 A-F-B-BQQE-NX1</t>
  </si>
  <si>
    <t>TP 65-550/2 A-F-B-BQQE-OX1</t>
  </si>
  <si>
    <t>TP 65-240/4 A-F-B-BQQE-KX3</t>
  </si>
  <si>
    <t>TP 65-130/4 A-F-B-BQQE-HX3</t>
  </si>
  <si>
    <t>TP 80-140/2 A-F-B-BQQE-IX1</t>
  </si>
  <si>
    <t>TP 80-180/2 A-F-B-BQQE-JX1</t>
  </si>
  <si>
    <t>TP 80-150/4 A-F-B-BQQE-JX3</t>
  </si>
  <si>
    <t>TP 80-210/2 A-F-B-BQQE-KX1</t>
  </si>
  <si>
    <t>TP 80-240/2 A-F-B-BQQE-LX1</t>
  </si>
  <si>
    <t>TP 80-250/2 A-F-B-BQQE-MX1</t>
  </si>
  <si>
    <t>TP 80-330/2 A-F-B-BQQE-NX1</t>
  </si>
  <si>
    <t>TP 80-400/2 A-F-B-BQQE-OX1</t>
  </si>
  <si>
    <t>TP 80-520/2 A-F-B-BQQE-PX1</t>
  </si>
  <si>
    <t>TP 80-110/4 A-F-B-BQQE-IX3</t>
  </si>
  <si>
    <t>TP 80-170/4 A-F-B-BQQE-KX3</t>
  </si>
  <si>
    <t>TP 80-240/4 A-F-B-BQQE-LX3</t>
  </si>
  <si>
    <t>TP 80-270/4 A-F-B-BQQE-MX3</t>
  </si>
  <si>
    <t>TP 80-340/4 A-F-B-BQQE-NX3</t>
  </si>
  <si>
    <t>TP 100-70/4 A-F-B-BQQE-HX3</t>
  </si>
  <si>
    <t>TP 100-90/4 A-F-B-BQQE-IX3</t>
  </si>
  <si>
    <t>TP 100-110/4 A-F-B-BQQE-JX3</t>
  </si>
  <si>
    <t>TP 100-160/2 A-F-B-BQQE-KX1</t>
  </si>
  <si>
    <t>TP 100-200/2 A-F-B-BQQE-LX1</t>
  </si>
  <si>
    <t>TP 100-240/2 A-F-B-BQQE-MX1</t>
  </si>
  <si>
    <t>TP 100-250/2 A-F-B-BQQE-NX1</t>
  </si>
  <si>
    <t>TP 100-310/2 A-F-B-BQQE-OX1</t>
  </si>
  <si>
    <t>TP 100-360/2 A-F-B-BQQE-PX1</t>
  </si>
  <si>
    <t>TP 100-390/2 A-F-B-BQQE-QX1</t>
  </si>
  <si>
    <t>TP 100-130/4 A-F-B-BQQE-KX3</t>
  </si>
  <si>
    <t>TP 100-170/4 A-F-B-BQQE-LX3</t>
  </si>
  <si>
    <t>TP 100-200/4 A-F-B-BQQE-MX3</t>
  </si>
  <si>
    <t>TP 100-250/4 A-F-B-BQQE-NX3</t>
  </si>
  <si>
    <t>TP 100-330/4 A-F-B-BQQE-OX3</t>
  </si>
  <si>
    <t>TP 100-370/4 A-F-B-BQQE-PX3</t>
  </si>
  <si>
    <t>TP 40-120/2 A-F-A-BQQE-DX1</t>
  </si>
  <si>
    <t>TP 40-230/2 A-F-A-BQQE-GX1</t>
  </si>
  <si>
    <t>TP 40-60/2 A-F-A-BQQE-CX1</t>
  </si>
  <si>
    <t>TP 50-180/2 A-F-A-BQQE-FX1</t>
  </si>
  <si>
    <t>TP 40-180/2 A-F-A-BQQE-EX1</t>
  </si>
  <si>
    <t>TP 50-60/2 A-F-A-BQQE-DX1</t>
  </si>
  <si>
    <t>TP 50-120/2 A-F-A-BQQE-FX1</t>
  </si>
  <si>
    <t>TP 40-190/2 A-F-A-BQQE-FX1</t>
  </si>
  <si>
    <t>TP 32-90/2 A-O-A-BQQE-DX1</t>
  </si>
  <si>
    <t>TP 65-180/2 A-F-A-BQQE-HX1</t>
  </si>
  <si>
    <t>TP 65-60/2 A-F-A-BQQE-EX1</t>
  </si>
  <si>
    <t>TP 65-120/2 A-F-A-BQQE-GX1</t>
  </si>
  <si>
    <t>TP 65-250/2 A-F-B-BQQE-KX1</t>
  </si>
  <si>
    <t>TP 65-210/2 A-F-B-BQQE-JX1</t>
  </si>
  <si>
    <t>TP 50-140/4 A-F-B-BQQE-HX3</t>
  </si>
  <si>
    <t>TP 40-140/4 A-F-B-BQQE-GX3</t>
  </si>
  <si>
    <t>TP 40-110/4 A-F-B-BQQE-FX3</t>
  </si>
  <si>
    <t>TP 80-120/2 AI-F-A-BQQE-HX1</t>
  </si>
  <si>
    <t>TPE3 32-200 S-A-F-A-BQQE-FDC</t>
  </si>
  <si>
    <t>TPE3 40-200 S-A-F-A-BQQE-GDC</t>
  </si>
  <si>
    <t>TPE3 40-240 S-A-F-A-BQQE-HDC</t>
  </si>
  <si>
    <t>TPE3 50-200 S-A-F-A-BQQE-HDC</t>
  </si>
  <si>
    <t>TPE3 50-240 S-A-F-A-BQQE-IDC</t>
  </si>
  <si>
    <t>TPE3 65-200 S-A-F-A-BQQE-IDC</t>
  </si>
  <si>
    <t>TP 40-360/2 A-F-A-BQQE-KW1</t>
  </si>
  <si>
    <t>TP 125-340/4 A-F-B-BAQE-QW3</t>
  </si>
  <si>
    <t>1100 x 800 x 250</t>
  </si>
  <si>
    <t>P/N</t>
  </si>
  <si>
    <t>DESCRIPTION</t>
  </si>
  <si>
    <t>2024 MPG</t>
  </si>
  <si>
    <t>AD</t>
  </si>
  <si>
    <t>DE</t>
  </si>
  <si>
    <t>DF</t>
  </si>
  <si>
    <t>CM 10-2</t>
  </si>
  <si>
    <t>UPS25-60 130 1X230V 50HZ 9H</t>
  </si>
  <si>
    <t>UPS40-60/2 F 1x230-240V PN6/10</t>
  </si>
  <si>
    <t>BA</t>
  </si>
  <si>
    <t>UPS40-60/2 F 3x400-415 PN6/10</t>
  </si>
  <si>
    <t>UPS40-120 F 1x230-240V PN6/10</t>
  </si>
  <si>
    <t>UPS40-120/2 F 3x400-415V 50 HZ</t>
  </si>
  <si>
    <t>UPS40-180 F 3x400-415V PN6/10</t>
  </si>
  <si>
    <t>UPS50-60/2 F 3x400-415V PN6/10</t>
  </si>
  <si>
    <t>UPS50-120 F 3x400-415V PN6/10</t>
  </si>
  <si>
    <t>UPS50-180 F 3x400-415V PN6/10</t>
  </si>
  <si>
    <t>UPS65-60/2 F 3x400-415V PN6/10</t>
  </si>
  <si>
    <t>UPS65-120 F 3X400-415V 50HZ PN6/10</t>
  </si>
  <si>
    <t>UPS65-180 F 3x400-415V PN6/10</t>
  </si>
  <si>
    <t>UPS80-60 F 3x400-415V PN6</t>
  </si>
  <si>
    <t>UPS80-120 F 3x400-415V PN6</t>
  </si>
  <si>
    <t>MAGNA3 25-60 180 1x230V PN10</t>
  </si>
  <si>
    <t>BB</t>
  </si>
  <si>
    <t>MAGNA3 25-100 180 1x230V PN10</t>
  </si>
  <si>
    <t>MAGNA3 25-40 180 1x230V PN16</t>
  </si>
  <si>
    <t>MAGNA3 32-100 180 1x230V PN10</t>
  </si>
  <si>
    <t>MAGNA3 32-120 F 220 1x230V PN6/10</t>
  </si>
  <si>
    <t>MAGNA3 40-120 F 250 1x230V PN6/10</t>
  </si>
  <si>
    <t>MAGNA3 40-150 F 250 1x230V PN6/10</t>
  </si>
  <si>
    <t>MAGNA3 40-180 F 250 1x230V PN6/10</t>
  </si>
  <si>
    <t>MAGNA3 50-60 F 240 1x230V PN6/10</t>
  </si>
  <si>
    <t>MAGNA3 50-120 F 280 1x230V PN6/10</t>
  </si>
  <si>
    <t>MAGNA3 50-180 F 280 1x230V PN6/10</t>
  </si>
  <si>
    <t>MAGNA3 65-60 F 340 1x230V PN6/10</t>
  </si>
  <si>
    <t>MAGNA3 65-120 F 340 1x230V PN6/10</t>
  </si>
  <si>
    <t>MAGNA3 65-150 F 340 1x230V PN6/10</t>
  </si>
  <si>
    <t>MAGNA3 25-60 N 180 1x230V PN10</t>
  </si>
  <si>
    <t>MAGNA3 25-100 N 180 1x230V PN10</t>
  </si>
  <si>
    <t>MAGNA3 25-120 N 180 1x230V PN10</t>
  </si>
  <si>
    <t>MAGNA3 32-60 N 180 1x230V PN10</t>
  </si>
  <si>
    <t>MAGNA3 32-100 N 180 1x230V PN10</t>
  </si>
  <si>
    <t>MAGNA3 32-120 F N 220 1x230V PN6/10</t>
  </si>
  <si>
    <t>MAGNA3 32-120 N 180 1x230V PN10</t>
  </si>
  <si>
    <t>MAGNA1 25-60 N 180 1x230V PN10</t>
  </si>
  <si>
    <t>MAGNA1 25-120 N 180 1x230V PN10</t>
  </si>
  <si>
    <t>MAGNA1 32-60 N 180 1x230V PN10</t>
  </si>
  <si>
    <t>MAGNA1 32-120 N 180 1x230V PN10</t>
  </si>
  <si>
    <t>MAGNA1 40-60 F N 220 1x230V PN6/10</t>
  </si>
  <si>
    <t>MAGNA1 40-120 F N 250 1x230V PN6/10</t>
  </si>
  <si>
    <t>MAGNA1 50-120 F N 280 1x230V PN6/10</t>
  </si>
  <si>
    <t>DD</t>
  </si>
  <si>
    <t>HWC- DUAL MAGNA3 25-60 N 1x230V 50Hz</t>
  </si>
  <si>
    <t>HWC- DUAL MAGNA3 25-120 N 1x230V 50Hz</t>
  </si>
  <si>
    <t>HWC- DUAL MAGNA3 32-60 N 1x230V 50Hz</t>
  </si>
  <si>
    <t>HWC- DUAL MAGNA3 32-120 N 1x230V 50Hz</t>
  </si>
  <si>
    <t>Preset charge (Pi)</t>
  </si>
  <si>
    <t>Max Charge (Pf)</t>
  </si>
  <si>
    <t>Union valve set G11/2"x1"</t>
  </si>
  <si>
    <t>UNION SET G11/2"X1" CI</t>
  </si>
  <si>
    <t>Union set G11/2"x1"</t>
  </si>
  <si>
    <t>UP20-30 N 150 1X240V 50HZ 9H</t>
  </si>
  <si>
    <t>DUAL UPS20-60 N 1X240V 50HZ STD</t>
  </si>
  <si>
    <t>DUAL UPS32-80 N 1X240V 50HZ DLX</t>
  </si>
  <si>
    <t>DUAL UPS20-60 N 1X240V 50HZ DLX</t>
  </si>
  <si>
    <t>DUAL UPS32-80 N 1X240V 50HZ STD</t>
  </si>
  <si>
    <t>UNION SET 11/4" 32MM BRASS</t>
  </si>
  <si>
    <t>UNION SET G11/2"X1"</t>
  </si>
  <si>
    <t>UNION SET BRASS  3/4'</t>
  </si>
  <si>
    <t>UNION VALVE SET 3/4-5/4"</t>
  </si>
  <si>
    <t>UNION VALVE SET G11/2"X1"</t>
  </si>
  <si>
    <t>Union valve set 2"-11/4" brass</t>
  </si>
  <si>
    <t>UPS25-80 180 1X230V 50HZ 9H</t>
  </si>
  <si>
    <t>UPS 25-80 N 180 1X230 50HZ 9H</t>
  </si>
  <si>
    <t>UPS32-80 180 1X230V 50HZ 9H</t>
  </si>
  <si>
    <t>UPS32-80 N 180 1X230V 50HZ 9H</t>
  </si>
  <si>
    <t>UP20-45 N 150 1X230V 50HZ 9H</t>
  </si>
  <si>
    <t>UPS25-100 180 1X230V 50HZ 9H</t>
  </si>
  <si>
    <t>UPS32-100 N 180 1X230V 50HZ 9H</t>
  </si>
  <si>
    <t>UPS32-100 180 1X230V 50HZ 9H</t>
  </si>
  <si>
    <t>UPS25-60 180 1X230V 50HZ 9H</t>
  </si>
  <si>
    <t>UPS50-120 F B 1x230-240V PN6/10</t>
  </si>
  <si>
    <t>UPS50-120 F B 3x400-415V PN6/10</t>
  </si>
  <si>
    <t>UPS25-60 N 180 1X230V 50HZ 9H</t>
  </si>
  <si>
    <t>UPS20-60 N 150 1X240V 50HZ 9H</t>
  </si>
  <si>
    <t>ALPHA2 25-60 130 1X230V 50HZ 6H</t>
  </si>
  <si>
    <t>ALPHA2 25-60 180 1X230V 50HZ 6H</t>
  </si>
  <si>
    <t>ALPHA2 25-60 N 130 1X230V 50HZ 6H</t>
  </si>
  <si>
    <t>ALPHA2 25-60 N 180 1X230V 50HZ 6H</t>
  </si>
  <si>
    <t>DUAL UPS20-60 N 1X240V 50HZ STD+COVER</t>
  </si>
  <si>
    <t>DUAL UPS32-80 N 1X240V 50HZ STD+COVER</t>
  </si>
  <si>
    <t>DUAL UPS20-60 N 1X240V 50HZ DLX+COVER</t>
  </si>
  <si>
    <t>DUAL UPS32-80 N 1X240V 50HZ DLX+COVER</t>
  </si>
  <si>
    <t>Part Number</t>
  </si>
  <si>
    <t>Height</t>
  </si>
  <si>
    <t>Reference</t>
  </si>
  <si>
    <t>Unit Nett</t>
  </si>
  <si>
    <t>Support Bar SKU</t>
  </si>
  <si>
    <t>Support Bar Nett (x2)</t>
  </si>
  <si>
    <t>Seismic Spring (x4)</t>
  </si>
  <si>
    <t>DT nett</t>
  </si>
  <si>
    <t>Unit Cost</t>
  </si>
  <si>
    <t>Unit Sell</t>
  </si>
  <si>
    <t xml:space="preserve">Margin </t>
  </si>
  <si>
    <t>Quote #</t>
  </si>
  <si>
    <t>Quote Name</t>
  </si>
  <si>
    <t>Quote Date</t>
  </si>
  <si>
    <t>Spring QTY</t>
  </si>
  <si>
    <t>Sydney Biomedical Accelerator</t>
  </si>
  <si>
    <t>Y</t>
  </si>
  <si>
    <t>N</t>
  </si>
  <si>
    <t>Ipswich Hospital</t>
  </si>
  <si>
    <t>Baxter Chilled Water Upgrade</t>
  </si>
  <si>
    <t>Noosa Hotel</t>
  </si>
  <si>
    <t>Westfield Parramatta</t>
  </si>
  <si>
    <t>Redcliffe Hospital</t>
  </si>
  <si>
    <t>TPCH</t>
  </si>
  <si>
    <t>MEL12</t>
  </si>
  <si>
    <t>Bundaberg Hospital</t>
  </si>
  <si>
    <t>TRI Stage 2</t>
  </si>
  <si>
    <t>Towoomba Hospital</t>
  </si>
  <si>
    <t>899 Collins St</t>
  </si>
  <si>
    <t>Logan Hospital</t>
  </si>
  <si>
    <t>D&amp;C Hospital Brisbane</t>
  </si>
  <si>
    <t>QUT</t>
  </si>
  <si>
    <t>y</t>
  </si>
  <si>
    <t>Brisbane Plant Replacement</t>
  </si>
  <si>
    <t>90 Crown St</t>
  </si>
  <si>
    <t>Bond University</t>
  </si>
  <si>
    <t>Atlassian</t>
  </si>
  <si>
    <t>Metro West - Burwood North</t>
  </si>
  <si>
    <t xml:space="preserve">Visy </t>
  </si>
  <si>
    <t>Windsor Medical Centre</t>
  </si>
  <si>
    <t>GU N34 &amp; N44</t>
  </si>
  <si>
    <t>Brisbane CBD Project</t>
  </si>
  <si>
    <t>DLR SY14</t>
  </si>
  <si>
    <t>Erina Fair</t>
  </si>
  <si>
    <t xml:space="preserve">NK 100-280/215 </t>
  </si>
  <si>
    <t>Caboolture Admin</t>
  </si>
  <si>
    <t>NK 125-320/248</t>
  </si>
  <si>
    <t>UQ Commerce Hill</t>
  </si>
  <si>
    <t>NK 150-360/302-296</t>
  </si>
  <si>
    <t>Mounties</t>
  </si>
  <si>
    <t>Mt Gravatt Cinemas</t>
  </si>
  <si>
    <t xml:space="preserve">NK 125-350/333-329 </t>
  </si>
  <si>
    <t>450 Queen St</t>
  </si>
  <si>
    <t xml:space="preserve"> NK 100-280/240</t>
  </si>
  <si>
    <t>Description</t>
  </si>
  <si>
    <t>Type</t>
  </si>
  <si>
    <t>Max Load kg</t>
  </si>
  <si>
    <t>Static Deflection</t>
  </si>
  <si>
    <t>Spring Constant kg/mm</t>
  </si>
  <si>
    <t>Stripe 1</t>
  </si>
  <si>
    <t>Stripe 2</t>
  </si>
  <si>
    <t>Net price</t>
  </si>
  <si>
    <t>Quoted Net Cost</t>
  </si>
  <si>
    <t>CSM/CLM/CWM Technical Datasheet</t>
  </si>
  <si>
    <t>CSM-9</t>
  </si>
  <si>
    <t>Yellow</t>
  </si>
  <si>
    <t>-</t>
  </si>
  <si>
    <t>CSM-10</t>
  </si>
  <si>
    <t>Brown</t>
  </si>
  <si>
    <t>$68.50</t>
  </si>
  <si>
    <t>Spring Calculation</t>
  </si>
  <si>
    <t>CSM-11</t>
  </si>
  <si>
    <t>Blue</t>
  </si>
  <si>
    <t>Actual Intertia Base Weight</t>
  </si>
  <si>
    <t>CSM-12</t>
  </si>
  <si>
    <t>Black</t>
  </si>
  <si>
    <t>Spring Qty</t>
  </si>
  <si>
    <t>CSM-13</t>
  </si>
  <si>
    <t>Red</t>
  </si>
  <si>
    <t>25mm</t>
  </si>
  <si>
    <t>CSM-14</t>
  </si>
  <si>
    <t>Green</t>
  </si>
  <si>
    <t>Spring Load</t>
  </si>
  <si>
    <t>Grey</t>
  </si>
  <si>
    <t>Orange</t>
  </si>
  <si>
    <t>CLM-89</t>
  </si>
  <si>
    <t>White</t>
  </si>
  <si>
    <t>CLM-90</t>
  </si>
  <si>
    <t>Violet</t>
  </si>
  <si>
    <t>CLM-91</t>
  </si>
  <si>
    <t>CLM-92</t>
  </si>
  <si>
    <t>$155.70</t>
  </si>
  <si>
    <t>CLM-93</t>
  </si>
  <si>
    <t>CLM-94</t>
  </si>
  <si>
    <t>CLM-95</t>
  </si>
  <si>
    <t>$176.46</t>
  </si>
  <si>
    <t>Outer</t>
  </si>
  <si>
    <t>Inner</t>
  </si>
  <si>
    <t>CWM-423</t>
  </si>
  <si>
    <t>CWM-425</t>
  </si>
  <si>
    <t>CWM-1000</t>
  </si>
  <si>
    <t>CWM-1021</t>
  </si>
  <si>
    <t>CWM-1023</t>
  </si>
  <si>
    <t>CWM-1024</t>
  </si>
  <si>
    <t>CWM-1025</t>
  </si>
  <si>
    <t>CWM-1026</t>
  </si>
  <si>
    <t>CWM-1600</t>
  </si>
  <si>
    <t>CWM-1622</t>
  </si>
  <si>
    <t>CWM-1624</t>
  </si>
  <si>
    <t>CWM-1626</t>
  </si>
  <si>
    <t>CWM-1627</t>
  </si>
  <si>
    <t>CWM-1628</t>
  </si>
  <si>
    <t>CWM-1731</t>
  </si>
  <si>
    <t>Grey/Yellow</t>
  </si>
  <si>
    <t>CWDM-33</t>
  </si>
  <si>
    <t>$288.58</t>
  </si>
  <si>
    <t>CWDM/CDM Technical Datasheet</t>
  </si>
  <si>
    <t>CWDM-34</t>
  </si>
  <si>
    <t>CWDM-35</t>
  </si>
  <si>
    <t>CWDM-36</t>
  </si>
  <si>
    <t>CWDM-37</t>
  </si>
  <si>
    <t>CWDM-38</t>
  </si>
  <si>
    <t>CWDM-39</t>
  </si>
  <si>
    <t xml:space="preserve">Outer </t>
  </si>
  <si>
    <t>CDM-50</t>
  </si>
  <si>
    <t>CDM-51</t>
  </si>
  <si>
    <t>CDM-510</t>
  </si>
  <si>
    <t>CDM-52</t>
  </si>
  <si>
    <t>CDM-520</t>
  </si>
  <si>
    <t>CDM-521</t>
  </si>
  <si>
    <t>CDM-53</t>
  </si>
  <si>
    <t>CDM-530</t>
  </si>
  <si>
    <t>CDM-531</t>
  </si>
  <si>
    <t>CDM-532</t>
  </si>
  <si>
    <t>CDM-55</t>
  </si>
  <si>
    <t>CDM-552</t>
  </si>
  <si>
    <t>Max Load (Kg)</t>
  </si>
  <si>
    <t>Static Deflection (mm)</t>
  </si>
  <si>
    <t>Spring Constant</t>
  </si>
  <si>
    <t>List</t>
  </si>
  <si>
    <t>4x Spring Cost</t>
  </si>
  <si>
    <t>Spring</t>
  </si>
  <si>
    <t>$288.59</t>
  </si>
  <si>
    <t>$288.60</t>
  </si>
  <si>
    <t>$288.61</t>
  </si>
  <si>
    <t>Sku</t>
  </si>
  <si>
    <t>Item Descr.</t>
  </si>
  <si>
    <t>RUBBER MOUNT NR1 BLUE (17KG) EMBELTON</t>
  </si>
  <si>
    <t>5mm</t>
  </si>
  <si>
    <t>Datasheet</t>
  </si>
  <si>
    <t>RUBBER MOUNT NR1 WHITE (25KG) EMBELTON</t>
  </si>
  <si>
    <t>RUBBER MOUNT NR1 YELLOW (80KG) EMBELTON</t>
  </si>
  <si>
    <t>RUBBER MOUNT NR2 RED(100KG)</t>
  </si>
  <si>
    <t>RUBBER MOUNT NR1 RED (40KG) EMBELTON</t>
  </si>
  <si>
    <t>RUBBER MOUNT NR1 GREEN (55KG) EMBELTON</t>
  </si>
  <si>
    <t>SPRING MOUNT CROSSBAR 366MM FRAME</t>
  </si>
  <si>
    <t>SPRING MOUNT CROSSBAR 462MM FRAME</t>
  </si>
  <si>
    <t>SPRING MOUNT CROSSBAR 512MM BASE</t>
  </si>
  <si>
    <t>SPRING MOUNT CROSSBAR 576MM BASE (CSM)</t>
  </si>
  <si>
    <t>Part number</t>
  </si>
  <si>
    <t>Net Cost</t>
  </si>
  <si>
    <t>Spring Mount</t>
  </si>
  <si>
    <t>15% GM</t>
  </si>
  <si>
    <t>800 x 630 x 125</t>
  </si>
  <si>
    <t>1200 x 800 x 200</t>
  </si>
  <si>
    <t>1500 x 900 x 300</t>
  </si>
  <si>
    <t>2100 x 1000 x 300</t>
  </si>
  <si>
    <t>950 x 720 x 150</t>
  </si>
  <si>
    <t>Depth</t>
  </si>
  <si>
    <t>Mount Height</t>
  </si>
  <si>
    <t>Correct Weight (kg)</t>
  </si>
  <si>
    <t>TBA-1</t>
  </si>
  <si>
    <t>TBA-6</t>
  </si>
  <si>
    <t>Flow (L/s)</t>
  </si>
  <si>
    <t>Head (kPa)</t>
  </si>
  <si>
    <t>Grundfos NBG 50-32-200/176 4kW 2P</t>
  </si>
  <si>
    <t>Grundfos NBG 65-40-315/283 3kW 4P</t>
  </si>
  <si>
    <t>Grundfos NBG 50-32-200/216 1.1kW 4P</t>
  </si>
  <si>
    <t>https://product-selection.grundfos.com/au/products/nbg-nbge/nbg/nbg-80-65-160175-99801305</t>
  </si>
  <si>
    <t>Grundfos NBG 50-32-200/190 5.5kW 2P</t>
  </si>
  <si>
    <t>Grundfos NBG 50-32-200/219 1.5kW 4P</t>
  </si>
  <si>
    <t>Grundfos NBG 80-50-250/263 4kW 4P</t>
  </si>
  <si>
    <t>Grundfos NBG 80-65-160/177 15kW 2P</t>
  </si>
  <si>
    <t>Grundfos NBG 80-65-160/167 11kW 2P</t>
  </si>
  <si>
    <t>Grundfos NBG 65-40-315/334 5.5kW 4P</t>
  </si>
  <si>
    <t>Grundfos NBG 50-32-160/163 4kW 2P</t>
  </si>
  <si>
    <t>Grundfos NBG 50-32-160/151 3kW 2P</t>
  </si>
  <si>
    <t>Grundfos NBG 50-32-160/177 5.5kW 2P</t>
  </si>
  <si>
    <t>Grundfos NBG 50-32-160/139 2.2kW 2P</t>
  </si>
  <si>
    <t>Grundfos NBG 65-40-200/217 1.5kW 4P</t>
  </si>
  <si>
    <t>Grundfos NBG 65-40-200/198 1.1kW 4P</t>
  </si>
  <si>
    <t>Grundfos NBG 65-40-250/242 2.2kW 4P</t>
  </si>
  <si>
    <t>Grundfos NBG 65-40-250/260 3kW 4P</t>
  </si>
  <si>
    <t>Grundfos NBG 65-40-315/305 4kW 4P</t>
  </si>
  <si>
    <t>Grundfos NBG 80-50-315/331 7.5kW 4P</t>
  </si>
  <si>
    <t>Grundfos NBG 50-32-200/206 7.5kW 2P</t>
  </si>
  <si>
    <t>Grundfos NBG 50-32-200/219 11kW 2P</t>
  </si>
  <si>
    <t>Grundfos NBG 80-50-200/219 3kW 4P</t>
  </si>
  <si>
    <t>Grundfos NBG 80-50-315/303 5.5kW 4P</t>
  </si>
  <si>
    <t>Grundfos NBG 65-40-250/245 2.2kW 4P</t>
  </si>
  <si>
    <t>Grundfos NBG 65-50-160/144 4kW 2P</t>
  </si>
  <si>
    <t>Grundfos NBG 80-50-315/277 4kW 4P</t>
  </si>
  <si>
    <t>Grundfos NBG 80-50-200/210 2.2kW 4P</t>
  </si>
  <si>
    <t>Grundfos NBG 80-50-250/241 3kW 4P</t>
  </si>
  <si>
    <t>Grundfos NBG 65-50-160/172 7.5kW 2P</t>
  </si>
  <si>
    <t>Grundfos NBG 65-40-250/230 15kW 2P</t>
  </si>
  <si>
    <t>Grundfos NBG 65-50-160/158 5.5kW 2P</t>
  </si>
  <si>
    <t>Grundfos NBG 65-40-200/172 5.5kW 2P</t>
  </si>
  <si>
    <t>Grundfos NBG 65-40-200/206 11kW 2P</t>
  </si>
  <si>
    <t>Grundfos NBG 80-50-250/205 15kW 2P</t>
  </si>
  <si>
    <t>Grundfos NBG 80-50-315/344 11kW 4P</t>
  </si>
  <si>
    <t>Grundfos NBG 65-40-200/188 7.5kW 2P</t>
  </si>
  <si>
    <t>Grundfos NBG 65-40-200/219 15kW 2P</t>
  </si>
  <si>
    <t>Grundfos NBG 80-65-160/175 1.5kW 4P</t>
  </si>
  <si>
    <t>Grundfos NBG 65-50-160/177 11kW 2P</t>
  </si>
  <si>
    <t>Grundfos NBG 100-65-200/189 2.2kW 4P</t>
  </si>
  <si>
    <t>Grundfos NBG 100-65-250/254 5.5kW 4P</t>
  </si>
  <si>
    <t>Grundfos NBG 80-65-160/136 5.5kW 2P</t>
  </si>
  <si>
    <t>Grundfos NBG 80-65-160/150 7.5kW 2P</t>
  </si>
  <si>
    <t>Grundfos NBG 100-65-200/219 4kW 4P</t>
  </si>
  <si>
    <t>Grundfos NBG 100-65-315/282 7.5kW 4P</t>
  </si>
  <si>
    <t>Grundfos NBG 100-65-250/270 7.5kW 4P</t>
  </si>
  <si>
    <t>Grundfos NBG 80-50-200/181 11kW 2P</t>
  </si>
  <si>
    <t>Grundfos NBG 100-65-200/205 3kW 4P</t>
  </si>
  <si>
    <t>Grundfos NBG 100-65-250/232 4kW 4P</t>
  </si>
  <si>
    <t>Grundfos NBG 65-40-250/245 18.5kW 2P</t>
  </si>
  <si>
    <t>Grundfos NBG 100-65-315/314 11kW 4P</t>
  </si>
  <si>
    <t>Grundfos NBG 100-65-200/162 11kW 2P</t>
  </si>
  <si>
    <t>Grundfos NBG 100-80-160/149 1.1kW 4P</t>
  </si>
  <si>
    <t>Grundfos NBG 80-50-200/210 18.5kW 2P</t>
  </si>
  <si>
    <t>Grundfos NBG 80-50-200/198 15kW 2P</t>
  </si>
  <si>
    <t>Grundfos NBG 80-50-250/233 22kW 2P</t>
  </si>
  <si>
    <t>Grundfos NBG 125-80-250/225 5.5kW 4P</t>
  </si>
  <si>
    <t>Grundfos NBG 100-80-160/143 7.5kW 2P</t>
  </si>
  <si>
    <t>Grundfos NBG 125-80-250/247 7.5kW 4P</t>
  </si>
  <si>
    <t>Grundfos NBG 100-80-160/157 11kW 2P</t>
  </si>
  <si>
    <t>Grundfos NBG 100-65-315/320 15kW 4P</t>
  </si>
  <si>
    <t>Grundfos NBG 125-80-200/222 7.5kW 4P</t>
  </si>
  <si>
    <t>Grundfos NBG 125-80-315/280 11kW 4P</t>
  </si>
  <si>
    <t>Grundfos NBG 125-80-200/188 30kW 2P</t>
  </si>
  <si>
    <t>Grundfos NBG 100-65-200/190 18.5kW 2P</t>
  </si>
  <si>
    <t>Grundfos NBG 100-65-200/177 15kW 2P</t>
  </si>
  <si>
    <t>Grundfos NBG 125-80-400/397 30kW 4P</t>
  </si>
  <si>
    <t>Grundfos NBG 100-65-200/217 30kW 2P</t>
  </si>
  <si>
    <t>Grundfos NBG 125-80-400/347 18.5kW 4P</t>
  </si>
  <si>
    <t>Grundfos NBG 125-80-250/270 11kW 4P</t>
  </si>
  <si>
    <t>Grundfos NBG 125-80-400/365 22kW 4P</t>
  </si>
  <si>
    <t>Grundfos NBG 100-80-160/173 15kW 2P</t>
  </si>
  <si>
    <t>Grundfos NBG 125-80-315/320 18.5kW 4P</t>
  </si>
  <si>
    <t>Grundfos NBG 125-100-250/245 11kW 4P</t>
  </si>
  <si>
    <t>Grundfos NBG 100-80-160/177 18.5kW 2P</t>
  </si>
  <si>
    <t>Grundfos NBG 125-80-160/177 4kW 4P</t>
  </si>
  <si>
    <t>Grundfos NBG 125-80-315/334 22kW 4P</t>
  </si>
  <si>
    <t>Grundfos NBG 100-65-250/238 37kW 2P</t>
  </si>
  <si>
    <t>Grundfos NBG 100-65-200/198 22kW 2P</t>
  </si>
  <si>
    <t>Grundfos NBG 125-100-200/195 5.5kW 4P</t>
  </si>
  <si>
    <t>Grundfos NBG 125-80-315/305 15kW 4P</t>
  </si>
  <si>
    <t>Grundfos NBG 125-80-160/147-127 11kW 2P</t>
  </si>
  <si>
    <t>Grundfos NBG 125-100-200/178 4kW 4P</t>
  </si>
  <si>
    <t>Grundfos NBG 125-100-200/211 7.5kW 4P</t>
  </si>
  <si>
    <t>Grundfos NBG 150-125-315/317 30kW 4P</t>
  </si>
  <si>
    <t>Grundfos NBG 125-100-250/274 15kW 4P</t>
  </si>
  <si>
    <t>Grundfos NBG 125-80-160/161 18.5kW 2P</t>
  </si>
  <si>
    <t>Grundfos NBG 125-100-400/360 30kW 4P</t>
  </si>
  <si>
    <t>Grundfos NBG 125-100-200/219 11kW 4P</t>
  </si>
  <si>
    <t>Grundfos NBG 125-80-160/151 15kW 2P</t>
  </si>
  <si>
    <t>Grundfos NBG 125-100-250/245 EUP 11kW 4P</t>
  </si>
  <si>
    <t>Grundfos NBG 100-65-250/269 55kW 2P</t>
  </si>
  <si>
    <t>Grundfos NBG 125-80-200/171 22kW 2P</t>
  </si>
  <si>
    <t>Grundfos NBG 150-125-200/196-180 7.5kW 4P</t>
  </si>
  <si>
    <t>Grundfos NBG 125-80-200/211 45kW 2P</t>
  </si>
  <si>
    <t>Grundfos NBG 125-100-400/395 45kW 4P</t>
  </si>
  <si>
    <t>Grundfos NBG 125-100-315/334 30kW 4P</t>
  </si>
  <si>
    <t>Grundfos NBG 125-80-160/167 22kW 2P</t>
  </si>
  <si>
    <t>Grundfos NBG 125-80-200/200 37kW 2P</t>
  </si>
  <si>
    <t>Grundfos NBG 125-100-315/312 22kW 4P</t>
  </si>
  <si>
    <t>Grundfos NBG 125-100-400/375 37kW 4P</t>
  </si>
  <si>
    <t>Grundfos NBG 125-80-250/234 55kW 2P</t>
  </si>
  <si>
    <t>Grundfos NBG 125-100-400/415 55kW 4P</t>
  </si>
  <si>
    <t>Grundfos NBG 150-125-400/368 45kW 4P</t>
  </si>
  <si>
    <t>Grundfos NBG 125-100-400/360 EUP 30kW 4P</t>
  </si>
  <si>
    <t>Grundfos NBG 125-80-160/177 30kW 2P</t>
  </si>
  <si>
    <t>Grundfos NBG 125-100-315/295 18.5kW 4P</t>
  </si>
  <si>
    <t>Grundfos NBG 125-100-400/375 EUP 37kW 4P</t>
  </si>
  <si>
    <t>Grundfos NBG 125-100-200/181 37kW 2P</t>
  </si>
  <si>
    <t>Grundfos NBG 150-125-315/336 37kW 4P</t>
  </si>
  <si>
    <t>Grundfos NBG 150-125-250/249 18.5kW 4P</t>
  </si>
  <si>
    <t>Grundfos NBG 150-125-250/236 15kW 4P</t>
  </si>
  <si>
    <t>Grundfos NBG 125-100-200/170 30kW 2P</t>
  </si>
  <si>
    <t>Grundfos NBG 150-125-250/262 22kW 4P</t>
  </si>
  <si>
    <t>Grundfos NBG 150-125-315/290 22kW 4P</t>
  </si>
  <si>
    <t>Grundfos NBG 125-100-200/219 75kW 2P</t>
  </si>
  <si>
    <t>Grundfos NBG 125-100-200/192 45kW 2P</t>
  </si>
  <si>
    <t>Grundfos NBG 150-125-315/275 18.5kW 4P</t>
  </si>
  <si>
    <t>Grundfos NBG 150-125-400/392 55kW 4P</t>
  </si>
  <si>
    <t>Grundfos NBG 125-100-250/242 EUP 90kW 2P</t>
  </si>
  <si>
    <t>Grundfos NBG 125-100-200/203 55kW 2P</t>
  </si>
  <si>
    <t>Grundfos NBG 150-125-400/433 75kW 4P</t>
  </si>
  <si>
    <t>Grundfos NBG 150-125-250/269 30kW 4P</t>
  </si>
  <si>
    <t>Grundfos NBG 150-125-250/221 90kW 2P</t>
  </si>
  <si>
    <t>Grundfos NBG 200-150-315/310 55kW 4P</t>
  </si>
  <si>
    <t>Grundfos NBG 150-125-200/205 75kW 2P</t>
  </si>
  <si>
    <t>Grundfos NBG 200-150-315/336 75kW 4P</t>
  </si>
  <si>
    <t>Grundfos NBG 150-125-200/205 EUP 75kW 2P</t>
  </si>
  <si>
    <t>Grundfos NBG 150-125-200/219 90kW 2P</t>
  </si>
  <si>
    <t>Grundfos NBG 200-150-250/275 37kW 4P</t>
  </si>
  <si>
    <t>Grundfos NBG 200-150-250/262 30kW 4P</t>
  </si>
  <si>
    <t>Grundfos NBG 200-150-400/394 90kW 4P</t>
  </si>
  <si>
    <t>Grundfos NBG 150-125-200/219 EUP 90kW 2P</t>
  </si>
  <si>
    <t>Grundfos NBG 200-150-315/275 37kW 4P</t>
  </si>
  <si>
    <t>Grundfos NBG 200-150-400/438 160kW 4P</t>
  </si>
  <si>
    <t>Grundfos NBG 200-150-200/218-202 90kW 2P</t>
  </si>
  <si>
    <t>Flow L/s</t>
  </si>
  <si>
    <t>Head kPa</t>
  </si>
  <si>
    <t>2.4 L/s @ 150kPa)</t>
  </si>
  <si>
    <t>CME 10-1</t>
  </si>
  <si>
    <t>CR 10-2</t>
  </si>
  <si>
    <t>CRE 5-2</t>
  </si>
  <si>
    <t>TP 32-200</t>
  </si>
  <si>
    <t>TPE3 32-200</t>
  </si>
  <si>
    <t>Pump 
 LIST</t>
  </si>
  <si>
    <t>Required Weight</t>
  </si>
  <si>
    <t>$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</si>
</sst>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.00_);_(&quot;$&quot;* \(#,##0.00\);_(&quot;$&quot;* &quot;-&quot;??_);_(@_)"/>
    <numFmt numFmtId="165" formatCode="&quot;$&quot;#,##0"/>
    <numFmt numFmtId="166" formatCode="_(&quot;$&quot;* #,##0_);_(&quot;$&quot;* \(#,##0\);_(&quot;$&quot;* &quot;-&quot;??_);_(@_)"/>
    <numFmt numFmtId="168" formatCode="dd/mm/yyyy"/>
    <numFmt numFmtId="169" formatCode="&quot;$&quot;#,##0.00"/>
    <numFmt numFmtId="173" formatCode="_-* #,##0.00_-;\-* #,##0.00_-;_-* &quot;-&quot;??_-;_-@"/>
  </numFmts>
  <fonts count="2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2"/>
      <color theme="1"/>
      <name val="Aptos Narrow"/>
    </font>
    <font>
      <sz val="8"/>
      <color rgb="FF000000"/>
      <name val="Tahoma"/>
    </font>
    <font>
      <b/>
      <sz val="10"/>
      <color theme="1"/>
      <name val="Roboto"/>
    </font>
    <font>
      <b/>
      <sz val="12"/>
      <color theme="1"/>
      <name val="Arial"/>
    </font>
    <font>
      <sz val="10"/>
      <color rgb="FF434343"/>
      <name val="Roboto"/>
    </font>
    <font>
      <b/>
      <sz val="11"/>
      <color theme="1"/>
      <name val="Roboto"/>
    </font>
    <font>
      <sz val="12"/>
      <color theme="1"/>
      <name val="Arial"/>
    </font>
    <font>
      <b/>
      <sz val="12"/>
      <color theme="1"/>
      <name val="Aptos Narrow"/>
    </font>
    <font>
      <b/>
      <sz val="11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b/>
      <sz val="11"/>
      <color rgb="FF7B7B7B"/>
      <name val="Calibri"/>
    </font>
    <font>
      <sz val="11"/>
      <color rgb="FF222222"/>
      <name val="Calibri"/>
    </font>
    <font>
      <u/>
      <sz val="10"/>
      <color rgb="FF0000FF"/>
      <name val="Arial"/>
    </font>
    <font>
      <sz val="9"/>
      <color theme="1"/>
      <name val="Grundfos TheSans Light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D9F2D0"/>
        <bgColor rgb="FFD9F2D0"/>
      </patternFill>
    </fill>
    <fill>
      <patternFill patternType="solid">
        <fgColor rgb="FFF6C6AC"/>
        <bgColor rgb="FFF6C6AC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5A5A5"/>
      </bottom>
      <diagonal/>
    </border>
    <border>
      <left/>
      <right style="thin">
        <color rgb="FF000000"/>
      </right>
      <top style="thin">
        <color rgb="FF000000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/>
    <xf numFmtId="165" fontId="1" fillId="0" borderId="0" xfId="0" applyNumberFormat="1" applyFont="1"/>
    <xf numFmtId="0" fontId="5" fillId="0" borderId="0" xfId="0" applyFont="1" applyAlignment="1">
      <alignment horizontal="left"/>
    </xf>
    <xf numFmtId="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0" xfId="0" applyFont="1"/>
    <xf numFmtId="166" fontId="1" fillId="0" borderId="0" xfId="0" applyNumberFormat="1" applyFont="1"/>
    <xf numFmtId="0" fontId="4" fillId="0" borderId="0" xfId="0" applyFont="1" applyAlignment="1">
      <alignment horizontal="center"/>
    </xf>
    <xf numFmtId="169" fontId="1" fillId="0" borderId="0" xfId="0" applyNumberFormat="1" applyFont="1"/>
    <xf numFmtId="0" fontId="3" fillId="0" borderId="0" xfId="0" applyFont="1"/>
    <xf numFmtId="164" fontId="6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center"/>
    </xf>
    <xf numFmtId="0" fontId="7" fillId="2" borderId="18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11" fillId="0" borderId="0" xfId="0" applyFont="1"/>
    <xf numFmtId="164" fontId="6" fillId="0" borderId="0" xfId="0" applyNumberFormat="1" applyFont="1"/>
    <xf numFmtId="164" fontId="12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164" fontId="6" fillId="4" borderId="0" xfId="0" applyNumberFormat="1" applyFont="1" applyFill="1" applyAlignment="1">
      <alignment horizontal="right"/>
    </xf>
    <xf numFmtId="164" fontId="12" fillId="0" borderId="0" xfId="0" applyNumberFormat="1" applyFont="1"/>
    <xf numFmtId="0" fontId="12" fillId="0" borderId="0" xfId="0" applyFont="1" applyAlignment="1">
      <alignment horizontal="center"/>
    </xf>
    <xf numFmtId="166" fontId="6" fillId="0" borderId="0" xfId="0" applyNumberFormat="1" applyFont="1" applyAlignment="1">
      <alignment horizontal="right"/>
    </xf>
    <xf numFmtId="0" fontId="10" fillId="3" borderId="0" xfId="0" applyFont="1" applyFill="1" applyAlignment="1">
      <alignment horizontal="right"/>
    </xf>
    <xf numFmtId="164" fontId="12" fillId="4" borderId="0" xfId="0" applyNumberFormat="1" applyFont="1" applyFill="1" applyAlignment="1">
      <alignment horizontal="right"/>
    </xf>
    <xf numFmtId="0" fontId="10" fillId="0" borderId="21" xfId="0" applyFont="1" applyBorder="1" applyAlignment="1">
      <alignment horizontal="right"/>
    </xf>
    <xf numFmtId="166" fontId="6" fillId="0" borderId="0" xfId="0" applyNumberFormat="1" applyFont="1"/>
    <xf numFmtId="164" fontId="6" fillId="0" borderId="21" xfId="0" applyNumberFormat="1" applyFont="1" applyBorder="1" applyAlignment="1">
      <alignment horizontal="right"/>
    </xf>
    <xf numFmtId="164" fontId="6" fillId="4" borderId="21" xfId="0" applyNumberFormat="1" applyFont="1" applyFill="1" applyBorder="1" applyAlignment="1">
      <alignment horizontal="right"/>
    </xf>
    <xf numFmtId="166" fontId="12" fillId="0" borderId="0" xfId="0" applyNumberFormat="1" applyFont="1"/>
    <xf numFmtId="4" fontId="6" fillId="0" borderId="0" xfId="0" applyNumberFormat="1" applyFont="1"/>
    <xf numFmtId="0" fontId="12" fillId="0" borderId="0" xfId="0" applyFont="1"/>
    <xf numFmtId="1" fontId="6" fillId="0" borderId="0" xfId="0" applyNumberFormat="1" applyFont="1"/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73" fontId="1" fillId="0" borderId="0" xfId="0" applyNumberFormat="1" applyFont="1"/>
    <xf numFmtId="11" fontId="1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14" fillId="0" borderId="0" xfId="0" applyFont="1" applyAlignment="1">
      <alignment horizontal="center"/>
    </xf>
    <xf numFmtId="173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/>
    <xf numFmtId="49" fontId="14" fillId="0" borderId="0" xfId="0" applyNumberFormat="1" applyFont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165" fontId="14" fillId="0" borderId="26" xfId="0" applyNumberFormat="1" applyFont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168" fontId="15" fillId="5" borderId="2" xfId="0" applyNumberFormat="1" applyFont="1" applyFill="1" applyBorder="1" applyAlignment="1">
      <alignment horizontal="center"/>
    </xf>
    <xf numFmtId="169" fontId="15" fillId="5" borderId="2" xfId="0" applyNumberFormat="1" applyFont="1" applyFill="1" applyBorder="1" applyAlignment="1">
      <alignment horizontal="center"/>
    </xf>
    <xf numFmtId="165" fontId="15" fillId="5" borderId="2" xfId="0" applyNumberFormat="1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68" fontId="15" fillId="0" borderId="16" xfId="0" applyNumberFormat="1" applyFont="1" applyBorder="1" applyAlignment="1">
      <alignment horizontal="center"/>
    </xf>
    <xf numFmtId="169" fontId="15" fillId="0" borderId="16" xfId="0" applyNumberFormat="1" applyFont="1" applyBorder="1" applyAlignment="1">
      <alignment horizontal="center"/>
    </xf>
    <xf numFmtId="165" fontId="15" fillId="0" borderId="16" xfId="0" applyNumberFormat="1" applyFont="1" applyBorder="1" applyAlignment="1">
      <alignment horizontal="center"/>
    </xf>
    <xf numFmtId="0" fontId="15" fillId="5" borderId="16" xfId="0" applyFont="1" applyFill="1" applyBorder="1" applyAlignment="1">
      <alignment horizontal="center"/>
    </xf>
    <xf numFmtId="168" fontId="15" fillId="5" borderId="16" xfId="0" applyNumberFormat="1" applyFont="1" applyFill="1" applyBorder="1" applyAlignment="1">
      <alignment horizontal="center"/>
    </xf>
    <xf numFmtId="169" fontId="15" fillId="5" borderId="16" xfId="0" applyNumberFormat="1" applyFont="1" applyFill="1" applyBorder="1" applyAlignment="1">
      <alignment horizontal="center"/>
    </xf>
    <xf numFmtId="165" fontId="15" fillId="5" borderId="16" xfId="0" applyNumberFormat="1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168" fontId="15" fillId="0" borderId="4" xfId="0" applyNumberFormat="1" applyFont="1" applyBorder="1" applyAlignment="1">
      <alignment horizontal="center"/>
    </xf>
    <xf numFmtId="169" fontId="15" fillId="0" borderId="4" xfId="0" applyNumberFormat="1" applyFont="1" applyBorder="1" applyAlignment="1">
      <alignment horizontal="center"/>
    </xf>
    <xf numFmtId="165" fontId="15" fillId="0" borderId="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168" fontId="15" fillId="0" borderId="2" xfId="0" applyNumberFormat="1" applyFont="1" applyBorder="1" applyAlignment="1">
      <alignment horizontal="center"/>
    </xf>
    <xf numFmtId="169" fontId="15" fillId="0" borderId="2" xfId="0" applyNumberFormat="1" applyFont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168" fontId="15" fillId="5" borderId="4" xfId="0" applyNumberFormat="1" applyFont="1" applyFill="1" applyBorder="1" applyAlignment="1">
      <alignment horizontal="center"/>
    </xf>
    <xf numFmtId="169" fontId="15" fillId="5" borderId="4" xfId="0" applyNumberFormat="1" applyFont="1" applyFill="1" applyBorder="1" applyAlignment="1">
      <alignment horizontal="center"/>
    </xf>
    <xf numFmtId="165" fontId="15" fillId="5" borderId="4" xfId="0" applyNumberFormat="1" applyFont="1" applyFill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169" fontId="15" fillId="0" borderId="13" xfId="0" applyNumberFormat="1" applyFont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169" fontId="15" fillId="0" borderId="0" xfId="0" applyNumberFormat="1" applyFont="1" applyAlignment="1">
      <alignment horizontal="center"/>
    </xf>
    <xf numFmtId="169" fontId="15" fillId="0" borderId="3" xfId="0" applyNumberFormat="1" applyFont="1" applyBorder="1" applyAlignment="1">
      <alignment horizontal="center"/>
    </xf>
    <xf numFmtId="0" fontId="15" fillId="5" borderId="0" xfId="0" applyFont="1" applyFill="1" applyAlignment="1">
      <alignment horizontal="center"/>
    </xf>
    <xf numFmtId="169" fontId="15" fillId="5" borderId="3" xfId="0" applyNumberFormat="1" applyFont="1" applyFill="1" applyBorder="1" applyAlignment="1">
      <alignment horizontal="center"/>
    </xf>
    <xf numFmtId="169" fontId="15" fillId="5" borderId="0" xfId="0" applyNumberFormat="1" applyFont="1" applyFill="1" applyAlignment="1">
      <alignment horizontal="center"/>
    </xf>
    <xf numFmtId="165" fontId="15" fillId="5" borderId="3" xfId="0" applyNumberFormat="1" applyFont="1" applyFill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0" fontId="19" fillId="0" borderId="0" xfId="0" applyFont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0" fontId="20" fillId="0" borderId="0" xfId="0" applyFont="1"/>
    <xf numFmtId="0" fontId="20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9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/>
    </xf>
    <xf numFmtId="169" fontId="2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/>
    <xf numFmtId="0" fontId="1" fillId="6" borderId="0" xfId="0" applyFont="1" applyFill="1"/>
    <xf numFmtId="4" fontId="1" fillId="0" borderId="7" xfId="0" applyNumberFormat="1" applyFont="1" applyBorder="1" applyAlignment="1">
      <alignment horizontal="left" vertical="center"/>
    </xf>
    <xf numFmtId="165" fontId="1" fillId="0" borderId="10" xfId="0" applyNumberFormat="1" applyFont="1" applyBorder="1" applyAlignment="1">
      <alignment vertical="center"/>
    </xf>
    <xf numFmtId="3" fontId="1" fillId="0" borderId="10" xfId="0" applyNumberFormat="1" applyFont="1" applyBorder="1" applyAlignment="1">
      <alignment vertical="center"/>
    </xf>
    <xf numFmtId="1" fontId="1" fillId="0" borderId="11" xfId="0" applyNumberFormat="1" applyFont="1" applyBorder="1" applyAlignment="1">
      <alignment vertical="center"/>
    </xf>
    <xf numFmtId="2" fontId="1" fillId="0" borderId="0" xfId="0" applyNumberFormat="1" applyFont="1" applyAlignment="1">
      <alignment horizont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165" fontId="1" fillId="0" borderId="28" xfId="0" applyNumberFormat="1" applyFont="1" applyBorder="1" applyAlignment="1">
      <alignment vertical="center"/>
    </xf>
    <xf numFmtId="3" fontId="1" fillId="0" borderId="28" xfId="0" applyNumberFormat="1" applyFont="1" applyBorder="1" applyAlignment="1">
      <alignment vertical="center"/>
    </xf>
    <xf numFmtId="1" fontId="1" fillId="0" borderId="29" xfId="0" applyNumberFormat="1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165" fontId="1" fillId="0" borderId="31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1" fontId="1" fillId="0" borderId="32" xfId="0" applyNumberFormat="1" applyFont="1" applyBorder="1" applyAlignment="1">
      <alignment vertical="center"/>
    </xf>
    <xf numFmtId="0" fontId="23" fillId="0" borderId="0" xfId="0" applyFont="1"/>
    <xf numFmtId="1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Grundfos Topic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NBG Detail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Head kPa vs Flow L/s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Sheet39!$C$1</c:f>
              <c:strCache>
                <c:ptCount val="1"/>
                <c:pt idx="0">
                  <c:v>Head kPa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Sheet39!$B$2:$B$527</c:f>
              <c:numCache>
                <c:formatCode>General</c:formatCode>
                <c:ptCount val="520"/>
                <c:pt idx="0">
                  <c:v>3.44</c:v>
                </c:pt>
                <c:pt idx="1">
                  <c:v>15</c:v>
                </c:pt>
                <c:pt idx="2">
                  <c:v>9.8000000000000007</c:v>
                </c:pt>
                <c:pt idx="3">
                  <c:v>26.05</c:v>
                </c:pt>
                <c:pt idx="4">
                  <c:v>3.4</c:v>
                </c:pt>
                <c:pt idx="5">
                  <c:v>5.2</c:v>
                </c:pt>
                <c:pt idx="6">
                  <c:v>5.5</c:v>
                </c:pt>
                <c:pt idx="7">
                  <c:v>11</c:v>
                </c:pt>
                <c:pt idx="8">
                  <c:v>17.899999999999999</c:v>
                </c:pt>
                <c:pt idx="9">
                  <c:v>34.299999999999997</c:v>
                </c:pt>
                <c:pt idx="10">
                  <c:v>34.49</c:v>
                </c:pt>
                <c:pt idx="11">
                  <c:v>7.5</c:v>
                </c:pt>
                <c:pt idx="12">
                  <c:v>11.3</c:v>
                </c:pt>
                <c:pt idx="13">
                  <c:v>12</c:v>
                </c:pt>
                <c:pt idx="14">
                  <c:v>15.53</c:v>
                </c:pt>
                <c:pt idx="15">
                  <c:v>20</c:v>
                </c:pt>
                <c:pt idx="16">
                  <c:v>12.4</c:v>
                </c:pt>
                <c:pt idx="17">
                  <c:v>5.17</c:v>
                </c:pt>
                <c:pt idx="18">
                  <c:v>19.899999999999999</c:v>
                </c:pt>
                <c:pt idx="19">
                  <c:v>20</c:v>
                </c:pt>
                <c:pt idx="20">
                  <c:v>7.21</c:v>
                </c:pt>
                <c:pt idx="21">
                  <c:v>9.9499999999999993</c:v>
                </c:pt>
                <c:pt idx="22">
                  <c:v>11.94</c:v>
                </c:pt>
                <c:pt idx="23">
                  <c:v>13.95</c:v>
                </c:pt>
                <c:pt idx="24">
                  <c:v>16.739999999999998</c:v>
                </c:pt>
                <c:pt idx="25">
                  <c:v>35.9</c:v>
                </c:pt>
                <c:pt idx="26">
                  <c:v>4.3</c:v>
                </c:pt>
                <c:pt idx="27">
                  <c:v>2.7</c:v>
                </c:pt>
                <c:pt idx="28">
                  <c:v>6</c:v>
                </c:pt>
                <c:pt idx="29">
                  <c:v>7.27</c:v>
                </c:pt>
                <c:pt idx="30">
                  <c:v>8.3000000000000007</c:v>
                </c:pt>
                <c:pt idx="31">
                  <c:v>8.8000000000000007</c:v>
                </c:pt>
                <c:pt idx="32">
                  <c:v>8.8000000000000007</c:v>
                </c:pt>
                <c:pt idx="33">
                  <c:v>9</c:v>
                </c:pt>
                <c:pt idx="34">
                  <c:v>10.58</c:v>
                </c:pt>
                <c:pt idx="35">
                  <c:v>14</c:v>
                </c:pt>
                <c:pt idx="36">
                  <c:v>15</c:v>
                </c:pt>
                <c:pt idx="37">
                  <c:v>18</c:v>
                </c:pt>
                <c:pt idx="38">
                  <c:v>19.41</c:v>
                </c:pt>
                <c:pt idx="39">
                  <c:v>21</c:v>
                </c:pt>
                <c:pt idx="40">
                  <c:v>21</c:v>
                </c:pt>
                <c:pt idx="41">
                  <c:v>22.18</c:v>
                </c:pt>
                <c:pt idx="42">
                  <c:v>22.4</c:v>
                </c:pt>
                <c:pt idx="43">
                  <c:v>29.5</c:v>
                </c:pt>
                <c:pt idx="44">
                  <c:v>33.01</c:v>
                </c:pt>
                <c:pt idx="45">
                  <c:v>38.4</c:v>
                </c:pt>
                <c:pt idx="46">
                  <c:v>39</c:v>
                </c:pt>
                <c:pt idx="47">
                  <c:v>42.18</c:v>
                </c:pt>
                <c:pt idx="48">
                  <c:v>43</c:v>
                </c:pt>
                <c:pt idx="49">
                  <c:v>53</c:v>
                </c:pt>
                <c:pt idx="50">
                  <c:v>58</c:v>
                </c:pt>
                <c:pt idx="51">
                  <c:v>64</c:v>
                </c:pt>
                <c:pt idx="52">
                  <c:v>3.29</c:v>
                </c:pt>
                <c:pt idx="53">
                  <c:v>10.9</c:v>
                </c:pt>
                <c:pt idx="54">
                  <c:v>12</c:v>
                </c:pt>
                <c:pt idx="55">
                  <c:v>35.799999999999997</c:v>
                </c:pt>
                <c:pt idx="56">
                  <c:v>20.57</c:v>
                </c:pt>
                <c:pt idx="57">
                  <c:v>30</c:v>
                </c:pt>
                <c:pt idx="58">
                  <c:v>30</c:v>
                </c:pt>
                <c:pt idx="59">
                  <c:v>44</c:v>
                </c:pt>
                <c:pt idx="60">
                  <c:v>65</c:v>
                </c:pt>
                <c:pt idx="61">
                  <c:v>4.8</c:v>
                </c:pt>
                <c:pt idx="62">
                  <c:v>5</c:v>
                </c:pt>
                <c:pt idx="63">
                  <c:v>45.76</c:v>
                </c:pt>
                <c:pt idx="64">
                  <c:v>66.849999999999994</c:v>
                </c:pt>
                <c:pt idx="65">
                  <c:v>17</c:v>
                </c:pt>
                <c:pt idx="66">
                  <c:v>10.5</c:v>
                </c:pt>
                <c:pt idx="67">
                  <c:v>10.5</c:v>
                </c:pt>
                <c:pt idx="68">
                  <c:v>10.5</c:v>
                </c:pt>
                <c:pt idx="69">
                  <c:v>28.6</c:v>
                </c:pt>
                <c:pt idx="70">
                  <c:v>38.200000000000003</c:v>
                </c:pt>
                <c:pt idx="71">
                  <c:v>59.2</c:v>
                </c:pt>
                <c:pt idx="72">
                  <c:v>19.899999999999999</c:v>
                </c:pt>
                <c:pt idx="73">
                  <c:v>25.5</c:v>
                </c:pt>
                <c:pt idx="74">
                  <c:v>3.3</c:v>
                </c:pt>
                <c:pt idx="75">
                  <c:v>5.25</c:v>
                </c:pt>
                <c:pt idx="76">
                  <c:v>5.25</c:v>
                </c:pt>
                <c:pt idx="77">
                  <c:v>7.2</c:v>
                </c:pt>
                <c:pt idx="78">
                  <c:v>9.4</c:v>
                </c:pt>
                <c:pt idx="79">
                  <c:v>10.45</c:v>
                </c:pt>
                <c:pt idx="80">
                  <c:v>10.45</c:v>
                </c:pt>
                <c:pt idx="81">
                  <c:v>10.85</c:v>
                </c:pt>
                <c:pt idx="82">
                  <c:v>11.63</c:v>
                </c:pt>
                <c:pt idx="83">
                  <c:v>11.75</c:v>
                </c:pt>
                <c:pt idx="84">
                  <c:v>11.89</c:v>
                </c:pt>
                <c:pt idx="85">
                  <c:v>12</c:v>
                </c:pt>
                <c:pt idx="86">
                  <c:v>12.2</c:v>
                </c:pt>
                <c:pt idx="87">
                  <c:v>12.2</c:v>
                </c:pt>
                <c:pt idx="88">
                  <c:v>13</c:v>
                </c:pt>
                <c:pt idx="89">
                  <c:v>13.29</c:v>
                </c:pt>
                <c:pt idx="90">
                  <c:v>13.5</c:v>
                </c:pt>
                <c:pt idx="91">
                  <c:v>14.9</c:v>
                </c:pt>
                <c:pt idx="92">
                  <c:v>15</c:v>
                </c:pt>
                <c:pt idx="93">
                  <c:v>16.600000000000001</c:v>
                </c:pt>
                <c:pt idx="94">
                  <c:v>18</c:v>
                </c:pt>
                <c:pt idx="95">
                  <c:v>18.8</c:v>
                </c:pt>
                <c:pt idx="96">
                  <c:v>19.600000000000001</c:v>
                </c:pt>
                <c:pt idx="97">
                  <c:v>21.2</c:v>
                </c:pt>
                <c:pt idx="98">
                  <c:v>21.2</c:v>
                </c:pt>
                <c:pt idx="99">
                  <c:v>21.2</c:v>
                </c:pt>
                <c:pt idx="100">
                  <c:v>21.34</c:v>
                </c:pt>
                <c:pt idx="101">
                  <c:v>21.4</c:v>
                </c:pt>
                <c:pt idx="102">
                  <c:v>21.6</c:v>
                </c:pt>
                <c:pt idx="103">
                  <c:v>22.8</c:v>
                </c:pt>
                <c:pt idx="104">
                  <c:v>25.5</c:v>
                </c:pt>
                <c:pt idx="105">
                  <c:v>25.8</c:v>
                </c:pt>
                <c:pt idx="106">
                  <c:v>27</c:v>
                </c:pt>
                <c:pt idx="107">
                  <c:v>27.3</c:v>
                </c:pt>
                <c:pt idx="108">
                  <c:v>28</c:v>
                </c:pt>
                <c:pt idx="109">
                  <c:v>29</c:v>
                </c:pt>
                <c:pt idx="110">
                  <c:v>29.5</c:v>
                </c:pt>
                <c:pt idx="111">
                  <c:v>30</c:v>
                </c:pt>
                <c:pt idx="112">
                  <c:v>31</c:v>
                </c:pt>
                <c:pt idx="113">
                  <c:v>32.1</c:v>
                </c:pt>
                <c:pt idx="114">
                  <c:v>32.799999999999997</c:v>
                </c:pt>
                <c:pt idx="115">
                  <c:v>35.799999999999997</c:v>
                </c:pt>
                <c:pt idx="116">
                  <c:v>39</c:v>
                </c:pt>
                <c:pt idx="117">
                  <c:v>42</c:v>
                </c:pt>
                <c:pt idx="118">
                  <c:v>50</c:v>
                </c:pt>
                <c:pt idx="119">
                  <c:v>50.9</c:v>
                </c:pt>
                <c:pt idx="120">
                  <c:v>51.4</c:v>
                </c:pt>
                <c:pt idx="121">
                  <c:v>64</c:v>
                </c:pt>
                <c:pt idx="122">
                  <c:v>76</c:v>
                </c:pt>
                <c:pt idx="123">
                  <c:v>85</c:v>
                </c:pt>
                <c:pt idx="124">
                  <c:v>5.93</c:v>
                </c:pt>
                <c:pt idx="125">
                  <c:v>10.1</c:v>
                </c:pt>
                <c:pt idx="126">
                  <c:v>32.799999999999997</c:v>
                </c:pt>
                <c:pt idx="127">
                  <c:v>7.5</c:v>
                </c:pt>
                <c:pt idx="128">
                  <c:v>11.54</c:v>
                </c:pt>
                <c:pt idx="129">
                  <c:v>11.54</c:v>
                </c:pt>
                <c:pt idx="130">
                  <c:v>12.2</c:v>
                </c:pt>
                <c:pt idx="131">
                  <c:v>25</c:v>
                </c:pt>
                <c:pt idx="132">
                  <c:v>36.700000000000003</c:v>
                </c:pt>
                <c:pt idx="133">
                  <c:v>53.2</c:v>
                </c:pt>
                <c:pt idx="134">
                  <c:v>79.400000000000006</c:v>
                </c:pt>
                <c:pt idx="135">
                  <c:v>2.48</c:v>
                </c:pt>
                <c:pt idx="136">
                  <c:v>6</c:v>
                </c:pt>
                <c:pt idx="137">
                  <c:v>8.6999999999999993</c:v>
                </c:pt>
                <c:pt idx="138">
                  <c:v>9</c:v>
                </c:pt>
                <c:pt idx="139">
                  <c:v>11</c:v>
                </c:pt>
                <c:pt idx="140">
                  <c:v>15</c:v>
                </c:pt>
                <c:pt idx="141">
                  <c:v>15</c:v>
                </c:pt>
                <c:pt idx="142">
                  <c:v>17</c:v>
                </c:pt>
                <c:pt idx="143">
                  <c:v>19.399999999999999</c:v>
                </c:pt>
                <c:pt idx="144">
                  <c:v>49.7</c:v>
                </c:pt>
                <c:pt idx="145">
                  <c:v>49.7</c:v>
                </c:pt>
                <c:pt idx="146">
                  <c:v>66</c:v>
                </c:pt>
                <c:pt idx="147">
                  <c:v>4.07</c:v>
                </c:pt>
                <c:pt idx="148">
                  <c:v>20.57</c:v>
                </c:pt>
                <c:pt idx="149">
                  <c:v>20.57</c:v>
                </c:pt>
                <c:pt idx="150">
                  <c:v>24.2</c:v>
                </c:pt>
                <c:pt idx="151">
                  <c:v>49.7</c:v>
                </c:pt>
                <c:pt idx="152">
                  <c:v>49.7</c:v>
                </c:pt>
                <c:pt idx="153">
                  <c:v>49.7</c:v>
                </c:pt>
                <c:pt idx="154">
                  <c:v>71</c:v>
                </c:pt>
                <c:pt idx="155">
                  <c:v>4.04</c:v>
                </c:pt>
                <c:pt idx="156">
                  <c:v>4.67</c:v>
                </c:pt>
                <c:pt idx="157">
                  <c:v>4.9000000000000004</c:v>
                </c:pt>
                <c:pt idx="158">
                  <c:v>5.25</c:v>
                </c:pt>
                <c:pt idx="159">
                  <c:v>5.97</c:v>
                </c:pt>
                <c:pt idx="160">
                  <c:v>6</c:v>
                </c:pt>
                <c:pt idx="161">
                  <c:v>6</c:v>
                </c:pt>
                <c:pt idx="162">
                  <c:v>6.6</c:v>
                </c:pt>
                <c:pt idx="163">
                  <c:v>7.2</c:v>
                </c:pt>
                <c:pt idx="164">
                  <c:v>7.3</c:v>
                </c:pt>
                <c:pt idx="165">
                  <c:v>7.5</c:v>
                </c:pt>
                <c:pt idx="166">
                  <c:v>7.5</c:v>
                </c:pt>
                <c:pt idx="167">
                  <c:v>8</c:v>
                </c:pt>
                <c:pt idx="168">
                  <c:v>8.1999999999999993</c:v>
                </c:pt>
                <c:pt idx="169">
                  <c:v>8.9600000000000009</c:v>
                </c:pt>
                <c:pt idx="170">
                  <c:v>9</c:v>
                </c:pt>
                <c:pt idx="171">
                  <c:v>9</c:v>
                </c:pt>
                <c:pt idx="172">
                  <c:v>9.3000000000000007</c:v>
                </c:pt>
                <c:pt idx="173">
                  <c:v>9.4</c:v>
                </c:pt>
                <c:pt idx="174">
                  <c:v>9.4</c:v>
                </c:pt>
                <c:pt idx="175">
                  <c:v>9.6</c:v>
                </c:pt>
                <c:pt idx="176">
                  <c:v>9.8000000000000007</c:v>
                </c:pt>
                <c:pt idx="177">
                  <c:v>9.9</c:v>
                </c:pt>
                <c:pt idx="178">
                  <c:v>10</c:v>
                </c:pt>
                <c:pt idx="179">
                  <c:v>10.7</c:v>
                </c:pt>
                <c:pt idx="180">
                  <c:v>11.4</c:v>
                </c:pt>
                <c:pt idx="181">
                  <c:v>11.9</c:v>
                </c:pt>
                <c:pt idx="182">
                  <c:v>12</c:v>
                </c:pt>
                <c:pt idx="183">
                  <c:v>12.04</c:v>
                </c:pt>
                <c:pt idx="184">
                  <c:v>12.04</c:v>
                </c:pt>
                <c:pt idx="185">
                  <c:v>12.5</c:v>
                </c:pt>
                <c:pt idx="186">
                  <c:v>13</c:v>
                </c:pt>
                <c:pt idx="187">
                  <c:v>13.2</c:v>
                </c:pt>
                <c:pt idx="188">
                  <c:v>13.2</c:v>
                </c:pt>
                <c:pt idx="189">
                  <c:v>13.2</c:v>
                </c:pt>
                <c:pt idx="190">
                  <c:v>14.6</c:v>
                </c:pt>
                <c:pt idx="191">
                  <c:v>14.7</c:v>
                </c:pt>
                <c:pt idx="192">
                  <c:v>15</c:v>
                </c:pt>
                <c:pt idx="193">
                  <c:v>15.29</c:v>
                </c:pt>
                <c:pt idx="194">
                  <c:v>15.5</c:v>
                </c:pt>
                <c:pt idx="195">
                  <c:v>15.63</c:v>
                </c:pt>
                <c:pt idx="196">
                  <c:v>16</c:v>
                </c:pt>
                <c:pt idx="197">
                  <c:v>16.399999999999999</c:v>
                </c:pt>
                <c:pt idx="198">
                  <c:v>16.8</c:v>
                </c:pt>
                <c:pt idx="199">
                  <c:v>17.5</c:v>
                </c:pt>
                <c:pt idx="200">
                  <c:v>18.8</c:v>
                </c:pt>
                <c:pt idx="201">
                  <c:v>21</c:v>
                </c:pt>
                <c:pt idx="202">
                  <c:v>21.2</c:v>
                </c:pt>
                <c:pt idx="203">
                  <c:v>21.2</c:v>
                </c:pt>
                <c:pt idx="204">
                  <c:v>21.99</c:v>
                </c:pt>
                <c:pt idx="205">
                  <c:v>22</c:v>
                </c:pt>
                <c:pt idx="206">
                  <c:v>23.4</c:v>
                </c:pt>
                <c:pt idx="207">
                  <c:v>24</c:v>
                </c:pt>
                <c:pt idx="208">
                  <c:v>25.9</c:v>
                </c:pt>
                <c:pt idx="209">
                  <c:v>26.3</c:v>
                </c:pt>
                <c:pt idx="210">
                  <c:v>28.51</c:v>
                </c:pt>
                <c:pt idx="211">
                  <c:v>29</c:v>
                </c:pt>
                <c:pt idx="212">
                  <c:v>31</c:v>
                </c:pt>
                <c:pt idx="213">
                  <c:v>31.8</c:v>
                </c:pt>
                <c:pt idx="214">
                  <c:v>32.9</c:v>
                </c:pt>
                <c:pt idx="215">
                  <c:v>33.1</c:v>
                </c:pt>
                <c:pt idx="216">
                  <c:v>33.9</c:v>
                </c:pt>
                <c:pt idx="217">
                  <c:v>34.1</c:v>
                </c:pt>
                <c:pt idx="218">
                  <c:v>34.299999999999997</c:v>
                </c:pt>
                <c:pt idx="219">
                  <c:v>35</c:v>
                </c:pt>
                <c:pt idx="220">
                  <c:v>37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43.7</c:v>
                </c:pt>
                <c:pt idx="224">
                  <c:v>43.7</c:v>
                </c:pt>
                <c:pt idx="225">
                  <c:v>44.1</c:v>
                </c:pt>
                <c:pt idx="226">
                  <c:v>45.4</c:v>
                </c:pt>
                <c:pt idx="227">
                  <c:v>49</c:v>
                </c:pt>
                <c:pt idx="228">
                  <c:v>53</c:v>
                </c:pt>
                <c:pt idx="229">
                  <c:v>58</c:v>
                </c:pt>
                <c:pt idx="230">
                  <c:v>65</c:v>
                </c:pt>
                <c:pt idx="231">
                  <c:v>85</c:v>
                </c:pt>
                <c:pt idx="232">
                  <c:v>21.4</c:v>
                </c:pt>
                <c:pt idx="233">
                  <c:v>21.4</c:v>
                </c:pt>
                <c:pt idx="234">
                  <c:v>96.53</c:v>
                </c:pt>
                <c:pt idx="235">
                  <c:v>97.14</c:v>
                </c:pt>
                <c:pt idx="236">
                  <c:v>8.9</c:v>
                </c:pt>
                <c:pt idx="237">
                  <c:v>8.6</c:v>
                </c:pt>
                <c:pt idx="238">
                  <c:v>22</c:v>
                </c:pt>
                <c:pt idx="239">
                  <c:v>22</c:v>
                </c:pt>
                <c:pt idx="240">
                  <c:v>33.1</c:v>
                </c:pt>
                <c:pt idx="241">
                  <c:v>34</c:v>
                </c:pt>
                <c:pt idx="242">
                  <c:v>34</c:v>
                </c:pt>
                <c:pt idx="243">
                  <c:v>33.4</c:v>
                </c:pt>
                <c:pt idx="244">
                  <c:v>8</c:v>
                </c:pt>
                <c:pt idx="245">
                  <c:v>31.1</c:v>
                </c:pt>
                <c:pt idx="246">
                  <c:v>34.270000000000003</c:v>
                </c:pt>
                <c:pt idx="247">
                  <c:v>5</c:v>
                </c:pt>
                <c:pt idx="248">
                  <c:v>9.16</c:v>
                </c:pt>
                <c:pt idx="249">
                  <c:v>9.4</c:v>
                </c:pt>
                <c:pt idx="250">
                  <c:v>11.34</c:v>
                </c:pt>
                <c:pt idx="251">
                  <c:v>13</c:v>
                </c:pt>
                <c:pt idx="252">
                  <c:v>13.05</c:v>
                </c:pt>
                <c:pt idx="253">
                  <c:v>13.19</c:v>
                </c:pt>
                <c:pt idx="254">
                  <c:v>34.89</c:v>
                </c:pt>
                <c:pt idx="255">
                  <c:v>24.38</c:v>
                </c:pt>
                <c:pt idx="256">
                  <c:v>33</c:v>
                </c:pt>
                <c:pt idx="257">
                  <c:v>33</c:v>
                </c:pt>
                <c:pt idx="258">
                  <c:v>1.9</c:v>
                </c:pt>
                <c:pt idx="259">
                  <c:v>3</c:v>
                </c:pt>
                <c:pt idx="260">
                  <c:v>3.3</c:v>
                </c:pt>
                <c:pt idx="261">
                  <c:v>3.7</c:v>
                </c:pt>
                <c:pt idx="262">
                  <c:v>4.2</c:v>
                </c:pt>
                <c:pt idx="263">
                  <c:v>4.5999999999999996</c:v>
                </c:pt>
                <c:pt idx="264">
                  <c:v>5.13</c:v>
                </c:pt>
                <c:pt idx="265">
                  <c:v>6.2</c:v>
                </c:pt>
                <c:pt idx="266">
                  <c:v>7.2</c:v>
                </c:pt>
                <c:pt idx="267">
                  <c:v>7.4</c:v>
                </c:pt>
                <c:pt idx="268">
                  <c:v>8</c:v>
                </c:pt>
                <c:pt idx="269">
                  <c:v>8</c:v>
                </c:pt>
                <c:pt idx="270">
                  <c:v>8.5</c:v>
                </c:pt>
                <c:pt idx="271">
                  <c:v>8.6</c:v>
                </c:pt>
                <c:pt idx="272">
                  <c:v>9</c:v>
                </c:pt>
                <c:pt idx="273">
                  <c:v>9.0180000000000007</c:v>
                </c:pt>
                <c:pt idx="274">
                  <c:v>9.3000000000000007</c:v>
                </c:pt>
                <c:pt idx="275">
                  <c:v>9.4</c:v>
                </c:pt>
                <c:pt idx="276">
                  <c:v>9.5</c:v>
                </c:pt>
                <c:pt idx="277">
                  <c:v>10.18</c:v>
                </c:pt>
                <c:pt idx="278">
                  <c:v>10.5</c:v>
                </c:pt>
                <c:pt idx="279">
                  <c:v>10.8</c:v>
                </c:pt>
                <c:pt idx="280">
                  <c:v>11.14</c:v>
                </c:pt>
                <c:pt idx="281">
                  <c:v>11.2</c:v>
                </c:pt>
                <c:pt idx="282">
                  <c:v>11.44</c:v>
                </c:pt>
                <c:pt idx="283">
                  <c:v>11.9</c:v>
                </c:pt>
                <c:pt idx="284">
                  <c:v>12.5</c:v>
                </c:pt>
                <c:pt idx="285">
                  <c:v>12.59</c:v>
                </c:pt>
                <c:pt idx="286">
                  <c:v>13.1</c:v>
                </c:pt>
                <c:pt idx="287">
                  <c:v>14</c:v>
                </c:pt>
                <c:pt idx="288">
                  <c:v>14.3</c:v>
                </c:pt>
                <c:pt idx="289">
                  <c:v>14.39</c:v>
                </c:pt>
                <c:pt idx="290">
                  <c:v>14.7</c:v>
                </c:pt>
                <c:pt idx="291">
                  <c:v>14.9</c:v>
                </c:pt>
                <c:pt idx="292">
                  <c:v>14.9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15.2</c:v>
                </c:pt>
                <c:pt idx="298">
                  <c:v>16.7</c:v>
                </c:pt>
                <c:pt idx="299">
                  <c:v>17</c:v>
                </c:pt>
                <c:pt idx="300">
                  <c:v>17.100000000000001</c:v>
                </c:pt>
                <c:pt idx="301">
                  <c:v>17.899999999999999</c:v>
                </c:pt>
                <c:pt idx="302">
                  <c:v>18.38</c:v>
                </c:pt>
                <c:pt idx="303">
                  <c:v>18.399999999999999</c:v>
                </c:pt>
                <c:pt idx="304">
                  <c:v>18.899999999999999</c:v>
                </c:pt>
                <c:pt idx="305">
                  <c:v>19</c:v>
                </c:pt>
                <c:pt idx="306">
                  <c:v>19</c:v>
                </c:pt>
                <c:pt idx="307">
                  <c:v>19.2</c:v>
                </c:pt>
                <c:pt idx="308">
                  <c:v>21</c:v>
                </c:pt>
                <c:pt idx="309">
                  <c:v>21.1</c:v>
                </c:pt>
                <c:pt idx="310">
                  <c:v>21.8</c:v>
                </c:pt>
                <c:pt idx="311">
                  <c:v>23.1</c:v>
                </c:pt>
                <c:pt idx="312">
                  <c:v>24.6</c:v>
                </c:pt>
                <c:pt idx="313">
                  <c:v>24.65</c:v>
                </c:pt>
                <c:pt idx="314">
                  <c:v>24.9</c:v>
                </c:pt>
                <c:pt idx="315">
                  <c:v>25.7</c:v>
                </c:pt>
                <c:pt idx="316">
                  <c:v>26.5</c:v>
                </c:pt>
                <c:pt idx="317">
                  <c:v>27.8</c:v>
                </c:pt>
                <c:pt idx="318">
                  <c:v>29.1</c:v>
                </c:pt>
                <c:pt idx="319">
                  <c:v>29.3</c:v>
                </c:pt>
                <c:pt idx="320">
                  <c:v>29.9</c:v>
                </c:pt>
                <c:pt idx="321">
                  <c:v>30</c:v>
                </c:pt>
                <c:pt idx="322">
                  <c:v>31.4</c:v>
                </c:pt>
                <c:pt idx="323">
                  <c:v>31.5</c:v>
                </c:pt>
                <c:pt idx="324">
                  <c:v>33.1</c:v>
                </c:pt>
                <c:pt idx="325">
                  <c:v>35</c:v>
                </c:pt>
                <c:pt idx="326">
                  <c:v>38</c:v>
                </c:pt>
                <c:pt idx="327">
                  <c:v>38</c:v>
                </c:pt>
                <c:pt idx="328">
                  <c:v>39.619999999999997</c:v>
                </c:pt>
                <c:pt idx="329">
                  <c:v>39.619999999999997</c:v>
                </c:pt>
                <c:pt idx="330">
                  <c:v>42.18</c:v>
                </c:pt>
                <c:pt idx="331">
                  <c:v>45.69</c:v>
                </c:pt>
                <c:pt idx="332">
                  <c:v>48.49</c:v>
                </c:pt>
                <c:pt idx="333">
                  <c:v>48.49</c:v>
                </c:pt>
                <c:pt idx="334">
                  <c:v>48.7</c:v>
                </c:pt>
                <c:pt idx="335">
                  <c:v>49</c:v>
                </c:pt>
                <c:pt idx="336">
                  <c:v>49</c:v>
                </c:pt>
                <c:pt idx="337">
                  <c:v>49.35</c:v>
                </c:pt>
                <c:pt idx="338">
                  <c:v>49.35</c:v>
                </c:pt>
                <c:pt idx="339">
                  <c:v>52.63</c:v>
                </c:pt>
                <c:pt idx="340">
                  <c:v>53.2</c:v>
                </c:pt>
                <c:pt idx="341">
                  <c:v>54</c:v>
                </c:pt>
                <c:pt idx="342">
                  <c:v>57.8</c:v>
                </c:pt>
                <c:pt idx="343">
                  <c:v>58</c:v>
                </c:pt>
                <c:pt idx="344">
                  <c:v>58.85</c:v>
                </c:pt>
                <c:pt idx="345">
                  <c:v>70</c:v>
                </c:pt>
                <c:pt idx="346">
                  <c:v>71.650000000000006</c:v>
                </c:pt>
                <c:pt idx="347">
                  <c:v>71.650000000000006</c:v>
                </c:pt>
                <c:pt idx="348">
                  <c:v>77</c:v>
                </c:pt>
                <c:pt idx="349">
                  <c:v>77</c:v>
                </c:pt>
                <c:pt idx="350">
                  <c:v>85</c:v>
                </c:pt>
                <c:pt idx="351">
                  <c:v>88</c:v>
                </c:pt>
                <c:pt idx="352">
                  <c:v>88</c:v>
                </c:pt>
                <c:pt idx="353">
                  <c:v>88.59</c:v>
                </c:pt>
                <c:pt idx="354">
                  <c:v>88.66</c:v>
                </c:pt>
                <c:pt idx="355">
                  <c:v>93</c:v>
                </c:pt>
                <c:pt idx="356">
                  <c:v>93</c:v>
                </c:pt>
                <c:pt idx="357">
                  <c:v>23.6</c:v>
                </c:pt>
                <c:pt idx="358">
                  <c:v>20</c:v>
                </c:pt>
                <c:pt idx="359">
                  <c:v>20</c:v>
                </c:pt>
                <c:pt idx="360">
                  <c:v>29.1</c:v>
                </c:pt>
                <c:pt idx="361">
                  <c:v>9.6</c:v>
                </c:pt>
                <c:pt idx="362">
                  <c:v>9.6</c:v>
                </c:pt>
                <c:pt idx="363">
                  <c:v>60.9</c:v>
                </c:pt>
                <c:pt idx="364">
                  <c:v>38.700000000000003</c:v>
                </c:pt>
                <c:pt idx="365">
                  <c:v>16.2</c:v>
                </c:pt>
                <c:pt idx="366">
                  <c:v>8.34</c:v>
                </c:pt>
                <c:pt idx="367">
                  <c:v>8</c:v>
                </c:pt>
                <c:pt idx="368">
                  <c:v>70.81</c:v>
                </c:pt>
                <c:pt idx="369">
                  <c:v>71.239999999999995</c:v>
                </c:pt>
                <c:pt idx="370">
                  <c:v>83.2</c:v>
                </c:pt>
                <c:pt idx="371">
                  <c:v>4</c:v>
                </c:pt>
                <c:pt idx="372">
                  <c:v>6.72</c:v>
                </c:pt>
                <c:pt idx="373">
                  <c:v>7</c:v>
                </c:pt>
                <c:pt idx="374">
                  <c:v>7.4</c:v>
                </c:pt>
                <c:pt idx="375">
                  <c:v>7.66</c:v>
                </c:pt>
                <c:pt idx="376">
                  <c:v>7.66</c:v>
                </c:pt>
                <c:pt idx="377">
                  <c:v>8.01</c:v>
                </c:pt>
                <c:pt idx="378">
                  <c:v>8.4</c:v>
                </c:pt>
                <c:pt idx="379">
                  <c:v>10.72</c:v>
                </c:pt>
                <c:pt idx="380">
                  <c:v>13.6</c:v>
                </c:pt>
                <c:pt idx="381">
                  <c:v>13.7</c:v>
                </c:pt>
                <c:pt idx="382">
                  <c:v>13.9</c:v>
                </c:pt>
                <c:pt idx="383">
                  <c:v>13.9</c:v>
                </c:pt>
                <c:pt idx="384">
                  <c:v>14.15</c:v>
                </c:pt>
                <c:pt idx="385">
                  <c:v>14.3</c:v>
                </c:pt>
                <c:pt idx="386">
                  <c:v>14.7</c:v>
                </c:pt>
                <c:pt idx="387">
                  <c:v>15.6</c:v>
                </c:pt>
                <c:pt idx="388">
                  <c:v>18.100000000000001</c:v>
                </c:pt>
                <c:pt idx="389">
                  <c:v>19.8</c:v>
                </c:pt>
                <c:pt idx="390">
                  <c:v>20.5</c:v>
                </c:pt>
                <c:pt idx="391">
                  <c:v>24</c:v>
                </c:pt>
                <c:pt idx="392">
                  <c:v>24</c:v>
                </c:pt>
                <c:pt idx="393">
                  <c:v>24.1</c:v>
                </c:pt>
                <c:pt idx="394">
                  <c:v>26.3</c:v>
                </c:pt>
                <c:pt idx="395">
                  <c:v>26.8</c:v>
                </c:pt>
                <c:pt idx="396">
                  <c:v>27</c:v>
                </c:pt>
                <c:pt idx="397">
                  <c:v>27</c:v>
                </c:pt>
                <c:pt idx="398">
                  <c:v>27.3</c:v>
                </c:pt>
                <c:pt idx="399">
                  <c:v>27.3</c:v>
                </c:pt>
                <c:pt idx="400">
                  <c:v>28.3</c:v>
                </c:pt>
                <c:pt idx="401">
                  <c:v>28.3</c:v>
                </c:pt>
                <c:pt idx="402">
                  <c:v>29</c:v>
                </c:pt>
                <c:pt idx="403">
                  <c:v>30.6</c:v>
                </c:pt>
                <c:pt idx="404">
                  <c:v>31.9</c:v>
                </c:pt>
                <c:pt idx="405">
                  <c:v>33.9</c:v>
                </c:pt>
                <c:pt idx="406">
                  <c:v>37.1</c:v>
                </c:pt>
                <c:pt idx="407">
                  <c:v>43.7</c:v>
                </c:pt>
                <c:pt idx="408">
                  <c:v>45</c:v>
                </c:pt>
                <c:pt idx="409">
                  <c:v>45</c:v>
                </c:pt>
                <c:pt idx="410">
                  <c:v>47.8</c:v>
                </c:pt>
                <c:pt idx="411">
                  <c:v>48</c:v>
                </c:pt>
                <c:pt idx="412">
                  <c:v>53.2</c:v>
                </c:pt>
                <c:pt idx="413">
                  <c:v>55</c:v>
                </c:pt>
                <c:pt idx="414">
                  <c:v>57.8</c:v>
                </c:pt>
                <c:pt idx="415">
                  <c:v>60</c:v>
                </c:pt>
                <c:pt idx="416">
                  <c:v>66.5</c:v>
                </c:pt>
                <c:pt idx="417">
                  <c:v>79.55</c:v>
                </c:pt>
                <c:pt idx="418">
                  <c:v>85</c:v>
                </c:pt>
                <c:pt idx="419">
                  <c:v>61.5</c:v>
                </c:pt>
                <c:pt idx="420">
                  <c:v>15</c:v>
                </c:pt>
                <c:pt idx="421">
                  <c:v>30</c:v>
                </c:pt>
                <c:pt idx="422">
                  <c:v>12.8</c:v>
                </c:pt>
                <c:pt idx="423">
                  <c:v>48</c:v>
                </c:pt>
                <c:pt idx="424">
                  <c:v>26</c:v>
                </c:pt>
                <c:pt idx="425">
                  <c:v>26</c:v>
                </c:pt>
                <c:pt idx="426">
                  <c:v>14</c:v>
                </c:pt>
                <c:pt idx="427">
                  <c:v>31.8</c:v>
                </c:pt>
                <c:pt idx="428">
                  <c:v>33.1</c:v>
                </c:pt>
                <c:pt idx="429">
                  <c:v>13.7</c:v>
                </c:pt>
                <c:pt idx="430">
                  <c:v>13.7</c:v>
                </c:pt>
                <c:pt idx="431">
                  <c:v>24.21</c:v>
                </c:pt>
                <c:pt idx="432">
                  <c:v>24.21</c:v>
                </c:pt>
                <c:pt idx="433">
                  <c:v>24.21</c:v>
                </c:pt>
                <c:pt idx="434">
                  <c:v>23.6</c:v>
                </c:pt>
                <c:pt idx="435">
                  <c:v>25.3</c:v>
                </c:pt>
                <c:pt idx="436">
                  <c:v>3.27</c:v>
                </c:pt>
                <c:pt idx="437">
                  <c:v>3.3</c:v>
                </c:pt>
                <c:pt idx="438">
                  <c:v>4.8</c:v>
                </c:pt>
                <c:pt idx="439">
                  <c:v>9.27</c:v>
                </c:pt>
                <c:pt idx="440">
                  <c:v>9.5</c:v>
                </c:pt>
                <c:pt idx="441">
                  <c:v>10</c:v>
                </c:pt>
                <c:pt idx="442">
                  <c:v>10.5</c:v>
                </c:pt>
                <c:pt idx="443">
                  <c:v>10.67</c:v>
                </c:pt>
                <c:pt idx="444">
                  <c:v>11.6</c:v>
                </c:pt>
                <c:pt idx="445">
                  <c:v>12</c:v>
                </c:pt>
                <c:pt idx="446">
                  <c:v>12.8</c:v>
                </c:pt>
                <c:pt idx="447">
                  <c:v>14.8</c:v>
                </c:pt>
                <c:pt idx="448">
                  <c:v>17</c:v>
                </c:pt>
                <c:pt idx="449">
                  <c:v>17.899999999999999</c:v>
                </c:pt>
                <c:pt idx="450">
                  <c:v>19</c:v>
                </c:pt>
                <c:pt idx="451">
                  <c:v>19.329999999999998</c:v>
                </c:pt>
                <c:pt idx="452">
                  <c:v>21.5</c:v>
                </c:pt>
                <c:pt idx="453">
                  <c:v>22.04</c:v>
                </c:pt>
                <c:pt idx="454">
                  <c:v>23.3</c:v>
                </c:pt>
                <c:pt idx="455">
                  <c:v>25.52</c:v>
                </c:pt>
                <c:pt idx="456">
                  <c:v>25.52</c:v>
                </c:pt>
                <c:pt idx="457">
                  <c:v>29.8</c:v>
                </c:pt>
                <c:pt idx="458">
                  <c:v>30</c:v>
                </c:pt>
                <c:pt idx="459">
                  <c:v>31.4</c:v>
                </c:pt>
                <c:pt idx="460">
                  <c:v>42.92</c:v>
                </c:pt>
                <c:pt idx="461">
                  <c:v>44</c:v>
                </c:pt>
                <c:pt idx="462">
                  <c:v>46.1</c:v>
                </c:pt>
                <c:pt idx="463">
                  <c:v>49</c:v>
                </c:pt>
                <c:pt idx="464">
                  <c:v>50</c:v>
                </c:pt>
                <c:pt idx="465">
                  <c:v>51</c:v>
                </c:pt>
                <c:pt idx="466">
                  <c:v>51</c:v>
                </c:pt>
                <c:pt idx="467">
                  <c:v>52.1</c:v>
                </c:pt>
                <c:pt idx="468">
                  <c:v>71.8</c:v>
                </c:pt>
                <c:pt idx="469">
                  <c:v>77.02</c:v>
                </c:pt>
                <c:pt idx="470">
                  <c:v>29.8</c:v>
                </c:pt>
                <c:pt idx="471">
                  <c:v>29.81</c:v>
                </c:pt>
                <c:pt idx="472">
                  <c:v>19.100000000000001</c:v>
                </c:pt>
                <c:pt idx="473">
                  <c:v>33.83</c:v>
                </c:pt>
                <c:pt idx="474">
                  <c:v>35.76</c:v>
                </c:pt>
                <c:pt idx="475">
                  <c:v>23.2</c:v>
                </c:pt>
                <c:pt idx="476">
                  <c:v>4.2</c:v>
                </c:pt>
                <c:pt idx="477">
                  <c:v>6.72</c:v>
                </c:pt>
                <c:pt idx="478">
                  <c:v>6.8</c:v>
                </c:pt>
                <c:pt idx="479">
                  <c:v>8.1999999999999993</c:v>
                </c:pt>
                <c:pt idx="480">
                  <c:v>13.9</c:v>
                </c:pt>
                <c:pt idx="481">
                  <c:v>15.7</c:v>
                </c:pt>
                <c:pt idx="482">
                  <c:v>16.3</c:v>
                </c:pt>
                <c:pt idx="483">
                  <c:v>18.7</c:v>
                </c:pt>
                <c:pt idx="484">
                  <c:v>22.4</c:v>
                </c:pt>
                <c:pt idx="485">
                  <c:v>23.1</c:v>
                </c:pt>
                <c:pt idx="486">
                  <c:v>25.7</c:v>
                </c:pt>
                <c:pt idx="487">
                  <c:v>25.7</c:v>
                </c:pt>
                <c:pt idx="488">
                  <c:v>27.3</c:v>
                </c:pt>
                <c:pt idx="489">
                  <c:v>30</c:v>
                </c:pt>
                <c:pt idx="490">
                  <c:v>31</c:v>
                </c:pt>
                <c:pt idx="491">
                  <c:v>31</c:v>
                </c:pt>
                <c:pt idx="492">
                  <c:v>34.1</c:v>
                </c:pt>
                <c:pt idx="493">
                  <c:v>34.1</c:v>
                </c:pt>
                <c:pt idx="494">
                  <c:v>46.2</c:v>
                </c:pt>
                <c:pt idx="495">
                  <c:v>48.7</c:v>
                </c:pt>
                <c:pt idx="496">
                  <c:v>96</c:v>
                </c:pt>
                <c:pt idx="497">
                  <c:v>38.909999999999997</c:v>
                </c:pt>
                <c:pt idx="498">
                  <c:v>42.79</c:v>
                </c:pt>
                <c:pt idx="499">
                  <c:v>42.74</c:v>
                </c:pt>
                <c:pt idx="500">
                  <c:v>42.77</c:v>
                </c:pt>
                <c:pt idx="501">
                  <c:v>10</c:v>
                </c:pt>
                <c:pt idx="502">
                  <c:v>19.100000000000001</c:v>
                </c:pt>
                <c:pt idx="503">
                  <c:v>15</c:v>
                </c:pt>
                <c:pt idx="504">
                  <c:v>15</c:v>
                </c:pt>
                <c:pt idx="505">
                  <c:v>51</c:v>
                </c:pt>
                <c:pt idx="506">
                  <c:v>14.6</c:v>
                </c:pt>
                <c:pt idx="507">
                  <c:v>34.700000000000003</c:v>
                </c:pt>
                <c:pt idx="508">
                  <c:v>47</c:v>
                </c:pt>
                <c:pt idx="509">
                  <c:v>56.81</c:v>
                </c:pt>
                <c:pt idx="510">
                  <c:v>8.3699999999999992</c:v>
                </c:pt>
                <c:pt idx="511">
                  <c:v>31</c:v>
                </c:pt>
                <c:pt idx="512">
                  <c:v>31</c:v>
                </c:pt>
                <c:pt idx="513">
                  <c:v>9.6</c:v>
                </c:pt>
                <c:pt idx="514">
                  <c:v>60.9</c:v>
                </c:pt>
                <c:pt idx="515">
                  <c:v>68.2</c:v>
                </c:pt>
                <c:pt idx="516">
                  <c:v>47</c:v>
                </c:pt>
                <c:pt idx="517">
                  <c:v>71.599999999999994</c:v>
                </c:pt>
                <c:pt idx="518">
                  <c:v>13.9</c:v>
                </c:pt>
                <c:pt idx="519">
                  <c:v>17.899999999999999</c:v>
                </c:pt>
              </c:numCache>
            </c:numRef>
          </c:xVal>
          <c:yVal>
            <c:numRef>
              <c:f>Sheet39!$C$2:$C$527</c:f>
              <c:numCache>
                <c:formatCode>General</c:formatCode>
                <c:ptCount val="520"/>
                <c:pt idx="0">
                  <c:v>50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105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113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125</c:v>
                </c:pt>
                <c:pt idx="21">
                  <c:v>125</c:v>
                </c:pt>
                <c:pt idx="22">
                  <c:v>125</c:v>
                </c:pt>
                <c:pt idx="23">
                  <c:v>125</c:v>
                </c:pt>
                <c:pt idx="24">
                  <c:v>125</c:v>
                </c:pt>
                <c:pt idx="25">
                  <c:v>125</c:v>
                </c:pt>
                <c:pt idx="26">
                  <c:v>130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152</c:v>
                </c:pt>
                <c:pt idx="53">
                  <c:v>155</c:v>
                </c:pt>
                <c:pt idx="54">
                  <c:v>160</c:v>
                </c:pt>
                <c:pt idx="55">
                  <c:v>160</c:v>
                </c:pt>
                <c:pt idx="56">
                  <c:v>170</c:v>
                </c:pt>
                <c:pt idx="57">
                  <c:v>170</c:v>
                </c:pt>
                <c:pt idx="58">
                  <c:v>170</c:v>
                </c:pt>
                <c:pt idx="59">
                  <c:v>170</c:v>
                </c:pt>
                <c:pt idx="60">
                  <c:v>170</c:v>
                </c:pt>
                <c:pt idx="61">
                  <c:v>180</c:v>
                </c:pt>
                <c:pt idx="62">
                  <c:v>180</c:v>
                </c:pt>
                <c:pt idx="63">
                  <c:v>180</c:v>
                </c:pt>
                <c:pt idx="64">
                  <c:v>180</c:v>
                </c:pt>
                <c:pt idx="65">
                  <c:v>188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196.1</c:v>
                </c:pt>
                <c:pt idx="72">
                  <c:v>197</c:v>
                </c:pt>
                <c:pt idx="73">
                  <c:v>197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200</c:v>
                </c:pt>
                <c:pt idx="111">
                  <c:v>200</c:v>
                </c:pt>
                <c:pt idx="112">
                  <c:v>200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205</c:v>
                </c:pt>
                <c:pt idx="125">
                  <c:v>215</c:v>
                </c:pt>
                <c:pt idx="126">
                  <c:v>216</c:v>
                </c:pt>
                <c:pt idx="127">
                  <c:v>220</c:v>
                </c:pt>
                <c:pt idx="128">
                  <c:v>220</c:v>
                </c:pt>
                <c:pt idx="129">
                  <c:v>220</c:v>
                </c:pt>
                <c:pt idx="130">
                  <c:v>220</c:v>
                </c:pt>
                <c:pt idx="131">
                  <c:v>220</c:v>
                </c:pt>
                <c:pt idx="132">
                  <c:v>220</c:v>
                </c:pt>
                <c:pt idx="133">
                  <c:v>220</c:v>
                </c:pt>
                <c:pt idx="134">
                  <c:v>220</c:v>
                </c:pt>
                <c:pt idx="135">
                  <c:v>225</c:v>
                </c:pt>
                <c:pt idx="136">
                  <c:v>225</c:v>
                </c:pt>
                <c:pt idx="137">
                  <c:v>225</c:v>
                </c:pt>
                <c:pt idx="138">
                  <c:v>225</c:v>
                </c:pt>
                <c:pt idx="139">
                  <c:v>225</c:v>
                </c:pt>
                <c:pt idx="140">
                  <c:v>225</c:v>
                </c:pt>
                <c:pt idx="141">
                  <c:v>225</c:v>
                </c:pt>
                <c:pt idx="142">
                  <c:v>225</c:v>
                </c:pt>
                <c:pt idx="143">
                  <c:v>230</c:v>
                </c:pt>
                <c:pt idx="144">
                  <c:v>230</c:v>
                </c:pt>
                <c:pt idx="145">
                  <c:v>230</c:v>
                </c:pt>
                <c:pt idx="146">
                  <c:v>230</c:v>
                </c:pt>
                <c:pt idx="147">
                  <c:v>240</c:v>
                </c:pt>
                <c:pt idx="148">
                  <c:v>240</c:v>
                </c:pt>
                <c:pt idx="149">
                  <c:v>240</c:v>
                </c:pt>
                <c:pt idx="150">
                  <c:v>240</c:v>
                </c:pt>
                <c:pt idx="151">
                  <c:v>240</c:v>
                </c:pt>
                <c:pt idx="152">
                  <c:v>240</c:v>
                </c:pt>
                <c:pt idx="153">
                  <c:v>240</c:v>
                </c:pt>
                <c:pt idx="154">
                  <c:v>240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255</c:v>
                </c:pt>
                <c:pt idx="233">
                  <c:v>255</c:v>
                </c:pt>
                <c:pt idx="234">
                  <c:v>255</c:v>
                </c:pt>
                <c:pt idx="235">
                  <c:v>255</c:v>
                </c:pt>
                <c:pt idx="236">
                  <c:v>257</c:v>
                </c:pt>
                <c:pt idx="237">
                  <c:v>260</c:v>
                </c:pt>
                <c:pt idx="238">
                  <c:v>260</c:v>
                </c:pt>
                <c:pt idx="239">
                  <c:v>260</c:v>
                </c:pt>
                <c:pt idx="240">
                  <c:v>260</c:v>
                </c:pt>
                <c:pt idx="241">
                  <c:v>260</c:v>
                </c:pt>
                <c:pt idx="242">
                  <c:v>260</c:v>
                </c:pt>
                <c:pt idx="243">
                  <c:v>265</c:v>
                </c:pt>
                <c:pt idx="244">
                  <c:v>270</c:v>
                </c:pt>
                <c:pt idx="245">
                  <c:v>270</c:v>
                </c:pt>
                <c:pt idx="246">
                  <c:v>270</c:v>
                </c:pt>
                <c:pt idx="247">
                  <c:v>280</c:v>
                </c:pt>
                <c:pt idx="248">
                  <c:v>280</c:v>
                </c:pt>
                <c:pt idx="249">
                  <c:v>280</c:v>
                </c:pt>
                <c:pt idx="250">
                  <c:v>280</c:v>
                </c:pt>
                <c:pt idx="251">
                  <c:v>280</c:v>
                </c:pt>
                <c:pt idx="252">
                  <c:v>280</c:v>
                </c:pt>
                <c:pt idx="253">
                  <c:v>280</c:v>
                </c:pt>
                <c:pt idx="254">
                  <c:v>285</c:v>
                </c:pt>
                <c:pt idx="255">
                  <c:v>290</c:v>
                </c:pt>
                <c:pt idx="256">
                  <c:v>290</c:v>
                </c:pt>
                <c:pt idx="257">
                  <c:v>290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303</c:v>
                </c:pt>
                <c:pt idx="358">
                  <c:v>310</c:v>
                </c:pt>
                <c:pt idx="359">
                  <c:v>310</c:v>
                </c:pt>
                <c:pt idx="360">
                  <c:v>310</c:v>
                </c:pt>
                <c:pt idx="361">
                  <c:v>315</c:v>
                </c:pt>
                <c:pt idx="362">
                  <c:v>315</c:v>
                </c:pt>
                <c:pt idx="363">
                  <c:v>315</c:v>
                </c:pt>
                <c:pt idx="364">
                  <c:v>320</c:v>
                </c:pt>
                <c:pt idx="365">
                  <c:v>330</c:v>
                </c:pt>
                <c:pt idx="366">
                  <c:v>335</c:v>
                </c:pt>
                <c:pt idx="367">
                  <c:v>340</c:v>
                </c:pt>
                <c:pt idx="368">
                  <c:v>340</c:v>
                </c:pt>
                <c:pt idx="369">
                  <c:v>340</c:v>
                </c:pt>
                <c:pt idx="370">
                  <c:v>340</c:v>
                </c:pt>
                <c:pt idx="371">
                  <c:v>350</c:v>
                </c:pt>
                <c:pt idx="372">
                  <c:v>350</c:v>
                </c:pt>
                <c:pt idx="373">
                  <c:v>350</c:v>
                </c:pt>
                <c:pt idx="374">
                  <c:v>350</c:v>
                </c:pt>
                <c:pt idx="375">
                  <c:v>350</c:v>
                </c:pt>
                <c:pt idx="376">
                  <c:v>350</c:v>
                </c:pt>
                <c:pt idx="377">
                  <c:v>350</c:v>
                </c:pt>
                <c:pt idx="378">
                  <c:v>350</c:v>
                </c:pt>
                <c:pt idx="379">
                  <c:v>350</c:v>
                </c:pt>
                <c:pt idx="380">
                  <c:v>350</c:v>
                </c:pt>
                <c:pt idx="381">
                  <c:v>350</c:v>
                </c:pt>
                <c:pt idx="382">
                  <c:v>350</c:v>
                </c:pt>
                <c:pt idx="383">
                  <c:v>350</c:v>
                </c:pt>
                <c:pt idx="384">
                  <c:v>350</c:v>
                </c:pt>
                <c:pt idx="385">
                  <c:v>350</c:v>
                </c:pt>
                <c:pt idx="386">
                  <c:v>350</c:v>
                </c:pt>
                <c:pt idx="387">
                  <c:v>350</c:v>
                </c:pt>
                <c:pt idx="388">
                  <c:v>350</c:v>
                </c:pt>
                <c:pt idx="389">
                  <c:v>350</c:v>
                </c:pt>
                <c:pt idx="390">
                  <c:v>350</c:v>
                </c:pt>
                <c:pt idx="391">
                  <c:v>350</c:v>
                </c:pt>
                <c:pt idx="392">
                  <c:v>350</c:v>
                </c:pt>
                <c:pt idx="393">
                  <c:v>350</c:v>
                </c:pt>
                <c:pt idx="394">
                  <c:v>350</c:v>
                </c:pt>
                <c:pt idx="395">
                  <c:v>350</c:v>
                </c:pt>
                <c:pt idx="396">
                  <c:v>350</c:v>
                </c:pt>
                <c:pt idx="397">
                  <c:v>350</c:v>
                </c:pt>
                <c:pt idx="398">
                  <c:v>350</c:v>
                </c:pt>
                <c:pt idx="399">
                  <c:v>350</c:v>
                </c:pt>
                <c:pt idx="400">
                  <c:v>350</c:v>
                </c:pt>
                <c:pt idx="401">
                  <c:v>350</c:v>
                </c:pt>
                <c:pt idx="402">
                  <c:v>350</c:v>
                </c:pt>
                <c:pt idx="403">
                  <c:v>350</c:v>
                </c:pt>
                <c:pt idx="404">
                  <c:v>350</c:v>
                </c:pt>
                <c:pt idx="405">
                  <c:v>350</c:v>
                </c:pt>
                <c:pt idx="406">
                  <c:v>350</c:v>
                </c:pt>
                <c:pt idx="407">
                  <c:v>350</c:v>
                </c:pt>
                <c:pt idx="408">
                  <c:v>350</c:v>
                </c:pt>
                <c:pt idx="409">
                  <c:v>350</c:v>
                </c:pt>
                <c:pt idx="410">
                  <c:v>350</c:v>
                </c:pt>
                <c:pt idx="411">
                  <c:v>350</c:v>
                </c:pt>
                <c:pt idx="412">
                  <c:v>350</c:v>
                </c:pt>
                <c:pt idx="413">
                  <c:v>350</c:v>
                </c:pt>
                <c:pt idx="414">
                  <c:v>350</c:v>
                </c:pt>
                <c:pt idx="415">
                  <c:v>350</c:v>
                </c:pt>
                <c:pt idx="416">
                  <c:v>350</c:v>
                </c:pt>
                <c:pt idx="417">
                  <c:v>350</c:v>
                </c:pt>
                <c:pt idx="418">
                  <c:v>350</c:v>
                </c:pt>
                <c:pt idx="419">
                  <c:v>355</c:v>
                </c:pt>
                <c:pt idx="420">
                  <c:v>360</c:v>
                </c:pt>
                <c:pt idx="421">
                  <c:v>365</c:v>
                </c:pt>
                <c:pt idx="422">
                  <c:v>370</c:v>
                </c:pt>
                <c:pt idx="423">
                  <c:v>370</c:v>
                </c:pt>
                <c:pt idx="424">
                  <c:v>375</c:v>
                </c:pt>
                <c:pt idx="425">
                  <c:v>375</c:v>
                </c:pt>
                <c:pt idx="426">
                  <c:v>380</c:v>
                </c:pt>
                <c:pt idx="427">
                  <c:v>380</c:v>
                </c:pt>
                <c:pt idx="428">
                  <c:v>380</c:v>
                </c:pt>
                <c:pt idx="429">
                  <c:v>390</c:v>
                </c:pt>
                <c:pt idx="430">
                  <c:v>390</c:v>
                </c:pt>
                <c:pt idx="431">
                  <c:v>390</c:v>
                </c:pt>
                <c:pt idx="432">
                  <c:v>390</c:v>
                </c:pt>
                <c:pt idx="433">
                  <c:v>390</c:v>
                </c:pt>
                <c:pt idx="434">
                  <c:v>392.2</c:v>
                </c:pt>
                <c:pt idx="435">
                  <c:v>392.2</c:v>
                </c:pt>
                <c:pt idx="436">
                  <c:v>400</c:v>
                </c:pt>
                <c:pt idx="437">
                  <c:v>400</c:v>
                </c:pt>
                <c:pt idx="438">
                  <c:v>400</c:v>
                </c:pt>
                <c:pt idx="439">
                  <c:v>400</c:v>
                </c:pt>
                <c:pt idx="440">
                  <c:v>400</c:v>
                </c:pt>
                <c:pt idx="441">
                  <c:v>400</c:v>
                </c:pt>
                <c:pt idx="442">
                  <c:v>400</c:v>
                </c:pt>
                <c:pt idx="443">
                  <c:v>400</c:v>
                </c:pt>
                <c:pt idx="444">
                  <c:v>400</c:v>
                </c:pt>
                <c:pt idx="445">
                  <c:v>400</c:v>
                </c:pt>
                <c:pt idx="446">
                  <c:v>400</c:v>
                </c:pt>
                <c:pt idx="447">
                  <c:v>400</c:v>
                </c:pt>
                <c:pt idx="448">
                  <c:v>400</c:v>
                </c:pt>
                <c:pt idx="449">
                  <c:v>400</c:v>
                </c:pt>
                <c:pt idx="450">
                  <c:v>400</c:v>
                </c:pt>
                <c:pt idx="451">
                  <c:v>400</c:v>
                </c:pt>
                <c:pt idx="452">
                  <c:v>400</c:v>
                </c:pt>
                <c:pt idx="453">
                  <c:v>400</c:v>
                </c:pt>
                <c:pt idx="454">
                  <c:v>400</c:v>
                </c:pt>
                <c:pt idx="455">
                  <c:v>400</c:v>
                </c:pt>
                <c:pt idx="456">
                  <c:v>400</c:v>
                </c:pt>
                <c:pt idx="457">
                  <c:v>400</c:v>
                </c:pt>
                <c:pt idx="458">
                  <c:v>400</c:v>
                </c:pt>
                <c:pt idx="459">
                  <c:v>400</c:v>
                </c:pt>
                <c:pt idx="460">
                  <c:v>400</c:v>
                </c:pt>
                <c:pt idx="461">
                  <c:v>400</c:v>
                </c:pt>
                <c:pt idx="462">
                  <c:v>400</c:v>
                </c:pt>
                <c:pt idx="463">
                  <c:v>400</c:v>
                </c:pt>
                <c:pt idx="464">
                  <c:v>400</c:v>
                </c:pt>
                <c:pt idx="465">
                  <c:v>400</c:v>
                </c:pt>
                <c:pt idx="466">
                  <c:v>400</c:v>
                </c:pt>
                <c:pt idx="467">
                  <c:v>400</c:v>
                </c:pt>
                <c:pt idx="468">
                  <c:v>400</c:v>
                </c:pt>
                <c:pt idx="469">
                  <c:v>403</c:v>
                </c:pt>
                <c:pt idx="470">
                  <c:v>405</c:v>
                </c:pt>
                <c:pt idx="471">
                  <c:v>405</c:v>
                </c:pt>
                <c:pt idx="472">
                  <c:v>410</c:v>
                </c:pt>
                <c:pt idx="473">
                  <c:v>430</c:v>
                </c:pt>
                <c:pt idx="474">
                  <c:v>430</c:v>
                </c:pt>
                <c:pt idx="475">
                  <c:v>440</c:v>
                </c:pt>
                <c:pt idx="476">
                  <c:v>450</c:v>
                </c:pt>
                <c:pt idx="477">
                  <c:v>450</c:v>
                </c:pt>
                <c:pt idx="478">
                  <c:v>450</c:v>
                </c:pt>
                <c:pt idx="479">
                  <c:v>450</c:v>
                </c:pt>
                <c:pt idx="480">
                  <c:v>450</c:v>
                </c:pt>
                <c:pt idx="481">
                  <c:v>450</c:v>
                </c:pt>
                <c:pt idx="482">
                  <c:v>450</c:v>
                </c:pt>
                <c:pt idx="483">
                  <c:v>450</c:v>
                </c:pt>
                <c:pt idx="484">
                  <c:v>450</c:v>
                </c:pt>
                <c:pt idx="485">
                  <c:v>450</c:v>
                </c:pt>
                <c:pt idx="486">
                  <c:v>450</c:v>
                </c:pt>
                <c:pt idx="487">
                  <c:v>450</c:v>
                </c:pt>
                <c:pt idx="488">
                  <c:v>450</c:v>
                </c:pt>
                <c:pt idx="489">
                  <c:v>450</c:v>
                </c:pt>
                <c:pt idx="490">
                  <c:v>450</c:v>
                </c:pt>
                <c:pt idx="491">
                  <c:v>450</c:v>
                </c:pt>
                <c:pt idx="492">
                  <c:v>450</c:v>
                </c:pt>
                <c:pt idx="493">
                  <c:v>450</c:v>
                </c:pt>
                <c:pt idx="494">
                  <c:v>450</c:v>
                </c:pt>
                <c:pt idx="495">
                  <c:v>450</c:v>
                </c:pt>
                <c:pt idx="496">
                  <c:v>450</c:v>
                </c:pt>
                <c:pt idx="497">
                  <c:v>455</c:v>
                </c:pt>
                <c:pt idx="498">
                  <c:v>455</c:v>
                </c:pt>
                <c:pt idx="499">
                  <c:v>460</c:v>
                </c:pt>
                <c:pt idx="500">
                  <c:v>460</c:v>
                </c:pt>
                <c:pt idx="501">
                  <c:v>475</c:v>
                </c:pt>
                <c:pt idx="502">
                  <c:v>475</c:v>
                </c:pt>
                <c:pt idx="503">
                  <c:v>480</c:v>
                </c:pt>
                <c:pt idx="504">
                  <c:v>480</c:v>
                </c:pt>
                <c:pt idx="505">
                  <c:v>480</c:v>
                </c:pt>
                <c:pt idx="506">
                  <c:v>500</c:v>
                </c:pt>
                <c:pt idx="507">
                  <c:v>500</c:v>
                </c:pt>
                <c:pt idx="508">
                  <c:v>500</c:v>
                </c:pt>
                <c:pt idx="509">
                  <c:v>500</c:v>
                </c:pt>
                <c:pt idx="510">
                  <c:v>515</c:v>
                </c:pt>
                <c:pt idx="511">
                  <c:v>550</c:v>
                </c:pt>
                <c:pt idx="512">
                  <c:v>550</c:v>
                </c:pt>
                <c:pt idx="513">
                  <c:v>575</c:v>
                </c:pt>
                <c:pt idx="514">
                  <c:v>575</c:v>
                </c:pt>
                <c:pt idx="515">
                  <c:v>580</c:v>
                </c:pt>
                <c:pt idx="516">
                  <c:v>600</c:v>
                </c:pt>
                <c:pt idx="517">
                  <c:v>620</c:v>
                </c:pt>
                <c:pt idx="518">
                  <c:v>650</c:v>
                </c:pt>
                <c:pt idx="519">
                  <c:v>650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DF-4893-833F-C12C08321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959150"/>
        <c:axId val="129225794"/>
      </c:scatterChart>
      <c:valAx>
        <c:axId val="12359591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Flow L/s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225794"/>
        <c:crosses val="autoZero"/>
        <c:crossBetween val="midCat"/>
      </c:valAx>
      <c:valAx>
        <c:axId val="129225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Head 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595915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Head kPa vs Flow L/s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Sheet39!$C$1</c:f>
              <c:strCache>
                <c:ptCount val="1"/>
                <c:pt idx="0">
                  <c:v>Head kPa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Sheet39!$B$2:$B$527</c:f>
              <c:numCache>
                <c:formatCode>General</c:formatCode>
                <c:ptCount val="520"/>
                <c:pt idx="0">
                  <c:v>3.44</c:v>
                </c:pt>
                <c:pt idx="1">
                  <c:v>15</c:v>
                </c:pt>
                <c:pt idx="2">
                  <c:v>9.8000000000000007</c:v>
                </c:pt>
                <c:pt idx="3">
                  <c:v>26.05</c:v>
                </c:pt>
                <c:pt idx="4">
                  <c:v>3.4</c:v>
                </c:pt>
                <c:pt idx="5">
                  <c:v>5.2</c:v>
                </c:pt>
                <c:pt idx="6">
                  <c:v>5.5</c:v>
                </c:pt>
                <c:pt idx="7">
                  <c:v>11</c:v>
                </c:pt>
                <c:pt idx="8">
                  <c:v>17.899999999999999</c:v>
                </c:pt>
                <c:pt idx="9">
                  <c:v>34.299999999999997</c:v>
                </c:pt>
                <c:pt idx="10">
                  <c:v>34.49</c:v>
                </c:pt>
                <c:pt idx="11">
                  <c:v>7.5</c:v>
                </c:pt>
                <c:pt idx="12">
                  <c:v>11.3</c:v>
                </c:pt>
                <c:pt idx="13">
                  <c:v>12</c:v>
                </c:pt>
                <c:pt idx="14">
                  <c:v>15.53</c:v>
                </c:pt>
                <c:pt idx="15">
                  <c:v>20</c:v>
                </c:pt>
                <c:pt idx="16">
                  <c:v>12.4</c:v>
                </c:pt>
                <c:pt idx="17">
                  <c:v>5.17</c:v>
                </c:pt>
                <c:pt idx="18">
                  <c:v>19.899999999999999</c:v>
                </c:pt>
                <c:pt idx="19">
                  <c:v>20</c:v>
                </c:pt>
                <c:pt idx="20">
                  <c:v>7.21</c:v>
                </c:pt>
                <c:pt idx="21">
                  <c:v>9.9499999999999993</c:v>
                </c:pt>
                <c:pt idx="22">
                  <c:v>11.94</c:v>
                </c:pt>
                <c:pt idx="23">
                  <c:v>13.95</c:v>
                </c:pt>
                <c:pt idx="24">
                  <c:v>16.739999999999998</c:v>
                </c:pt>
                <c:pt idx="25">
                  <c:v>35.9</c:v>
                </c:pt>
                <c:pt idx="26">
                  <c:v>4.3</c:v>
                </c:pt>
                <c:pt idx="27">
                  <c:v>2.7</c:v>
                </c:pt>
                <c:pt idx="28">
                  <c:v>6</c:v>
                </c:pt>
                <c:pt idx="29">
                  <c:v>7.27</c:v>
                </c:pt>
                <c:pt idx="30">
                  <c:v>8.3000000000000007</c:v>
                </c:pt>
                <c:pt idx="31">
                  <c:v>8.8000000000000007</c:v>
                </c:pt>
                <c:pt idx="32">
                  <c:v>8.8000000000000007</c:v>
                </c:pt>
                <c:pt idx="33">
                  <c:v>9</c:v>
                </c:pt>
                <c:pt idx="34">
                  <c:v>10.58</c:v>
                </c:pt>
                <c:pt idx="35">
                  <c:v>14</c:v>
                </c:pt>
                <c:pt idx="36">
                  <c:v>15</c:v>
                </c:pt>
                <c:pt idx="37">
                  <c:v>18</c:v>
                </c:pt>
                <c:pt idx="38">
                  <c:v>19.41</c:v>
                </c:pt>
                <c:pt idx="39">
                  <c:v>21</c:v>
                </c:pt>
                <c:pt idx="40">
                  <c:v>21</c:v>
                </c:pt>
                <c:pt idx="41">
                  <c:v>22.18</c:v>
                </c:pt>
                <c:pt idx="42">
                  <c:v>22.4</c:v>
                </c:pt>
                <c:pt idx="43">
                  <c:v>29.5</c:v>
                </c:pt>
                <c:pt idx="44">
                  <c:v>33.01</c:v>
                </c:pt>
                <c:pt idx="45">
                  <c:v>38.4</c:v>
                </c:pt>
                <c:pt idx="46">
                  <c:v>39</c:v>
                </c:pt>
                <c:pt idx="47">
                  <c:v>42.18</c:v>
                </c:pt>
                <c:pt idx="48">
                  <c:v>43</c:v>
                </c:pt>
                <c:pt idx="49">
                  <c:v>53</c:v>
                </c:pt>
                <c:pt idx="50">
                  <c:v>58</c:v>
                </c:pt>
                <c:pt idx="51">
                  <c:v>64</c:v>
                </c:pt>
                <c:pt idx="52">
                  <c:v>3.29</c:v>
                </c:pt>
                <c:pt idx="53">
                  <c:v>10.9</c:v>
                </c:pt>
                <c:pt idx="54">
                  <c:v>12</c:v>
                </c:pt>
                <c:pt idx="55">
                  <c:v>35.799999999999997</c:v>
                </c:pt>
                <c:pt idx="56">
                  <c:v>20.57</c:v>
                </c:pt>
                <c:pt idx="57">
                  <c:v>30</c:v>
                </c:pt>
                <c:pt idx="58">
                  <c:v>30</c:v>
                </c:pt>
                <c:pt idx="59">
                  <c:v>44</c:v>
                </c:pt>
                <c:pt idx="60">
                  <c:v>65</c:v>
                </c:pt>
                <c:pt idx="61">
                  <c:v>4.8</c:v>
                </c:pt>
                <c:pt idx="62">
                  <c:v>5</c:v>
                </c:pt>
                <c:pt idx="63">
                  <c:v>45.76</c:v>
                </c:pt>
                <c:pt idx="64">
                  <c:v>66.849999999999994</c:v>
                </c:pt>
                <c:pt idx="65">
                  <c:v>17</c:v>
                </c:pt>
                <c:pt idx="66">
                  <c:v>10.5</c:v>
                </c:pt>
                <c:pt idx="67">
                  <c:v>10.5</c:v>
                </c:pt>
                <c:pt idx="68">
                  <c:v>10.5</c:v>
                </c:pt>
                <c:pt idx="69">
                  <c:v>28.6</c:v>
                </c:pt>
                <c:pt idx="70">
                  <c:v>38.200000000000003</c:v>
                </c:pt>
                <c:pt idx="71">
                  <c:v>59.2</c:v>
                </c:pt>
                <c:pt idx="72">
                  <c:v>19.899999999999999</c:v>
                </c:pt>
                <c:pt idx="73">
                  <c:v>25.5</c:v>
                </c:pt>
                <c:pt idx="74">
                  <c:v>3.3</c:v>
                </c:pt>
                <c:pt idx="75">
                  <c:v>5.25</c:v>
                </c:pt>
                <c:pt idx="76">
                  <c:v>5.25</c:v>
                </c:pt>
                <c:pt idx="77">
                  <c:v>7.2</c:v>
                </c:pt>
                <c:pt idx="78">
                  <c:v>9.4</c:v>
                </c:pt>
                <c:pt idx="79">
                  <c:v>10.45</c:v>
                </c:pt>
                <c:pt idx="80">
                  <c:v>10.45</c:v>
                </c:pt>
                <c:pt idx="81">
                  <c:v>10.85</c:v>
                </c:pt>
                <c:pt idx="82">
                  <c:v>11.63</c:v>
                </c:pt>
                <c:pt idx="83">
                  <c:v>11.75</c:v>
                </c:pt>
                <c:pt idx="84">
                  <c:v>11.89</c:v>
                </c:pt>
                <c:pt idx="85">
                  <c:v>12</c:v>
                </c:pt>
                <c:pt idx="86">
                  <c:v>12.2</c:v>
                </c:pt>
                <c:pt idx="87">
                  <c:v>12.2</c:v>
                </c:pt>
                <c:pt idx="88">
                  <c:v>13</c:v>
                </c:pt>
                <c:pt idx="89">
                  <c:v>13.29</c:v>
                </c:pt>
                <c:pt idx="90">
                  <c:v>13.5</c:v>
                </c:pt>
                <c:pt idx="91">
                  <c:v>14.9</c:v>
                </c:pt>
                <c:pt idx="92">
                  <c:v>15</c:v>
                </c:pt>
                <c:pt idx="93">
                  <c:v>16.600000000000001</c:v>
                </c:pt>
                <c:pt idx="94">
                  <c:v>18</c:v>
                </c:pt>
                <c:pt idx="95">
                  <c:v>18.8</c:v>
                </c:pt>
                <c:pt idx="96">
                  <c:v>19.600000000000001</c:v>
                </c:pt>
                <c:pt idx="97">
                  <c:v>21.2</c:v>
                </c:pt>
                <c:pt idx="98">
                  <c:v>21.2</c:v>
                </c:pt>
                <c:pt idx="99">
                  <c:v>21.2</c:v>
                </c:pt>
                <c:pt idx="100">
                  <c:v>21.34</c:v>
                </c:pt>
                <c:pt idx="101">
                  <c:v>21.4</c:v>
                </c:pt>
                <c:pt idx="102">
                  <c:v>21.6</c:v>
                </c:pt>
                <c:pt idx="103">
                  <c:v>22.8</c:v>
                </c:pt>
                <c:pt idx="104">
                  <c:v>25.5</c:v>
                </c:pt>
                <c:pt idx="105">
                  <c:v>25.8</c:v>
                </c:pt>
                <c:pt idx="106">
                  <c:v>27</c:v>
                </c:pt>
                <c:pt idx="107">
                  <c:v>27.3</c:v>
                </c:pt>
                <c:pt idx="108">
                  <c:v>28</c:v>
                </c:pt>
                <c:pt idx="109">
                  <c:v>29</c:v>
                </c:pt>
                <c:pt idx="110">
                  <c:v>29.5</c:v>
                </c:pt>
                <c:pt idx="111">
                  <c:v>30</c:v>
                </c:pt>
                <c:pt idx="112">
                  <c:v>31</c:v>
                </c:pt>
                <c:pt idx="113">
                  <c:v>32.1</c:v>
                </c:pt>
                <c:pt idx="114">
                  <c:v>32.799999999999997</c:v>
                </c:pt>
                <c:pt idx="115">
                  <c:v>35.799999999999997</c:v>
                </c:pt>
                <c:pt idx="116">
                  <c:v>39</c:v>
                </c:pt>
                <c:pt idx="117">
                  <c:v>42</c:v>
                </c:pt>
                <c:pt idx="118">
                  <c:v>50</c:v>
                </c:pt>
                <c:pt idx="119">
                  <c:v>50.9</c:v>
                </c:pt>
                <c:pt idx="120">
                  <c:v>51.4</c:v>
                </c:pt>
                <c:pt idx="121">
                  <c:v>64</c:v>
                </c:pt>
                <c:pt idx="122">
                  <c:v>76</c:v>
                </c:pt>
                <c:pt idx="123">
                  <c:v>85</c:v>
                </c:pt>
                <c:pt idx="124">
                  <c:v>5.93</c:v>
                </c:pt>
                <c:pt idx="125">
                  <c:v>10.1</c:v>
                </c:pt>
                <c:pt idx="126">
                  <c:v>32.799999999999997</c:v>
                </c:pt>
                <c:pt idx="127">
                  <c:v>7.5</c:v>
                </c:pt>
                <c:pt idx="128">
                  <c:v>11.54</c:v>
                </c:pt>
                <c:pt idx="129">
                  <c:v>11.54</c:v>
                </c:pt>
                <c:pt idx="130">
                  <c:v>12.2</c:v>
                </c:pt>
                <c:pt idx="131">
                  <c:v>25</c:v>
                </c:pt>
                <c:pt idx="132">
                  <c:v>36.700000000000003</c:v>
                </c:pt>
                <c:pt idx="133">
                  <c:v>53.2</c:v>
                </c:pt>
                <c:pt idx="134">
                  <c:v>79.400000000000006</c:v>
                </c:pt>
                <c:pt idx="135">
                  <c:v>2.48</c:v>
                </c:pt>
                <c:pt idx="136">
                  <c:v>6</c:v>
                </c:pt>
                <c:pt idx="137">
                  <c:v>8.6999999999999993</c:v>
                </c:pt>
                <c:pt idx="138">
                  <c:v>9</c:v>
                </c:pt>
                <c:pt idx="139">
                  <c:v>11</c:v>
                </c:pt>
                <c:pt idx="140">
                  <c:v>15</c:v>
                </c:pt>
                <c:pt idx="141">
                  <c:v>15</c:v>
                </c:pt>
                <c:pt idx="142">
                  <c:v>17</c:v>
                </c:pt>
                <c:pt idx="143">
                  <c:v>19.399999999999999</c:v>
                </c:pt>
                <c:pt idx="144">
                  <c:v>49.7</c:v>
                </c:pt>
                <c:pt idx="145">
                  <c:v>49.7</c:v>
                </c:pt>
                <c:pt idx="146">
                  <c:v>66</c:v>
                </c:pt>
                <c:pt idx="147">
                  <c:v>4.07</c:v>
                </c:pt>
                <c:pt idx="148">
                  <c:v>20.57</c:v>
                </c:pt>
                <c:pt idx="149">
                  <c:v>20.57</c:v>
                </c:pt>
                <c:pt idx="150">
                  <c:v>24.2</c:v>
                </c:pt>
                <c:pt idx="151">
                  <c:v>49.7</c:v>
                </c:pt>
                <c:pt idx="152">
                  <c:v>49.7</c:v>
                </c:pt>
                <c:pt idx="153">
                  <c:v>49.7</c:v>
                </c:pt>
                <c:pt idx="154">
                  <c:v>71</c:v>
                </c:pt>
                <c:pt idx="155">
                  <c:v>4.04</c:v>
                </c:pt>
                <c:pt idx="156">
                  <c:v>4.67</c:v>
                </c:pt>
                <c:pt idx="157">
                  <c:v>4.9000000000000004</c:v>
                </c:pt>
                <c:pt idx="158">
                  <c:v>5.25</c:v>
                </c:pt>
                <c:pt idx="159">
                  <c:v>5.97</c:v>
                </c:pt>
                <c:pt idx="160">
                  <c:v>6</c:v>
                </c:pt>
                <c:pt idx="161">
                  <c:v>6</c:v>
                </c:pt>
                <c:pt idx="162">
                  <c:v>6.6</c:v>
                </c:pt>
                <c:pt idx="163">
                  <c:v>7.2</c:v>
                </c:pt>
                <c:pt idx="164">
                  <c:v>7.3</c:v>
                </c:pt>
                <c:pt idx="165">
                  <c:v>7.5</c:v>
                </c:pt>
                <c:pt idx="166">
                  <c:v>7.5</c:v>
                </c:pt>
                <c:pt idx="167">
                  <c:v>8</c:v>
                </c:pt>
                <c:pt idx="168">
                  <c:v>8.1999999999999993</c:v>
                </c:pt>
                <c:pt idx="169">
                  <c:v>8.9600000000000009</c:v>
                </c:pt>
                <c:pt idx="170">
                  <c:v>9</c:v>
                </c:pt>
                <c:pt idx="171">
                  <c:v>9</c:v>
                </c:pt>
                <c:pt idx="172">
                  <c:v>9.3000000000000007</c:v>
                </c:pt>
                <c:pt idx="173">
                  <c:v>9.4</c:v>
                </c:pt>
                <c:pt idx="174">
                  <c:v>9.4</c:v>
                </c:pt>
                <c:pt idx="175">
                  <c:v>9.6</c:v>
                </c:pt>
                <c:pt idx="176">
                  <c:v>9.8000000000000007</c:v>
                </c:pt>
                <c:pt idx="177">
                  <c:v>9.9</c:v>
                </c:pt>
                <c:pt idx="178">
                  <c:v>10</c:v>
                </c:pt>
                <c:pt idx="179">
                  <c:v>10.7</c:v>
                </c:pt>
                <c:pt idx="180">
                  <c:v>11.4</c:v>
                </c:pt>
                <c:pt idx="181">
                  <c:v>11.9</c:v>
                </c:pt>
                <c:pt idx="182">
                  <c:v>12</c:v>
                </c:pt>
                <c:pt idx="183">
                  <c:v>12.04</c:v>
                </c:pt>
                <c:pt idx="184">
                  <c:v>12.04</c:v>
                </c:pt>
                <c:pt idx="185">
                  <c:v>12.5</c:v>
                </c:pt>
                <c:pt idx="186">
                  <c:v>13</c:v>
                </c:pt>
                <c:pt idx="187">
                  <c:v>13.2</c:v>
                </c:pt>
                <c:pt idx="188">
                  <c:v>13.2</c:v>
                </c:pt>
                <c:pt idx="189">
                  <c:v>13.2</c:v>
                </c:pt>
                <c:pt idx="190">
                  <c:v>14.6</c:v>
                </c:pt>
                <c:pt idx="191">
                  <c:v>14.7</c:v>
                </c:pt>
                <c:pt idx="192">
                  <c:v>15</c:v>
                </c:pt>
                <c:pt idx="193">
                  <c:v>15.29</c:v>
                </c:pt>
                <c:pt idx="194">
                  <c:v>15.5</c:v>
                </c:pt>
                <c:pt idx="195">
                  <c:v>15.63</c:v>
                </c:pt>
                <c:pt idx="196">
                  <c:v>16</c:v>
                </c:pt>
                <c:pt idx="197">
                  <c:v>16.399999999999999</c:v>
                </c:pt>
                <c:pt idx="198">
                  <c:v>16.8</c:v>
                </c:pt>
                <c:pt idx="199">
                  <c:v>17.5</c:v>
                </c:pt>
                <c:pt idx="200">
                  <c:v>18.8</c:v>
                </c:pt>
                <c:pt idx="201">
                  <c:v>21</c:v>
                </c:pt>
                <c:pt idx="202">
                  <c:v>21.2</c:v>
                </c:pt>
                <c:pt idx="203">
                  <c:v>21.2</c:v>
                </c:pt>
                <c:pt idx="204">
                  <c:v>21.99</c:v>
                </c:pt>
                <c:pt idx="205">
                  <c:v>22</c:v>
                </c:pt>
                <c:pt idx="206">
                  <c:v>23.4</c:v>
                </c:pt>
                <c:pt idx="207">
                  <c:v>24</c:v>
                </c:pt>
                <c:pt idx="208">
                  <c:v>25.9</c:v>
                </c:pt>
                <c:pt idx="209">
                  <c:v>26.3</c:v>
                </c:pt>
                <c:pt idx="210">
                  <c:v>28.51</c:v>
                </c:pt>
                <c:pt idx="211">
                  <c:v>29</c:v>
                </c:pt>
                <c:pt idx="212">
                  <c:v>31</c:v>
                </c:pt>
                <c:pt idx="213">
                  <c:v>31.8</c:v>
                </c:pt>
                <c:pt idx="214">
                  <c:v>32.9</c:v>
                </c:pt>
                <c:pt idx="215">
                  <c:v>33.1</c:v>
                </c:pt>
                <c:pt idx="216">
                  <c:v>33.9</c:v>
                </c:pt>
                <c:pt idx="217">
                  <c:v>34.1</c:v>
                </c:pt>
                <c:pt idx="218">
                  <c:v>34.299999999999997</c:v>
                </c:pt>
                <c:pt idx="219">
                  <c:v>35</c:v>
                </c:pt>
                <c:pt idx="220">
                  <c:v>37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43.7</c:v>
                </c:pt>
                <c:pt idx="224">
                  <c:v>43.7</c:v>
                </c:pt>
                <c:pt idx="225">
                  <c:v>44.1</c:v>
                </c:pt>
                <c:pt idx="226">
                  <c:v>45.4</c:v>
                </c:pt>
                <c:pt idx="227">
                  <c:v>49</c:v>
                </c:pt>
                <c:pt idx="228">
                  <c:v>53</c:v>
                </c:pt>
                <c:pt idx="229">
                  <c:v>58</c:v>
                </c:pt>
                <c:pt idx="230">
                  <c:v>65</c:v>
                </c:pt>
                <c:pt idx="231">
                  <c:v>85</c:v>
                </c:pt>
                <c:pt idx="232">
                  <c:v>21.4</c:v>
                </c:pt>
                <c:pt idx="233">
                  <c:v>21.4</c:v>
                </c:pt>
                <c:pt idx="234">
                  <c:v>96.53</c:v>
                </c:pt>
                <c:pt idx="235">
                  <c:v>97.14</c:v>
                </c:pt>
                <c:pt idx="236">
                  <c:v>8.9</c:v>
                </c:pt>
                <c:pt idx="237">
                  <c:v>8.6</c:v>
                </c:pt>
                <c:pt idx="238">
                  <c:v>22</c:v>
                </c:pt>
                <c:pt idx="239">
                  <c:v>22</c:v>
                </c:pt>
                <c:pt idx="240">
                  <c:v>33.1</c:v>
                </c:pt>
                <c:pt idx="241">
                  <c:v>34</c:v>
                </c:pt>
                <c:pt idx="242">
                  <c:v>34</c:v>
                </c:pt>
                <c:pt idx="243">
                  <c:v>33.4</c:v>
                </c:pt>
                <c:pt idx="244">
                  <c:v>8</c:v>
                </c:pt>
                <c:pt idx="245">
                  <c:v>31.1</c:v>
                </c:pt>
                <c:pt idx="246">
                  <c:v>34.270000000000003</c:v>
                </c:pt>
                <c:pt idx="247">
                  <c:v>5</c:v>
                </c:pt>
                <c:pt idx="248">
                  <c:v>9.16</c:v>
                </c:pt>
                <c:pt idx="249">
                  <c:v>9.4</c:v>
                </c:pt>
                <c:pt idx="250">
                  <c:v>11.34</c:v>
                </c:pt>
                <c:pt idx="251">
                  <c:v>13</c:v>
                </c:pt>
                <c:pt idx="252">
                  <c:v>13.05</c:v>
                </c:pt>
                <c:pt idx="253">
                  <c:v>13.19</c:v>
                </c:pt>
                <c:pt idx="254">
                  <c:v>34.89</c:v>
                </c:pt>
                <c:pt idx="255">
                  <c:v>24.38</c:v>
                </c:pt>
                <c:pt idx="256">
                  <c:v>33</c:v>
                </c:pt>
                <c:pt idx="257">
                  <c:v>33</c:v>
                </c:pt>
                <c:pt idx="258">
                  <c:v>1.9</c:v>
                </c:pt>
                <c:pt idx="259">
                  <c:v>3</c:v>
                </c:pt>
                <c:pt idx="260">
                  <c:v>3.3</c:v>
                </c:pt>
                <c:pt idx="261">
                  <c:v>3.7</c:v>
                </c:pt>
                <c:pt idx="262">
                  <c:v>4.2</c:v>
                </c:pt>
                <c:pt idx="263">
                  <c:v>4.5999999999999996</c:v>
                </c:pt>
                <c:pt idx="264">
                  <c:v>5.13</c:v>
                </c:pt>
                <c:pt idx="265">
                  <c:v>6.2</c:v>
                </c:pt>
                <c:pt idx="266">
                  <c:v>7.2</c:v>
                </c:pt>
                <c:pt idx="267">
                  <c:v>7.4</c:v>
                </c:pt>
                <c:pt idx="268">
                  <c:v>8</c:v>
                </c:pt>
                <c:pt idx="269">
                  <c:v>8</c:v>
                </c:pt>
                <c:pt idx="270">
                  <c:v>8.5</c:v>
                </c:pt>
                <c:pt idx="271">
                  <c:v>8.6</c:v>
                </c:pt>
                <c:pt idx="272">
                  <c:v>9</c:v>
                </c:pt>
                <c:pt idx="273">
                  <c:v>9.0180000000000007</c:v>
                </c:pt>
                <c:pt idx="274">
                  <c:v>9.3000000000000007</c:v>
                </c:pt>
                <c:pt idx="275">
                  <c:v>9.4</c:v>
                </c:pt>
                <c:pt idx="276">
                  <c:v>9.5</c:v>
                </c:pt>
                <c:pt idx="277">
                  <c:v>10.18</c:v>
                </c:pt>
                <c:pt idx="278">
                  <c:v>10.5</c:v>
                </c:pt>
                <c:pt idx="279">
                  <c:v>10.8</c:v>
                </c:pt>
                <c:pt idx="280">
                  <c:v>11.14</c:v>
                </c:pt>
                <c:pt idx="281">
                  <c:v>11.2</c:v>
                </c:pt>
                <c:pt idx="282">
                  <c:v>11.44</c:v>
                </c:pt>
                <c:pt idx="283">
                  <c:v>11.9</c:v>
                </c:pt>
                <c:pt idx="284">
                  <c:v>12.5</c:v>
                </c:pt>
                <c:pt idx="285">
                  <c:v>12.59</c:v>
                </c:pt>
                <c:pt idx="286">
                  <c:v>13.1</c:v>
                </c:pt>
                <c:pt idx="287">
                  <c:v>14</c:v>
                </c:pt>
                <c:pt idx="288">
                  <c:v>14.3</c:v>
                </c:pt>
                <c:pt idx="289">
                  <c:v>14.39</c:v>
                </c:pt>
                <c:pt idx="290">
                  <c:v>14.7</c:v>
                </c:pt>
                <c:pt idx="291">
                  <c:v>14.9</c:v>
                </c:pt>
                <c:pt idx="292">
                  <c:v>14.9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15.2</c:v>
                </c:pt>
                <c:pt idx="298">
                  <c:v>16.7</c:v>
                </c:pt>
                <c:pt idx="299">
                  <c:v>17</c:v>
                </c:pt>
                <c:pt idx="300">
                  <c:v>17.100000000000001</c:v>
                </c:pt>
                <c:pt idx="301">
                  <c:v>17.899999999999999</c:v>
                </c:pt>
                <c:pt idx="302">
                  <c:v>18.38</c:v>
                </c:pt>
                <c:pt idx="303">
                  <c:v>18.399999999999999</c:v>
                </c:pt>
                <c:pt idx="304">
                  <c:v>18.899999999999999</c:v>
                </c:pt>
                <c:pt idx="305">
                  <c:v>19</c:v>
                </c:pt>
                <c:pt idx="306">
                  <c:v>19</c:v>
                </c:pt>
                <c:pt idx="307">
                  <c:v>19.2</c:v>
                </c:pt>
                <c:pt idx="308">
                  <c:v>21</c:v>
                </c:pt>
                <c:pt idx="309">
                  <c:v>21.1</c:v>
                </c:pt>
                <c:pt idx="310">
                  <c:v>21.8</c:v>
                </c:pt>
                <c:pt idx="311">
                  <c:v>23.1</c:v>
                </c:pt>
                <c:pt idx="312">
                  <c:v>24.6</c:v>
                </c:pt>
                <c:pt idx="313">
                  <c:v>24.65</c:v>
                </c:pt>
                <c:pt idx="314">
                  <c:v>24.9</c:v>
                </c:pt>
                <c:pt idx="315">
                  <c:v>25.7</c:v>
                </c:pt>
                <c:pt idx="316">
                  <c:v>26.5</c:v>
                </c:pt>
                <c:pt idx="317">
                  <c:v>27.8</c:v>
                </c:pt>
                <c:pt idx="318">
                  <c:v>29.1</c:v>
                </c:pt>
                <c:pt idx="319">
                  <c:v>29.3</c:v>
                </c:pt>
                <c:pt idx="320">
                  <c:v>29.9</c:v>
                </c:pt>
                <c:pt idx="321">
                  <c:v>30</c:v>
                </c:pt>
                <c:pt idx="322">
                  <c:v>31.4</c:v>
                </c:pt>
                <c:pt idx="323">
                  <c:v>31.5</c:v>
                </c:pt>
                <c:pt idx="324">
                  <c:v>33.1</c:v>
                </c:pt>
                <c:pt idx="325">
                  <c:v>35</c:v>
                </c:pt>
                <c:pt idx="326">
                  <c:v>38</c:v>
                </c:pt>
                <c:pt idx="327">
                  <c:v>38</c:v>
                </c:pt>
                <c:pt idx="328">
                  <c:v>39.619999999999997</c:v>
                </c:pt>
                <c:pt idx="329">
                  <c:v>39.619999999999997</c:v>
                </c:pt>
                <c:pt idx="330">
                  <c:v>42.18</c:v>
                </c:pt>
                <c:pt idx="331">
                  <c:v>45.69</c:v>
                </c:pt>
                <c:pt idx="332">
                  <c:v>48.49</c:v>
                </c:pt>
                <c:pt idx="333">
                  <c:v>48.49</c:v>
                </c:pt>
                <c:pt idx="334">
                  <c:v>48.7</c:v>
                </c:pt>
                <c:pt idx="335">
                  <c:v>49</c:v>
                </c:pt>
                <c:pt idx="336">
                  <c:v>49</c:v>
                </c:pt>
                <c:pt idx="337">
                  <c:v>49.35</c:v>
                </c:pt>
                <c:pt idx="338">
                  <c:v>49.35</c:v>
                </c:pt>
                <c:pt idx="339">
                  <c:v>52.63</c:v>
                </c:pt>
                <c:pt idx="340">
                  <c:v>53.2</c:v>
                </c:pt>
                <c:pt idx="341">
                  <c:v>54</c:v>
                </c:pt>
                <c:pt idx="342">
                  <c:v>57.8</c:v>
                </c:pt>
                <c:pt idx="343">
                  <c:v>58</c:v>
                </c:pt>
                <c:pt idx="344">
                  <c:v>58.85</c:v>
                </c:pt>
                <c:pt idx="345">
                  <c:v>70</c:v>
                </c:pt>
                <c:pt idx="346">
                  <c:v>71.650000000000006</c:v>
                </c:pt>
                <c:pt idx="347">
                  <c:v>71.650000000000006</c:v>
                </c:pt>
                <c:pt idx="348">
                  <c:v>77</c:v>
                </c:pt>
                <c:pt idx="349">
                  <c:v>77</c:v>
                </c:pt>
                <c:pt idx="350">
                  <c:v>85</c:v>
                </c:pt>
                <c:pt idx="351">
                  <c:v>88</c:v>
                </c:pt>
                <c:pt idx="352">
                  <c:v>88</c:v>
                </c:pt>
                <c:pt idx="353">
                  <c:v>88.59</c:v>
                </c:pt>
                <c:pt idx="354">
                  <c:v>88.66</c:v>
                </c:pt>
                <c:pt idx="355">
                  <c:v>93</c:v>
                </c:pt>
                <c:pt idx="356">
                  <c:v>93</c:v>
                </c:pt>
                <c:pt idx="357">
                  <c:v>23.6</c:v>
                </c:pt>
                <c:pt idx="358">
                  <c:v>20</c:v>
                </c:pt>
                <c:pt idx="359">
                  <c:v>20</c:v>
                </c:pt>
                <c:pt idx="360">
                  <c:v>29.1</c:v>
                </c:pt>
                <c:pt idx="361">
                  <c:v>9.6</c:v>
                </c:pt>
                <c:pt idx="362">
                  <c:v>9.6</c:v>
                </c:pt>
                <c:pt idx="363">
                  <c:v>60.9</c:v>
                </c:pt>
                <c:pt idx="364">
                  <c:v>38.700000000000003</c:v>
                </c:pt>
                <c:pt idx="365">
                  <c:v>16.2</c:v>
                </c:pt>
                <c:pt idx="366">
                  <c:v>8.34</c:v>
                </c:pt>
                <c:pt idx="367">
                  <c:v>8</c:v>
                </c:pt>
                <c:pt idx="368">
                  <c:v>70.81</c:v>
                </c:pt>
                <c:pt idx="369">
                  <c:v>71.239999999999995</c:v>
                </c:pt>
                <c:pt idx="370">
                  <c:v>83.2</c:v>
                </c:pt>
                <c:pt idx="371">
                  <c:v>4</c:v>
                </c:pt>
                <c:pt idx="372">
                  <c:v>6.72</c:v>
                </c:pt>
                <c:pt idx="373">
                  <c:v>7</c:v>
                </c:pt>
                <c:pt idx="374">
                  <c:v>7.4</c:v>
                </c:pt>
                <c:pt idx="375">
                  <c:v>7.66</c:v>
                </c:pt>
                <c:pt idx="376">
                  <c:v>7.66</c:v>
                </c:pt>
                <c:pt idx="377">
                  <c:v>8.01</c:v>
                </c:pt>
                <c:pt idx="378">
                  <c:v>8.4</c:v>
                </c:pt>
                <c:pt idx="379">
                  <c:v>10.72</c:v>
                </c:pt>
                <c:pt idx="380">
                  <c:v>13.6</c:v>
                </c:pt>
                <c:pt idx="381">
                  <c:v>13.7</c:v>
                </c:pt>
                <c:pt idx="382">
                  <c:v>13.9</c:v>
                </c:pt>
                <c:pt idx="383">
                  <c:v>13.9</c:v>
                </c:pt>
                <c:pt idx="384">
                  <c:v>14.15</c:v>
                </c:pt>
                <c:pt idx="385">
                  <c:v>14.3</c:v>
                </c:pt>
                <c:pt idx="386">
                  <c:v>14.7</c:v>
                </c:pt>
                <c:pt idx="387">
                  <c:v>15.6</c:v>
                </c:pt>
                <c:pt idx="388">
                  <c:v>18.100000000000001</c:v>
                </c:pt>
                <c:pt idx="389">
                  <c:v>19.8</c:v>
                </c:pt>
                <c:pt idx="390">
                  <c:v>20.5</c:v>
                </c:pt>
                <c:pt idx="391">
                  <c:v>24</c:v>
                </c:pt>
                <c:pt idx="392">
                  <c:v>24</c:v>
                </c:pt>
                <c:pt idx="393">
                  <c:v>24.1</c:v>
                </c:pt>
                <c:pt idx="394">
                  <c:v>26.3</c:v>
                </c:pt>
                <c:pt idx="395">
                  <c:v>26.8</c:v>
                </c:pt>
                <c:pt idx="396">
                  <c:v>27</c:v>
                </c:pt>
                <c:pt idx="397">
                  <c:v>27</c:v>
                </c:pt>
                <c:pt idx="398">
                  <c:v>27.3</c:v>
                </c:pt>
                <c:pt idx="399">
                  <c:v>27.3</c:v>
                </c:pt>
                <c:pt idx="400">
                  <c:v>28.3</c:v>
                </c:pt>
                <c:pt idx="401">
                  <c:v>28.3</c:v>
                </c:pt>
                <c:pt idx="402">
                  <c:v>29</c:v>
                </c:pt>
                <c:pt idx="403">
                  <c:v>30.6</c:v>
                </c:pt>
                <c:pt idx="404">
                  <c:v>31.9</c:v>
                </c:pt>
                <c:pt idx="405">
                  <c:v>33.9</c:v>
                </c:pt>
                <c:pt idx="406">
                  <c:v>37.1</c:v>
                </c:pt>
                <c:pt idx="407">
                  <c:v>43.7</c:v>
                </c:pt>
                <c:pt idx="408">
                  <c:v>45</c:v>
                </c:pt>
                <c:pt idx="409">
                  <c:v>45</c:v>
                </c:pt>
                <c:pt idx="410">
                  <c:v>47.8</c:v>
                </c:pt>
                <c:pt idx="411">
                  <c:v>48</c:v>
                </c:pt>
                <c:pt idx="412">
                  <c:v>53.2</c:v>
                </c:pt>
                <c:pt idx="413">
                  <c:v>55</c:v>
                </c:pt>
                <c:pt idx="414">
                  <c:v>57.8</c:v>
                </c:pt>
                <c:pt idx="415">
                  <c:v>60</c:v>
                </c:pt>
                <c:pt idx="416">
                  <c:v>66.5</c:v>
                </c:pt>
                <c:pt idx="417">
                  <c:v>79.55</c:v>
                </c:pt>
                <c:pt idx="418">
                  <c:v>85</c:v>
                </c:pt>
                <c:pt idx="419">
                  <c:v>61.5</c:v>
                </c:pt>
                <c:pt idx="420">
                  <c:v>15</c:v>
                </c:pt>
                <c:pt idx="421">
                  <c:v>30</c:v>
                </c:pt>
                <c:pt idx="422">
                  <c:v>12.8</c:v>
                </c:pt>
                <c:pt idx="423">
                  <c:v>48</c:v>
                </c:pt>
                <c:pt idx="424">
                  <c:v>26</c:v>
                </c:pt>
                <c:pt idx="425">
                  <c:v>26</c:v>
                </c:pt>
                <c:pt idx="426">
                  <c:v>14</c:v>
                </c:pt>
                <c:pt idx="427">
                  <c:v>31.8</c:v>
                </c:pt>
                <c:pt idx="428">
                  <c:v>33.1</c:v>
                </c:pt>
                <c:pt idx="429">
                  <c:v>13.7</c:v>
                </c:pt>
                <c:pt idx="430">
                  <c:v>13.7</c:v>
                </c:pt>
                <c:pt idx="431">
                  <c:v>24.21</c:v>
                </c:pt>
                <c:pt idx="432">
                  <c:v>24.21</c:v>
                </c:pt>
                <c:pt idx="433">
                  <c:v>24.21</c:v>
                </c:pt>
                <c:pt idx="434">
                  <c:v>23.6</c:v>
                </c:pt>
                <c:pt idx="435">
                  <c:v>25.3</c:v>
                </c:pt>
                <c:pt idx="436">
                  <c:v>3.27</c:v>
                </c:pt>
                <c:pt idx="437">
                  <c:v>3.3</c:v>
                </c:pt>
                <c:pt idx="438">
                  <c:v>4.8</c:v>
                </c:pt>
                <c:pt idx="439">
                  <c:v>9.27</c:v>
                </c:pt>
                <c:pt idx="440">
                  <c:v>9.5</c:v>
                </c:pt>
                <c:pt idx="441">
                  <c:v>10</c:v>
                </c:pt>
                <c:pt idx="442">
                  <c:v>10.5</c:v>
                </c:pt>
                <c:pt idx="443">
                  <c:v>10.67</c:v>
                </c:pt>
                <c:pt idx="444">
                  <c:v>11.6</c:v>
                </c:pt>
                <c:pt idx="445">
                  <c:v>12</c:v>
                </c:pt>
                <c:pt idx="446">
                  <c:v>12.8</c:v>
                </c:pt>
                <c:pt idx="447">
                  <c:v>14.8</c:v>
                </c:pt>
                <c:pt idx="448">
                  <c:v>17</c:v>
                </c:pt>
                <c:pt idx="449">
                  <c:v>17.899999999999999</c:v>
                </c:pt>
                <c:pt idx="450">
                  <c:v>19</c:v>
                </c:pt>
                <c:pt idx="451">
                  <c:v>19.329999999999998</c:v>
                </c:pt>
                <c:pt idx="452">
                  <c:v>21.5</c:v>
                </c:pt>
                <c:pt idx="453">
                  <c:v>22.04</c:v>
                </c:pt>
                <c:pt idx="454">
                  <c:v>23.3</c:v>
                </c:pt>
                <c:pt idx="455">
                  <c:v>25.52</c:v>
                </c:pt>
                <c:pt idx="456">
                  <c:v>25.52</c:v>
                </c:pt>
                <c:pt idx="457">
                  <c:v>29.8</c:v>
                </c:pt>
                <c:pt idx="458">
                  <c:v>30</c:v>
                </c:pt>
                <c:pt idx="459">
                  <c:v>31.4</c:v>
                </c:pt>
                <c:pt idx="460">
                  <c:v>42.92</c:v>
                </c:pt>
                <c:pt idx="461">
                  <c:v>44</c:v>
                </c:pt>
                <c:pt idx="462">
                  <c:v>46.1</c:v>
                </c:pt>
                <c:pt idx="463">
                  <c:v>49</c:v>
                </c:pt>
                <c:pt idx="464">
                  <c:v>50</c:v>
                </c:pt>
                <c:pt idx="465">
                  <c:v>51</c:v>
                </c:pt>
                <c:pt idx="466">
                  <c:v>51</c:v>
                </c:pt>
                <c:pt idx="467">
                  <c:v>52.1</c:v>
                </c:pt>
                <c:pt idx="468">
                  <c:v>71.8</c:v>
                </c:pt>
                <c:pt idx="469">
                  <c:v>77.02</c:v>
                </c:pt>
                <c:pt idx="470">
                  <c:v>29.8</c:v>
                </c:pt>
                <c:pt idx="471">
                  <c:v>29.81</c:v>
                </c:pt>
                <c:pt idx="472">
                  <c:v>19.100000000000001</c:v>
                </c:pt>
                <c:pt idx="473">
                  <c:v>33.83</c:v>
                </c:pt>
                <c:pt idx="474">
                  <c:v>35.76</c:v>
                </c:pt>
                <c:pt idx="475">
                  <c:v>23.2</c:v>
                </c:pt>
                <c:pt idx="476">
                  <c:v>4.2</c:v>
                </c:pt>
                <c:pt idx="477">
                  <c:v>6.72</c:v>
                </c:pt>
                <c:pt idx="478">
                  <c:v>6.8</c:v>
                </c:pt>
                <c:pt idx="479">
                  <c:v>8.1999999999999993</c:v>
                </c:pt>
                <c:pt idx="480">
                  <c:v>13.9</c:v>
                </c:pt>
                <c:pt idx="481">
                  <c:v>15.7</c:v>
                </c:pt>
                <c:pt idx="482">
                  <c:v>16.3</c:v>
                </c:pt>
                <c:pt idx="483">
                  <c:v>18.7</c:v>
                </c:pt>
                <c:pt idx="484">
                  <c:v>22.4</c:v>
                </c:pt>
                <c:pt idx="485">
                  <c:v>23.1</c:v>
                </c:pt>
                <c:pt idx="486">
                  <c:v>25.7</c:v>
                </c:pt>
                <c:pt idx="487">
                  <c:v>25.7</c:v>
                </c:pt>
                <c:pt idx="488">
                  <c:v>27.3</c:v>
                </c:pt>
                <c:pt idx="489">
                  <c:v>30</c:v>
                </c:pt>
                <c:pt idx="490">
                  <c:v>31</c:v>
                </c:pt>
                <c:pt idx="491">
                  <c:v>31</c:v>
                </c:pt>
                <c:pt idx="492">
                  <c:v>34.1</c:v>
                </c:pt>
                <c:pt idx="493">
                  <c:v>34.1</c:v>
                </c:pt>
                <c:pt idx="494">
                  <c:v>46.2</c:v>
                </c:pt>
                <c:pt idx="495">
                  <c:v>48.7</c:v>
                </c:pt>
                <c:pt idx="496">
                  <c:v>96</c:v>
                </c:pt>
                <c:pt idx="497">
                  <c:v>38.909999999999997</c:v>
                </c:pt>
                <c:pt idx="498">
                  <c:v>42.79</c:v>
                </c:pt>
                <c:pt idx="499">
                  <c:v>42.74</c:v>
                </c:pt>
                <c:pt idx="500">
                  <c:v>42.77</c:v>
                </c:pt>
                <c:pt idx="501">
                  <c:v>10</c:v>
                </c:pt>
                <c:pt idx="502">
                  <c:v>19.100000000000001</c:v>
                </c:pt>
                <c:pt idx="503">
                  <c:v>15</c:v>
                </c:pt>
                <c:pt idx="504">
                  <c:v>15</c:v>
                </c:pt>
                <c:pt idx="505">
                  <c:v>51</c:v>
                </c:pt>
                <c:pt idx="506">
                  <c:v>14.6</c:v>
                </c:pt>
                <c:pt idx="507">
                  <c:v>34.700000000000003</c:v>
                </c:pt>
                <c:pt idx="508">
                  <c:v>47</c:v>
                </c:pt>
                <c:pt idx="509">
                  <c:v>56.81</c:v>
                </c:pt>
                <c:pt idx="510">
                  <c:v>8.3699999999999992</c:v>
                </c:pt>
                <c:pt idx="511">
                  <c:v>31</c:v>
                </c:pt>
                <c:pt idx="512">
                  <c:v>31</c:v>
                </c:pt>
                <c:pt idx="513">
                  <c:v>9.6</c:v>
                </c:pt>
                <c:pt idx="514">
                  <c:v>60.9</c:v>
                </c:pt>
                <c:pt idx="515">
                  <c:v>68.2</c:v>
                </c:pt>
                <c:pt idx="516">
                  <c:v>47</c:v>
                </c:pt>
                <c:pt idx="517">
                  <c:v>71.599999999999994</c:v>
                </c:pt>
                <c:pt idx="518">
                  <c:v>13.9</c:v>
                </c:pt>
                <c:pt idx="519">
                  <c:v>17.899999999999999</c:v>
                </c:pt>
              </c:numCache>
            </c:numRef>
          </c:xVal>
          <c:yVal>
            <c:numRef>
              <c:f>Sheet39!$C$2:$C$527</c:f>
              <c:numCache>
                <c:formatCode>General</c:formatCode>
                <c:ptCount val="520"/>
                <c:pt idx="0">
                  <c:v>50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105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113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125</c:v>
                </c:pt>
                <c:pt idx="21">
                  <c:v>125</c:v>
                </c:pt>
                <c:pt idx="22">
                  <c:v>125</c:v>
                </c:pt>
                <c:pt idx="23">
                  <c:v>125</c:v>
                </c:pt>
                <c:pt idx="24">
                  <c:v>125</c:v>
                </c:pt>
                <c:pt idx="25">
                  <c:v>125</c:v>
                </c:pt>
                <c:pt idx="26">
                  <c:v>130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152</c:v>
                </c:pt>
                <c:pt idx="53">
                  <c:v>155</c:v>
                </c:pt>
                <c:pt idx="54">
                  <c:v>160</c:v>
                </c:pt>
                <c:pt idx="55">
                  <c:v>160</c:v>
                </c:pt>
                <c:pt idx="56">
                  <c:v>170</c:v>
                </c:pt>
                <c:pt idx="57">
                  <c:v>170</c:v>
                </c:pt>
                <c:pt idx="58">
                  <c:v>170</c:v>
                </c:pt>
                <c:pt idx="59">
                  <c:v>170</c:v>
                </c:pt>
                <c:pt idx="60">
                  <c:v>170</c:v>
                </c:pt>
                <c:pt idx="61">
                  <c:v>180</c:v>
                </c:pt>
                <c:pt idx="62">
                  <c:v>180</c:v>
                </c:pt>
                <c:pt idx="63">
                  <c:v>180</c:v>
                </c:pt>
                <c:pt idx="64">
                  <c:v>180</c:v>
                </c:pt>
                <c:pt idx="65">
                  <c:v>188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196.1</c:v>
                </c:pt>
                <c:pt idx="72">
                  <c:v>197</c:v>
                </c:pt>
                <c:pt idx="73">
                  <c:v>197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200</c:v>
                </c:pt>
                <c:pt idx="111">
                  <c:v>200</c:v>
                </c:pt>
                <c:pt idx="112">
                  <c:v>200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205</c:v>
                </c:pt>
                <c:pt idx="125">
                  <c:v>215</c:v>
                </c:pt>
                <c:pt idx="126">
                  <c:v>216</c:v>
                </c:pt>
                <c:pt idx="127">
                  <c:v>220</c:v>
                </c:pt>
                <c:pt idx="128">
                  <c:v>220</c:v>
                </c:pt>
                <c:pt idx="129">
                  <c:v>220</c:v>
                </c:pt>
                <c:pt idx="130">
                  <c:v>220</c:v>
                </c:pt>
                <c:pt idx="131">
                  <c:v>220</c:v>
                </c:pt>
                <c:pt idx="132">
                  <c:v>220</c:v>
                </c:pt>
                <c:pt idx="133">
                  <c:v>220</c:v>
                </c:pt>
                <c:pt idx="134">
                  <c:v>220</c:v>
                </c:pt>
                <c:pt idx="135">
                  <c:v>225</c:v>
                </c:pt>
                <c:pt idx="136">
                  <c:v>225</c:v>
                </c:pt>
                <c:pt idx="137">
                  <c:v>225</c:v>
                </c:pt>
                <c:pt idx="138">
                  <c:v>225</c:v>
                </c:pt>
                <c:pt idx="139">
                  <c:v>225</c:v>
                </c:pt>
                <c:pt idx="140">
                  <c:v>225</c:v>
                </c:pt>
                <c:pt idx="141">
                  <c:v>225</c:v>
                </c:pt>
                <c:pt idx="142">
                  <c:v>225</c:v>
                </c:pt>
                <c:pt idx="143">
                  <c:v>230</c:v>
                </c:pt>
                <c:pt idx="144">
                  <c:v>230</c:v>
                </c:pt>
                <c:pt idx="145">
                  <c:v>230</c:v>
                </c:pt>
                <c:pt idx="146">
                  <c:v>230</c:v>
                </c:pt>
                <c:pt idx="147">
                  <c:v>240</c:v>
                </c:pt>
                <c:pt idx="148">
                  <c:v>240</c:v>
                </c:pt>
                <c:pt idx="149">
                  <c:v>240</c:v>
                </c:pt>
                <c:pt idx="150">
                  <c:v>240</c:v>
                </c:pt>
                <c:pt idx="151">
                  <c:v>240</c:v>
                </c:pt>
                <c:pt idx="152">
                  <c:v>240</c:v>
                </c:pt>
                <c:pt idx="153">
                  <c:v>240</c:v>
                </c:pt>
                <c:pt idx="154">
                  <c:v>240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255</c:v>
                </c:pt>
                <c:pt idx="233">
                  <c:v>255</c:v>
                </c:pt>
                <c:pt idx="234">
                  <c:v>255</c:v>
                </c:pt>
                <c:pt idx="235">
                  <c:v>255</c:v>
                </c:pt>
                <c:pt idx="236">
                  <c:v>257</c:v>
                </c:pt>
                <c:pt idx="237">
                  <c:v>260</c:v>
                </c:pt>
                <c:pt idx="238">
                  <c:v>260</c:v>
                </c:pt>
                <c:pt idx="239">
                  <c:v>260</c:v>
                </c:pt>
                <c:pt idx="240">
                  <c:v>260</c:v>
                </c:pt>
                <c:pt idx="241">
                  <c:v>260</c:v>
                </c:pt>
                <c:pt idx="242">
                  <c:v>260</c:v>
                </c:pt>
                <c:pt idx="243">
                  <c:v>265</c:v>
                </c:pt>
                <c:pt idx="244">
                  <c:v>270</c:v>
                </c:pt>
                <c:pt idx="245">
                  <c:v>270</c:v>
                </c:pt>
                <c:pt idx="246">
                  <c:v>270</c:v>
                </c:pt>
                <c:pt idx="247">
                  <c:v>280</c:v>
                </c:pt>
                <c:pt idx="248">
                  <c:v>280</c:v>
                </c:pt>
                <c:pt idx="249">
                  <c:v>280</c:v>
                </c:pt>
                <c:pt idx="250">
                  <c:v>280</c:v>
                </c:pt>
                <c:pt idx="251">
                  <c:v>280</c:v>
                </c:pt>
                <c:pt idx="252">
                  <c:v>280</c:v>
                </c:pt>
                <c:pt idx="253">
                  <c:v>280</c:v>
                </c:pt>
                <c:pt idx="254">
                  <c:v>285</c:v>
                </c:pt>
                <c:pt idx="255">
                  <c:v>290</c:v>
                </c:pt>
                <c:pt idx="256">
                  <c:v>290</c:v>
                </c:pt>
                <c:pt idx="257">
                  <c:v>290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303</c:v>
                </c:pt>
                <c:pt idx="358">
                  <c:v>310</c:v>
                </c:pt>
                <c:pt idx="359">
                  <c:v>310</c:v>
                </c:pt>
                <c:pt idx="360">
                  <c:v>310</c:v>
                </c:pt>
                <c:pt idx="361">
                  <c:v>315</c:v>
                </c:pt>
                <c:pt idx="362">
                  <c:v>315</c:v>
                </c:pt>
                <c:pt idx="363">
                  <c:v>315</c:v>
                </c:pt>
                <c:pt idx="364">
                  <c:v>320</c:v>
                </c:pt>
                <c:pt idx="365">
                  <c:v>330</c:v>
                </c:pt>
                <c:pt idx="366">
                  <c:v>335</c:v>
                </c:pt>
                <c:pt idx="367">
                  <c:v>340</c:v>
                </c:pt>
                <c:pt idx="368">
                  <c:v>340</c:v>
                </c:pt>
                <c:pt idx="369">
                  <c:v>340</c:v>
                </c:pt>
                <c:pt idx="370">
                  <c:v>340</c:v>
                </c:pt>
                <c:pt idx="371">
                  <c:v>350</c:v>
                </c:pt>
                <c:pt idx="372">
                  <c:v>350</c:v>
                </c:pt>
                <c:pt idx="373">
                  <c:v>350</c:v>
                </c:pt>
                <c:pt idx="374">
                  <c:v>350</c:v>
                </c:pt>
                <c:pt idx="375">
                  <c:v>350</c:v>
                </c:pt>
                <c:pt idx="376">
                  <c:v>350</c:v>
                </c:pt>
                <c:pt idx="377">
                  <c:v>350</c:v>
                </c:pt>
                <c:pt idx="378">
                  <c:v>350</c:v>
                </c:pt>
                <c:pt idx="379">
                  <c:v>350</c:v>
                </c:pt>
                <c:pt idx="380">
                  <c:v>350</c:v>
                </c:pt>
                <c:pt idx="381">
                  <c:v>350</c:v>
                </c:pt>
                <c:pt idx="382">
                  <c:v>350</c:v>
                </c:pt>
                <c:pt idx="383">
                  <c:v>350</c:v>
                </c:pt>
                <c:pt idx="384">
                  <c:v>350</c:v>
                </c:pt>
                <c:pt idx="385">
                  <c:v>350</c:v>
                </c:pt>
                <c:pt idx="386">
                  <c:v>350</c:v>
                </c:pt>
                <c:pt idx="387">
                  <c:v>350</c:v>
                </c:pt>
                <c:pt idx="388">
                  <c:v>350</c:v>
                </c:pt>
                <c:pt idx="389">
                  <c:v>350</c:v>
                </c:pt>
                <c:pt idx="390">
                  <c:v>350</c:v>
                </c:pt>
                <c:pt idx="391">
                  <c:v>350</c:v>
                </c:pt>
                <c:pt idx="392">
                  <c:v>350</c:v>
                </c:pt>
                <c:pt idx="393">
                  <c:v>350</c:v>
                </c:pt>
                <c:pt idx="394">
                  <c:v>350</c:v>
                </c:pt>
                <c:pt idx="395">
                  <c:v>350</c:v>
                </c:pt>
                <c:pt idx="396">
                  <c:v>350</c:v>
                </c:pt>
                <c:pt idx="397">
                  <c:v>350</c:v>
                </c:pt>
                <c:pt idx="398">
                  <c:v>350</c:v>
                </c:pt>
                <c:pt idx="399">
                  <c:v>350</c:v>
                </c:pt>
                <c:pt idx="400">
                  <c:v>350</c:v>
                </c:pt>
                <c:pt idx="401">
                  <c:v>350</c:v>
                </c:pt>
                <c:pt idx="402">
                  <c:v>350</c:v>
                </c:pt>
                <c:pt idx="403">
                  <c:v>350</c:v>
                </c:pt>
                <c:pt idx="404">
                  <c:v>350</c:v>
                </c:pt>
                <c:pt idx="405">
                  <c:v>350</c:v>
                </c:pt>
                <c:pt idx="406">
                  <c:v>350</c:v>
                </c:pt>
                <c:pt idx="407">
                  <c:v>350</c:v>
                </c:pt>
                <c:pt idx="408">
                  <c:v>350</c:v>
                </c:pt>
                <c:pt idx="409">
                  <c:v>350</c:v>
                </c:pt>
                <c:pt idx="410">
                  <c:v>350</c:v>
                </c:pt>
                <c:pt idx="411">
                  <c:v>350</c:v>
                </c:pt>
                <c:pt idx="412">
                  <c:v>350</c:v>
                </c:pt>
                <c:pt idx="413">
                  <c:v>350</c:v>
                </c:pt>
                <c:pt idx="414">
                  <c:v>350</c:v>
                </c:pt>
                <c:pt idx="415">
                  <c:v>350</c:v>
                </c:pt>
                <c:pt idx="416">
                  <c:v>350</c:v>
                </c:pt>
                <c:pt idx="417">
                  <c:v>350</c:v>
                </c:pt>
                <c:pt idx="418">
                  <c:v>350</c:v>
                </c:pt>
                <c:pt idx="419">
                  <c:v>355</c:v>
                </c:pt>
                <c:pt idx="420">
                  <c:v>360</c:v>
                </c:pt>
                <c:pt idx="421">
                  <c:v>365</c:v>
                </c:pt>
                <c:pt idx="422">
                  <c:v>370</c:v>
                </c:pt>
                <c:pt idx="423">
                  <c:v>370</c:v>
                </c:pt>
                <c:pt idx="424">
                  <c:v>375</c:v>
                </c:pt>
                <c:pt idx="425">
                  <c:v>375</c:v>
                </c:pt>
                <c:pt idx="426">
                  <c:v>380</c:v>
                </c:pt>
                <c:pt idx="427">
                  <c:v>380</c:v>
                </c:pt>
                <c:pt idx="428">
                  <c:v>380</c:v>
                </c:pt>
                <c:pt idx="429">
                  <c:v>390</c:v>
                </c:pt>
                <c:pt idx="430">
                  <c:v>390</c:v>
                </c:pt>
                <c:pt idx="431">
                  <c:v>390</c:v>
                </c:pt>
                <c:pt idx="432">
                  <c:v>390</c:v>
                </c:pt>
                <c:pt idx="433">
                  <c:v>390</c:v>
                </c:pt>
                <c:pt idx="434">
                  <c:v>392.2</c:v>
                </c:pt>
                <c:pt idx="435">
                  <c:v>392.2</c:v>
                </c:pt>
                <c:pt idx="436">
                  <c:v>400</c:v>
                </c:pt>
                <c:pt idx="437">
                  <c:v>400</c:v>
                </c:pt>
                <c:pt idx="438">
                  <c:v>400</c:v>
                </c:pt>
                <c:pt idx="439">
                  <c:v>400</c:v>
                </c:pt>
                <c:pt idx="440">
                  <c:v>400</c:v>
                </c:pt>
                <c:pt idx="441">
                  <c:v>400</c:v>
                </c:pt>
                <c:pt idx="442">
                  <c:v>400</c:v>
                </c:pt>
                <c:pt idx="443">
                  <c:v>400</c:v>
                </c:pt>
                <c:pt idx="444">
                  <c:v>400</c:v>
                </c:pt>
                <c:pt idx="445">
                  <c:v>400</c:v>
                </c:pt>
                <c:pt idx="446">
                  <c:v>400</c:v>
                </c:pt>
                <c:pt idx="447">
                  <c:v>400</c:v>
                </c:pt>
                <c:pt idx="448">
                  <c:v>400</c:v>
                </c:pt>
                <c:pt idx="449">
                  <c:v>400</c:v>
                </c:pt>
                <c:pt idx="450">
                  <c:v>400</c:v>
                </c:pt>
                <c:pt idx="451">
                  <c:v>400</c:v>
                </c:pt>
                <c:pt idx="452">
                  <c:v>400</c:v>
                </c:pt>
                <c:pt idx="453">
                  <c:v>400</c:v>
                </c:pt>
                <c:pt idx="454">
                  <c:v>400</c:v>
                </c:pt>
                <c:pt idx="455">
                  <c:v>400</c:v>
                </c:pt>
                <c:pt idx="456">
                  <c:v>400</c:v>
                </c:pt>
                <c:pt idx="457">
                  <c:v>400</c:v>
                </c:pt>
                <c:pt idx="458">
                  <c:v>400</c:v>
                </c:pt>
                <c:pt idx="459">
                  <c:v>400</c:v>
                </c:pt>
                <c:pt idx="460">
                  <c:v>400</c:v>
                </c:pt>
                <c:pt idx="461">
                  <c:v>400</c:v>
                </c:pt>
                <c:pt idx="462">
                  <c:v>400</c:v>
                </c:pt>
                <c:pt idx="463">
                  <c:v>400</c:v>
                </c:pt>
                <c:pt idx="464">
                  <c:v>400</c:v>
                </c:pt>
                <c:pt idx="465">
                  <c:v>400</c:v>
                </c:pt>
                <c:pt idx="466">
                  <c:v>400</c:v>
                </c:pt>
                <c:pt idx="467">
                  <c:v>400</c:v>
                </c:pt>
                <c:pt idx="468">
                  <c:v>400</c:v>
                </c:pt>
                <c:pt idx="469">
                  <c:v>403</c:v>
                </c:pt>
                <c:pt idx="470">
                  <c:v>405</c:v>
                </c:pt>
                <c:pt idx="471">
                  <c:v>405</c:v>
                </c:pt>
                <c:pt idx="472">
                  <c:v>410</c:v>
                </c:pt>
                <c:pt idx="473">
                  <c:v>430</c:v>
                </c:pt>
                <c:pt idx="474">
                  <c:v>430</c:v>
                </c:pt>
                <c:pt idx="475">
                  <c:v>440</c:v>
                </c:pt>
                <c:pt idx="476">
                  <c:v>450</c:v>
                </c:pt>
                <c:pt idx="477">
                  <c:v>450</c:v>
                </c:pt>
                <c:pt idx="478">
                  <c:v>450</c:v>
                </c:pt>
                <c:pt idx="479">
                  <c:v>450</c:v>
                </c:pt>
                <c:pt idx="480">
                  <c:v>450</c:v>
                </c:pt>
                <c:pt idx="481">
                  <c:v>450</c:v>
                </c:pt>
                <c:pt idx="482">
                  <c:v>450</c:v>
                </c:pt>
                <c:pt idx="483">
                  <c:v>450</c:v>
                </c:pt>
                <c:pt idx="484">
                  <c:v>450</c:v>
                </c:pt>
                <c:pt idx="485">
                  <c:v>450</c:v>
                </c:pt>
                <c:pt idx="486">
                  <c:v>450</c:v>
                </c:pt>
                <c:pt idx="487">
                  <c:v>450</c:v>
                </c:pt>
                <c:pt idx="488">
                  <c:v>450</c:v>
                </c:pt>
                <c:pt idx="489">
                  <c:v>450</c:v>
                </c:pt>
                <c:pt idx="490">
                  <c:v>450</c:v>
                </c:pt>
                <c:pt idx="491">
                  <c:v>450</c:v>
                </c:pt>
                <c:pt idx="492">
                  <c:v>450</c:v>
                </c:pt>
                <c:pt idx="493">
                  <c:v>450</c:v>
                </c:pt>
                <c:pt idx="494">
                  <c:v>450</c:v>
                </c:pt>
                <c:pt idx="495">
                  <c:v>450</c:v>
                </c:pt>
                <c:pt idx="496">
                  <c:v>450</c:v>
                </c:pt>
                <c:pt idx="497">
                  <c:v>455</c:v>
                </c:pt>
                <c:pt idx="498">
                  <c:v>455</c:v>
                </c:pt>
                <c:pt idx="499">
                  <c:v>460</c:v>
                </c:pt>
                <c:pt idx="500">
                  <c:v>460</c:v>
                </c:pt>
                <c:pt idx="501">
                  <c:v>475</c:v>
                </c:pt>
                <c:pt idx="502">
                  <c:v>475</c:v>
                </c:pt>
                <c:pt idx="503">
                  <c:v>480</c:v>
                </c:pt>
                <c:pt idx="504">
                  <c:v>480</c:v>
                </c:pt>
                <c:pt idx="505">
                  <c:v>480</c:v>
                </c:pt>
                <c:pt idx="506">
                  <c:v>500</c:v>
                </c:pt>
                <c:pt idx="507">
                  <c:v>500</c:v>
                </c:pt>
                <c:pt idx="508">
                  <c:v>500</c:v>
                </c:pt>
                <c:pt idx="509">
                  <c:v>500</c:v>
                </c:pt>
                <c:pt idx="510">
                  <c:v>515</c:v>
                </c:pt>
                <c:pt idx="511">
                  <c:v>550</c:v>
                </c:pt>
                <c:pt idx="512">
                  <c:v>550</c:v>
                </c:pt>
                <c:pt idx="513">
                  <c:v>575</c:v>
                </c:pt>
                <c:pt idx="514">
                  <c:v>575</c:v>
                </c:pt>
                <c:pt idx="515">
                  <c:v>580</c:v>
                </c:pt>
                <c:pt idx="516">
                  <c:v>600</c:v>
                </c:pt>
                <c:pt idx="517">
                  <c:v>620</c:v>
                </c:pt>
                <c:pt idx="518">
                  <c:v>650</c:v>
                </c:pt>
                <c:pt idx="519">
                  <c:v>650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F-40F3-B77B-ECD1460B1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700393"/>
        <c:axId val="605014453"/>
      </c:scatterChart>
      <c:valAx>
        <c:axId val="9047003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Flow L/s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5014453"/>
        <c:crosses val="autoZero"/>
        <c:crossBetween val="midCat"/>
      </c:valAx>
      <c:valAx>
        <c:axId val="605014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Head 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470039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123825</xdr:colOff>
      <xdr:row>4</xdr:row>
      <xdr:rowOff>0</xdr:rowOff>
    </xdr:from>
    <xdr:ext cx="9496425" cy="50101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9496425" cy="50101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K218">
  <tableColumns count="11">
    <tableColumn id="1" xr3:uid="{00000000-0010-0000-0100-000001000000}" name="Part Number"/>
    <tableColumn id="2" xr3:uid="{00000000-0010-0000-0100-000002000000}" name="Name"/>
    <tableColumn id="3" xr3:uid="{00000000-0010-0000-0100-000003000000}" name="Pump _x000a_ LIST"/>
    <tableColumn id="4" xr3:uid="{00000000-0010-0000-0100-000004000000}" name="Poles"/>
    <tableColumn id="5" xr3:uid="{00000000-0010-0000-0100-000005000000}" name="kW"/>
    <tableColumn id="6" xr3:uid="{00000000-0010-0000-0100-000006000000}" name="MEI"/>
    <tableColumn id="7" xr3:uid="{00000000-0010-0000-0100-000007000000}" name="Weight (kg)"/>
    <tableColumn id="8" xr3:uid="{00000000-0010-0000-0100-000008000000}" name="Length (mm)"/>
    <tableColumn id="9" xr3:uid="{00000000-0010-0000-0100-000009000000}" name="Width (mm)"/>
    <tableColumn id="10" xr3:uid="{00000000-0010-0000-0100-00000A000000}" name="Height (mm)"/>
    <tableColumn id="11" xr3:uid="{00000000-0010-0000-0100-00000B000000}" name="Required Weight"/>
  </tableColumns>
  <tableStyleInfo name="NBG Detai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cdn.shopify.com/s/files/1/0628/0236/2623/files/Datasheet_CD_-_May_2024.pdf?v=1715917362" TargetMode="External"/><Relationship Id="rId1" Type="http://schemas.openxmlformats.org/officeDocument/2006/relationships/hyperlink" Target="https://cdn.shopify.com/s/files/1/0628/0236/2623/files/Datasheet_C_-_March_2018_dc2e71f5-405e-4adb-9f25-b90c09ee0d6b.pdf?v=171591734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cdn.shopify.com/s/files/1/0628/0236/2623/files/Datasheet_CD_-_May_2024.pdf?v=1715917362" TargetMode="External"/><Relationship Id="rId1" Type="http://schemas.openxmlformats.org/officeDocument/2006/relationships/hyperlink" Target="https://cdn.shopify.com/s/files/1/0628/0236/2623/files/Datasheet_C_-_March_2018_dc2e71f5-405e-4adb-9f25-b90c09ee0d6b.pdf?v=1715917344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shopify.com/s/files/1/0628/0236/2623/files/Datasheet_NR_-_March_2018_4fecea18-0660-4233-9ebf-a5529e5c3d98.pdf?v=1708035255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duct-selection.grundfos.com/au/products/nbg-nbge/nbg/nbg-80-65-160175-99801305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31"/>
  <sheetViews>
    <sheetView workbookViewId="0"/>
  </sheetViews>
  <sheetFormatPr defaultColWidth="12.5703125" defaultRowHeight="15.75" customHeight="1"/>
  <cols>
    <col min="2" max="2" width="17.28515625" customWidth="1"/>
    <col min="3" max="3" width="85.7109375" customWidth="1"/>
  </cols>
  <sheetData>
    <row r="1" spans="1:4">
      <c r="A1" s="27" t="s">
        <v>14</v>
      </c>
      <c r="B1" s="28" t="s">
        <v>15</v>
      </c>
      <c r="C1" s="29" t="s">
        <v>16</v>
      </c>
      <c r="D1" s="30" t="s">
        <v>17</v>
      </c>
    </row>
    <row r="2" spans="1:4">
      <c r="A2" s="7" t="s">
        <v>10</v>
      </c>
      <c r="B2" s="1" t="s">
        <v>18</v>
      </c>
      <c r="C2" s="7" t="s">
        <v>19</v>
      </c>
      <c r="D2" s="1">
        <v>6</v>
      </c>
    </row>
    <row r="3" spans="1:4">
      <c r="A3" s="7" t="s">
        <v>10</v>
      </c>
      <c r="B3" s="1" t="s">
        <v>20</v>
      </c>
      <c r="C3" s="7" t="s">
        <v>21</v>
      </c>
      <c r="D3" s="1">
        <v>6</v>
      </c>
    </row>
    <row r="4" spans="1:4">
      <c r="A4" s="7" t="s">
        <v>10</v>
      </c>
      <c r="B4" s="1" t="s">
        <v>22</v>
      </c>
      <c r="C4" s="7" t="s">
        <v>23</v>
      </c>
      <c r="D4" s="1">
        <v>4</v>
      </c>
    </row>
    <row r="5" spans="1:4">
      <c r="A5" s="7" t="s">
        <v>10</v>
      </c>
      <c r="B5" s="1" t="s">
        <v>24</v>
      </c>
      <c r="C5" s="7" t="s">
        <v>25</v>
      </c>
      <c r="D5" s="1">
        <v>4</v>
      </c>
    </row>
    <row r="6" spans="1:4">
      <c r="A6" s="7" t="s">
        <v>10</v>
      </c>
      <c r="B6" s="1">
        <v>99655815</v>
      </c>
      <c r="C6" s="7" t="s">
        <v>26</v>
      </c>
      <c r="D6" s="1">
        <v>3</v>
      </c>
    </row>
    <row r="7" spans="1:4">
      <c r="A7" s="7" t="s">
        <v>10</v>
      </c>
      <c r="B7" s="1">
        <v>92959623</v>
      </c>
      <c r="C7" s="7" t="s">
        <v>27</v>
      </c>
      <c r="D7" s="1">
        <v>2</v>
      </c>
    </row>
    <row r="8" spans="1:4">
      <c r="A8" s="7" t="s">
        <v>10</v>
      </c>
      <c r="B8" s="1">
        <v>96516172</v>
      </c>
      <c r="C8" s="7" t="s">
        <v>28</v>
      </c>
      <c r="D8" s="1">
        <v>2</v>
      </c>
    </row>
    <row r="9" spans="1:4">
      <c r="A9" s="7" t="s">
        <v>10</v>
      </c>
      <c r="B9" s="1">
        <v>96516173</v>
      </c>
      <c r="C9" s="7" t="s">
        <v>29</v>
      </c>
      <c r="D9" s="1">
        <v>2</v>
      </c>
    </row>
    <row r="10" spans="1:4">
      <c r="A10" s="7" t="s">
        <v>10</v>
      </c>
      <c r="B10" s="1" t="s">
        <v>30</v>
      </c>
      <c r="C10" s="7" t="s">
        <v>31</v>
      </c>
      <c r="D10" s="1">
        <v>2</v>
      </c>
    </row>
    <row r="11" spans="1:4">
      <c r="A11" s="7" t="s">
        <v>10</v>
      </c>
      <c r="B11" s="1" t="s">
        <v>32</v>
      </c>
      <c r="C11" s="7" t="s">
        <v>33</v>
      </c>
      <c r="D11" s="1">
        <v>2</v>
      </c>
    </row>
    <row r="12" spans="1:4">
      <c r="A12" s="7" t="s">
        <v>10</v>
      </c>
      <c r="B12" s="1" t="s">
        <v>34</v>
      </c>
      <c r="C12" s="7" t="s">
        <v>35</v>
      </c>
      <c r="D12" s="1">
        <v>2</v>
      </c>
    </row>
    <row r="13" spans="1:4">
      <c r="A13" s="7" t="s">
        <v>10</v>
      </c>
      <c r="B13" s="1" t="s">
        <v>36</v>
      </c>
      <c r="C13" s="7" t="s">
        <v>37</v>
      </c>
      <c r="D13" s="1">
        <v>2</v>
      </c>
    </row>
    <row r="14" spans="1:4">
      <c r="A14" s="7" t="s">
        <v>10</v>
      </c>
      <c r="B14" s="1" t="s">
        <v>38</v>
      </c>
      <c r="C14" s="7" t="s">
        <v>39</v>
      </c>
      <c r="D14" s="1">
        <v>2</v>
      </c>
    </row>
    <row r="15" spans="1:4">
      <c r="A15" s="7" t="s">
        <v>10</v>
      </c>
      <c r="B15" s="1" t="s">
        <v>40</v>
      </c>
      <c r="C15" s="7" t="s">
        <v>41</v>
      </c>
      <c r="D15" s="1">
        <v>2</v>
      </c>
    </row>
    <row r="16" spans="1:4">
      <c r="A16" s="7" t="s">
        <v>10</v>
      </c>
      <c r="B16" s="1" t="s">
        <v>42</v>
      </c>
      <c r="C16" s="7" t="s">
        <v>43</v>
      </c>
      <c r="D16" s="1">
        <v>2</v>
      </c>
    </row>
    <row r="17" spans="1:4">
      <c r="A17" s="7" t="s">
        <v>10</v>
      </c>
      <c r="B17" s="1" t="s">
        <v>44</v>
      </c>
      <c r="C17" s="7" t="s">
        <v>45</v>
      </c>
      <c r="D17" s="1">
        <v>2</v>
      </c>
    </row>
    <row r="18" spans="1:4">
      <c r="A18" s="7" t="s">
        <v>10</v>
      </c>
      <c r="B18" s="1" t="s">
        <v>46</v>
      </c>
      <c r="C18" s="7" t="s">
        <v>47</v>
      </c>
      <c r="D18" s="1">
        <v>2</v>
      </c>
    </row>
    <row r="19" spans="1:4">
      <c r="A19" s="7" t="s">
        <v>10</v>
      </c>
      <c r="B19" s="1" t="s">
        <v>48</v>
      </c>
      <c r="C19" s="7" t="s">
        <v>49</v>
      </c>
      <c r="D19" s="1">
        <v>2</v>
      </c>
    </row>
    <row r="20" spans="1:4">
      <c r="A20" s="7" t="s">
        <v>10</v>
      </c>
      <c r="B20" s="1">
        <v>92900972</v>
      </c>
      <c r="C20" s="7" t="s">
        <v>50</v>
      </c>
      <c r="D20" s="1">
        <v>1</v>
      </c>
    </row>
    <row r="21" spans="1:4">
      <c r="A21" s="7" t="s">
        <v>10</v>
      </c>
      <c r="B21" s="1">
        <v>96122799</v>
      </c>
      <c r="C21" s="7" t="s">
        <v>51</v>
      </c>
      <c r="D21" s="1">
        <v>1</v>
      </c>
    </row>
    <row r="22" spans="1:4">
      <c r="A22" s="7" t="s">
        <v>10</v>
      </c>
      <c r="B22" s="1">
        <v>96511750</v>
      </c>
      <c r="C22" s="7" t="s">
        <v>52</v>
      </c>
      <c r="D22" s="1">
        <v>1</v>
      </c>
    </row>
    <row r="23" spans="1:4">
      <c r="A23" s="7" t="s">
        <v>10</v>
      </c>
      <c r="B23" s="1">
        <v>96515647</v>
      </c>
      <c r="C23" s="7" t="s">
        <v>53</v>
      </c>
      <c r="D23" s="1">
        <v>1</v>
      </c>
    </row>
    <row r="24" spans="1:4">
      <c r="A24" s="7" t="s">
        <v>10</v>
      </c>
      <c r="B24" s="1">
        <v>96515649</v>
      </c>
      <c r="C24" s="7" t="s">
        <v>54</v>
      </c>
      <c r="D24" s="1">
        <v>1</v>
      </c>
    </row>
    <row r="25" spans="1:4">
      <c r="A25" s="7" t="s">
        <v>10</v>
      </c>
      <c r="B25" s="1">
        <v>99237436</v>
      </c>
      <c r="C25" s="7" t="s">
        <v>55</v>
      </c>
      <c r="D25" s="1">
        <v>1</v>
      </c>
    </row>
    <row r="26" spans="1:4">
      <c r="A26" s="7" t="s">
        <v>10</v>
      </c>
      <c r="B26" s="1">
        <v>99237443</v>
      </c>
      <c r="C26" s="7" t="s">
        <v>56</v>
      </c>
      <c r="D26" s="1">
        <v>1</v>
      </c>
    </row>
    <row r="27" spans="1:4">
      <c r="A27" s="7" t="s">
        <v>10</v>
      </c>
      <c r="B27" s="1">
        <v>99237456</v>
      </c>
      <c r="C27" s="7" t="s">
        <v>57</v>
      </c>
      <c r="D27" s="1">
        <v>1</v>
      </c>
    </row>
    <row r="28" spans="1:4">
      <c r="A28" s="7" t="s">
        <v>10</v>
      </c>
      <c r="B28" s="1">
        <v>99237528</v>
      </c>
      <c r="C28" s="7" t="s">
        <v>58</v>
      </c>
      <c r="D28" s="1">
        <v>1</v>
      </c>
    </row>
    <row r="29" spans="1:4">
      <c r="A29" s="7" t="s">
        <v>10</v>
      </c>
      <c r="B29" s="1" t="s">
        <v>59</v>
      </c>
      <c r="C29" s="7" t="s">
        <v>60</v>
      </c>
      <c r="D29" s="1">
        <v>1</v>
      </c>
    </row>
    <row r="30" spans="1:4">
      <c r="A30" s="7" t="s">
        <v>10</v>
      </c>
      <c r="B30" s="1" t="s">
        <v>61</v>
      </c>
      <c r="C30" s="7" t="s">
        <v>62</v>
      </c>
      <c r="D30" s="1">
        <v>1</v>
      </c>
    </row>
    <row r="31" spans="1:4">
      <c r="A31" s="7" t="s">
        <v>10</v>
      </c>
      <c r="B31" s="1" t="s">
        <v>63</v>
      </c>
      <c r="C31" s="7" t="s">
        <v>64</v>
      </c>
      <c r="D31" s="1">
        <v>1</v>
      </c>
    </row>
  </sheetData>
  <autoFilter ref="A1:D993" xr:uid="{00000000-0009-0000-0000-000004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G1000"/>
  <sheetViews>
    <sheetView workbookViewId="0">
      <pane ySplit="1" topLeftCell="A29" activePane="bottomLeft" state="frozen"/>
      <selection pane="bottomLeft" activeCell="X1" sqref="X1:X1048576"/>
    </sheetView>
  </sheetViews>
  <sheetFormatPr defaultColWidth="12.5703125" defaultRowHeight="15.75" customHeight="1"/>
  <cols>
    <col min="2" max="2" width="21.140625" customWidth="1"/>
    <col min="6" max="6" width="17.42578125" customWidth="1"/>
  </cols>
  <sheetData>
    <row r="1" spans="1:33" ht="15.75" customHeight="1">
      <c r="A1" s="38" t="s">
        <v>66</v>
      </c>
      <c r="B1" s="38" t="s">
        <v>8</v>
      </c>
      <c r="C1" s="38" t="s">
        <v>68</v>
      </c>
      <c r="D1" s="38" t="s">
        <v>67</v>
      </c>
      <c r="E1" s="38" t="s">
        <v>694</v>
      </c>
      <c r="F1" s="38" t="s">
        <v>695</v>
      </c>
      <c r="G1" s="38" t="s">
        <v>696</v>
      </c>
      <c r="H1" s="38" t="s">
        <v>697</v>
      </c>
      <c r="I1" s="38" t="s">
        <v>698</v>
      </c>
      <c r="J1" s="38" t="s">
        <v>699</v>
      </c>
      <c r="K1" s="38" t="s">
        <v>700</v>
      </c>
      <c r="L1" s="38" t="s">
        <v>701</v>
      </c>
      <c r="M1" s="38" t="s">
        <v>288</v>
      </c>
      <c r="N1" s="38" t="s">
        <v>702</v>
      </c>
      <c r="O1" s="38" t="s">
        <v>703</v>
      </c>
      <c r="P1" s="38" t="s">
        <v>704</v>
      </c>
      <c r="Q1" s="38" t="s">
        <v>705</v>
      </c>
      <c r="R1" s="38" t="s">
        <v>706</v>
      </c>
      <c r="S1" s="38" t="s">
        <v>707</v>
      </c>
      <c r="T1" s="38" t="s">
        <v>708</v>
      </c>
      <c r="U1" s="38" t="s">
        <v>709</v>
      </c>
      <c r="V1" s="38" t="s">
        <v>710</v>
      </c>
      <c r="W1" s="38" t="s">
        <v>711</v>
      </c>
      <c r="X1" s="38" t="s">
        <v>712</v>
      </c>
      <c r="Y1" s="38" t="s">
        <v>713</v>
      </c>
      <c r="Z1" s="38" t="s">
        <v>714</v>
      </c>
      <c r="AA1" s="38" t="s">
        <v>715</v>
      </c>
      <c r="AB1" s="38" t="s">
        <v>0</v>
      </c>
      <c r="AC1" s="38"/>
      <c r="AD1" s="38"/>
      <c r="AE1" s="38"/>
      <c r="AF1" s="38"/>
      <c r="AG1" s="38"/>
    </row>
    <row r="2" spans="1:33" ht="15.75" customHeight="1">
      <c r="A2" s="34">
        <v>99801136</v>
      </c>
      <c r="B2" s="35" t="s">
        <v>192</v>
      </c>
      <c r="C2" s="36">
        <v>22</v>
      </c>
      <c r="D2" s="36">
        <v>2</v>
      </c>
      <c r="E2" s="36">
        <v>98327389</v>
      </c>
      <c r="F2" s="36" t="s">
        <v>2131</v>
      </c>
      <c r="G2" s="36">
        <v>91338018</v>
      </c>
      <c r="H2" s="36" t="s">
        <v>735</v>
      </c>
      <c r="I2" s="36">
        <v>93176762</v>
      </c>
      <c r="J2" s="36" t="s">
        <v>2096</v>
      </c>
      <c r="K2" s="36">
        <v>4</v>
      </c>
      <c r="L2" s="25">
        <v>9151</v>
      </c>
      <c r="M2" s="25">
        <v>4575.5</v>
      </c>
      <c r="N2" s="39"/>
      <c r="O2" s="39"/>
      <c r="P2" s="25"/>
      <c r="Q2" s="25"/>
      <c r="R2" s="25">
        <v>663.42</v>
      </c>
      <c r="S2" s="40">
        <v>284.76</v>
      </c>
      <c r="T2" s="25">
        <v>170.3</v>
      </c>
      <c r="U2" s="25">
        <v>681.2</v>
      </c>
      <c r="V2" s="25">
        <v>668.94</v>
      </c>
      <c r="W2" s="25">
        <v>2675.76</v>
      </c>
      <c r="X2" s="25">
        <v>9151</v>
      </c>
      <c r="Y2" s="25">
        <v>4575.5</v>
      </c>
      <c r="Z2" s="5">
        <v>5920.12</v>
      </c>
      <c r="AA2" s="21">
        <v>7264</v>
      </c>
      <c r="AB2" s="7">
        <v>0.81499999999999995</v>
      </c>
    </row>
    <row r="3" spans="1:33" ht="15.75" customHeight="1">
      <c r="A3" s="34">
        <v>99801135</v>
      </c>
      <c r="B3" s="35" t="s">
        <v>181</v>
      </c>
      <c r="C3" s="36">
        <v>18.5</v>
      </c>
      <c r="D3" s="36">
        <v>2</v>
      </c>
      <c r="E3" s="36">
        <v>98327389</v>
      </c>
      <c r="F3" s="36" t="s">
        <v>2131</v>
      </c>
      <c r="G3" s="36">
        <v>91338018</v>
      </c>
      <c r="H3" s="36" t="s">
        <v>735</v>
      </c>
      <c r="I3" s="36">
        <v>93176762</v>
      </c>
      <c r="J3" s="36" t="s">
        <v>2096</v>
      </c>
      <c r="K3" s="36">
        <v>4</v>
      </c>
      <c r="L3" s="25">
        <v>8227</v>
      </c>
      <c r="M3" s="25">
        <v>4113.5</v>
      </c>
      <c r="N3" s="39"/>
      <c r="O3" s="39"/>
      <c r="P3" s="25"/>
      <c r="Q3" s="25"/>
      <c r="R3" s="25">
        <v>663.42</v>
      </c>
      <c r="S3" s="40">
        <v>284.76</v>
      </c>
      <c r="T3" s="25">
        <v>170.3</v>
      </c>
      <c r="U3" s="25">
        <v>681.2</v>
      </c>
      <c r="V3" s="25">
        <v>668.94</v>
      </c>
      <c r="W3" s="25">
        <v>2675.76</v>
      </c>
      <c r="X3" s="25">
        <v>8227</v>
      </c>
      <c r="Y3" s="25">
        <v>4113.5</v>
      </c>
      <c r="Z3" s="5">
        <v>5458.12</v>
      </c>
      <c r="AA3" s="21">
        <v>6698</v>
      </c>
    </row>
    <row r="4" spans="1:33" ht="15.75" customHeight="1">
      <c r="A4" s="34">
        <v>99796408</v>
      </c>
      <c r="B4" s="35" t="s">
        <v>99</v>
      </c>
      <c r="C4" s="36">
        <v>4</v>
      </c>
      <c r="D4" s="36">
        <v>2</v>
      </c>
      <c r="E4" s="36">
        <v>98336369</v>
      </c>
      <c r="F4" s="36" t="s">
        <v>2130</v>
      </c>
      <c r="G4" s="36">
        <v>92932672</v>
      </c>
      <c r="H4" s="36" t="s">
        <v>2047</v>
      </c>
      <c r="I4" s="36">
        <v>93176749</v>
      </c>
      <c r="J4" s="36" t="s">
        <v>2086</v>
      </c>
      <c r="K4" s="36">
        <v>4</v>
      </c>
      <c r="L4" s="25">
        <v>4233</v>
      </c>
      <c r="M4" s="25">
        <v>2116.5</v>
      </c>
      <c r="N4" s="39"/>
      <c r="O4" s="39"/>
      <c r="P4" s="25">
        <v>380</v>
      </c>
      <c r="Q4" s="25">
        <v>190</v>
      </c>
      <c r="R4" s="25">
        <v>565.52</v>
      </c>
      <c r="S4" s="40">
        <v>284.76</v>
      </c>
      <c r="T4" s="25">
        <v>59.52</v>
      </c>
      <c r="U4" s="25">
        <v>238.08</v>
      </c>
      <c r="V4" s="25">
        <v>288.58</v>
      </c>
      <c r="W4" s="25">
        <v>1154.32</v>
      </c>
      <c r="X4" s="25">
        <v>4233</v>
      </c>
      <c r="Y4" s="25">
        <v>2116.5</v>
      </c>
      <c r="Z4" s="5">
        <v>2920.1</v>
      </c>
      <c r="AA4" s="21">
        <v>3583</v>
      </c>
    </row>
    <row r="5" spans="1:33" ht="15.75" customHeight="1">
      <c r="A5" s="34">
        <v>99801330</v>
      </c>
      <c r="B5" s="35" t="s">
        <v>122</v>
      </c>
      <c r="C5" s="36">
        <v>3</v>
      </c>
      <c r="D5" s="36">
        <v>4</v>
      </c>
      <c r="E5" s="36">
        <v>98327382</v>
      </c>
      <c r="F5" s="36" t="s">
        <v>2134</v>
      </c>
      <c r="G5" s="36">
        <v>91338157</v>
      </c>
      <c r="H5" s="36" t="s">
        <v>744</v>
      </c>
      <c r="I5" s="36">
        <v>93176761</v>
      </c>
      <c r="J5" s="36" t="s">
        <v>2087</v>
      </c>
      <c r="K5" s="36">
        <v>4</v>
      </c>
      <c r="L5" s="25">
        <v>5455</v>
      </c>
      <c r="M5" s="25">
        <v>2727.5</v>
      </c>
      <c r="N5" s="39"/>
      <c r="O5" s="39"/>
      <c r="P5" s="25"/>
      <c r="Q5" s="25"/>
      <c r="R5" s="25">
        <v>532.03</v>
      </c>
      <c r="S5" s="40">
        <v>284.76</v>
      </c>
      <c r="T5" s="25">
        <v>59.52</v>
      </c>
      <c r="U5" s="25">
        <v>238.08</v>
      </c>
      <c r="V5" s="25">
        <v>288.58999999999997</v>
      </c>
      <c r="W5" s="25">
        <v>1154.3599999999999</v>
      </c>
      <c r="X5" s="25">
        <v>5455</v>
      </c>
      <c r="Y5" s="25">
        <v>2727.5</v>
      </c>
      <c r="Z5" s="5">
        <v>3497.61</v>
      </c>
      <c r="AA5" s="21">
        <v>4292</v>
      </c>
    </row>
    <row r="6" spans="1:33" ht="15.75" customHeight="1">
      <c r="A6" s="34">
        <v>99801137</v>
      </c>
      <c r="B6" s="35" t="s">
        <v>148</v>
      </c>
      <c r="C6" s="36">
        <v>30</v>
      </c>
      <c r="D6" s="36">
        <v>4</v>
      </c>
      <c r="E6" s="36">
        <v>99051550</v>
      </c>
      <c r="F6" s="36" t="s">
        <v>749</v>
      </c>
      <c r="G6" s="36">
        <v>91338019</v>
      </c>
      <c r="H6" s="36" t="s">
        <v>733</v>
      </c>
      <c r="I6" s="36"/>
      <c r="J6" s="36" t="s">
        <v>2097</v>
      </c>
      <c r="K6" s="36">
        <v>4</v>
      </c>
      <c r="L6" s="25">
        <v>11109</v>
      </c>
      <c r="M6" s="25">
        <v>5554.5</v>
      </c>
      <c r="N6" s="39"/>
      <c r="O6" s="39"/>
      <c r="P6" s="25"/>
      <c r="Q6" s="25"/>
      <c r="R6" s="25">
        <v>741.99</v>
      </c>
      <c r="S6" s="40">
        <v>284.76</v>
      </c>
      <c r="T6" s="25">
        <v>170.3</v>
      </c>
      <c r="U6" s="25">
        <v>681.2</v>
      </c>
      <c r="V6" s="25">
        <v>668.94</v>
      </c>
      <c r="W6" s="25">
        <v>2675.76</v>
      </c>
      <c r="X6" s="25">
        <v>11109</v>
      </c>
      <c r="Y6" s="25">
        <v>5554.5</v>
      </c>
      <c r="Z6" s="5">
        <v>6977.69</v>
      </c>
      <c r="AA6" s="21">
        <v>8562</v>
      </c>
    </row>
    <row r="7" spans="1:33" ht="15.75" customHeight="1">
      <c r="A7" s="34">
        <v>99801329</v>
      </c>
      <c r="B7" s="35" t="s">
        <v>116</v>
      </c>
      <c r="C7" s="36">
        <v>2.2000000000000002</v>
      </c>
      <c r="D7" s="36">
        <v>4</v>
      </c>
      <c r="E7" s="36">
        <v>98327382</v>
      </c>
      <c r="F7" s="36" t="s">
        <v>2134</v>
      </c>
      <c r="G7" s="36">
        <v>92932673</v>
      </c>
      <c r="H7" s="36" t="s">
        <v>741</v>
      </c>
      <c r="I7" s="36">
        <v>93176761</v>
      </c>
      <c r="J7" s="36" t="s">
        <v>2087</v>
      </c>
      <c r="K7" s="36">
        <v>4</v>
      </c>
      <c r="L7" s="25">
        <v>5346</v>
      </c>
      <c r="M7" s="25">
        <v>2673</v>
      </c>
      <c r="N7" s="39"/>
      <c r="O7" s="39"/>
      <c r="P7" s="25"/>
      <c r="Q7" s="25"/>
      <c r="R7" s="25">
        <v>532.03</v>
      </c>
      <c r="S7" s="40">
        <v>284.76</v>
      </c>
      <c r="T7" s="25">
        <v>59.52</v>
      </c>
      <c r="U7" s="25">
        <v>238.08</v>
      </c>
      <c r="V7" s="25">
        <v>288.58999999999997</v>
      </c>
      <c r="W7" s="25">
        <v>1154.3599999999999</v>
      </c>
      <c r="X7" s="25">
        <v>5346</v>
      </c>
      <c r="Y7" s="25">
        <v>2673</v>
      </c>
      <c r="Z7" s="5">
        <v>3443.11</v>
      </c>
      <c r="AA7" s="21">
        <v>4225</v>
      </c>
    </row>
    <row r="8" spans="1:33" ht="15.75" customHeight="1">
      <c r="A8" s="34">
        <v>99801142</v>
      </c>
      <c r="B8" s="35" t="s">
        <v>261</v>
      </c>
      <c r="C8" s="36">
        <v>55</v>
      </c>
      <c r="D8" s="36">
        <v>2</v>
      </c>
      <c r="E8" s="36"/>
      <c r="F8" s="36" t="e">
        <v>#N/A</v>
      </c>
      <c r="G8" s="36" t="e">
        <v>#N/A</v>
      </c>
      <c r="H8" s="36" t="e">
        <v>#N/A</v>
      </c>
      <c r="I8" s="36" t="e">
        <v>#N/A</v>
      </c>
      <c r="J8" s="36" t="e">
        <v>#N/A</v>
      </c>
      <c r="K8" s="36"/>
      <c r="L8" s="25">
        <v>17256</v>
      </c>
      <c r="M8" s="25">
        <v>8628</v>
      </c>
      <c r="N8" s="39"/>
      <c r="O8" s="39"/>
      <c r="P8" s="41"/>
      <c r="Q8" s="41"/>
      <c r="R8" s="41" t="e">
        <v>#REF!</v>
      </c>
      <c r="S8" s="40" t="s">
        <v>2289</v>
      </c>
      <c r="T8" s="25" t="e">
        <v>#N/A</v>
      </c>
      <c r="U8" s="41" t="e">
        <v>#N/A</v>
      </c>
      <c r="V8" s="25" t="e">
        <v>#N/A</v>
      </c>
      <c r="W8" s="25" t="e">
        <v>#N/A</v>
      </c>
      <c r="X8" s="25">
        <v>17256</v>
      </c>
      <c r="Y8" s="25">
        <v>8628</v>
      </c>
      <c r="Z8" s="7">
        <v>1</v>
      </c>
      <c r="AA8" s="21">
        <v>2</v>
      </c>
    </row>
    <row r="9" spans="1:33" ht="15.75" customHeight="1">
      <c r="A9" s="34">
        <v>99801331</v>
      </c>
      <c r="B9" s="35" t="s">
        <v>125</v>
      </c>
      <c r="C9" s="36">
        <v>4</v>
      </c>
      <c r="D9" s="36">
        <v>4</v>
      </c>
      <c r="E9" s="36">
        <v>98327382</v>
      </c>
      <c r="F9" s="36" t="s">
        <v>2134</v>
      </c>
      <c r="G9" s="36">
        <v>91338157</v>
      </c>
      <c r="H9" s="36" t="s">
        <v>744</v>
      </c>
      <c r="I9" s="36">
        <v>93176761</v>
      </c>
      <c r="J9" s="36" t="s">
        <v>2087</v>
      </c>
      <c r="K9" s="36">
        <v>4</v>
      </c>
      <c r="L9" s="25">
        <v>5748</v>
      </c>
      <c r="M9" s="25">
        <v>2874</v>
      </c>
      <c r="N9" s="39"/>
      <c r="O9" s="39"/>
      <c r="P9" s="25"/>
      <c r="Q9" s="25"/>
      <c r="R9" s="25">
        <v>532.03</v>
      </c>
      <c r="S9" s="40">
        <v>284.76</v>
      </c>
      <c r="T9" s="25">
        <v>59.52</v>
      </c>
      <c r="U9" s="25">
        <v>238.08</v>
      </c>
      <c r="V9" s="25">
        <v>288.58999999999997</v>
      </c>
      <c r="W9" s="25">
        <v>1154.3599999999999</v>
      </c>
      <c r="X9" s="25">
        <v>5748</v>
      </c>
      <c r="Y9" s="25">
        <v>2874</v>
      </c>
      <c r="Z9" s="5">
        <v>3644.11</v>
      </c>
      <c r="AA9" s="21">
        <v>4472</v>
      </c>
    </row>
    <row r="10" spans="1:33" ht="15.75" customHeight="1">
      <c r="A10" s="34">
        <v>99801348</v>
      </c>
      <c r="B10" s="35" t="s">
        <v>146</v>
      </c>
      <c r="C10" s="36">
        <v>3</v>
      </c>
      <c r="D10" s="36">
        <v>4</v>
      </c>
      <c r="E10" s="36">
        <v>98327389</v>
      </c>
      <c r="F10" s="36" t="s">
        <v>2131</v>
      </c>
      <c r="G10" s="36">
        <v>91338016</v>
      </c>
      <c r="H10" s="36" t="s">
        <v>746</v>
      </c>
      <c r="I10" s="36">
        <v>93176760</v>
      </c>
      <c r="J10" s="36" t="s">
        <v>2088</v>
      </c>
      <c r="K10" s="36">
        <v>4</v>
      </c>
      <c r="L10" s="25">
        <v>5144</v>
      </c>
      <c r="M10" s="25">
        <v>2572</v>
      </c>
      <c r="N10" s="39"/>
      <c r="O10" s="39"/>
      <c r="P10" s="25"/>
      <c r="Q10" s="25"/>
      <c r="R10" s="25">
        <v>663.42</v>
      </c>
      <c r="S10" s="40">
        <v>284.76</v>
      </c>
      <c r="T10" s="25">
        <v>135.26</v>
      </c>
      <c r="U10" s="25">
        <v>541.04</v>
      </c>
      <c r="V10" s="25">
        <v>288.61</v>
      </c>
      <c r="W10" s="25">
        <v>1154.44</v>
      </c>
      <c r="X10" s="25">
        <v>5144</v>
      </c>
      <c r="Y10" s="25">
        <v>2572</v>
      </c>
      <c r="Z10" s="5">
        <v>3776.46</v>
      </c>
      <c r="AA10" s="21">
        <v>4634</v>
      </c>
    </row>
    <row r="11" spans="1:33" ht="15.75" customHeight="1">
      <c r="A11" s="34">
        <v>99801347</v>
      </c>
      <c r="B11" s="35" t="s">
        <v>121</v>
      </c>
      <c r="C11" s="36">
        <v>2.2000000000000002</v>
      </c>
      <c r="D11" s="36">
        <v>4</v>
      </c>
      <c r="E11" s="36">
        <v>98327382</v>
      </c>
      <c r="F11" s="36" t="s">
        <v>2134</v>
      </c>
      <c r="G11" s="36">
        <v>92932673</v>
      </c>
      <c r="H11" s="36" t="s">
        <v>741</v>
      </c>
      <c r="I11" s="36">
        <v>93176761</v>
      </c>
      <c r="J11" s="36" t="s">
        <v>2087</v>
      </c>
      <c r="K11" s="36">
        <v>4</v>
      </c>
      <c r="L11" s="25">
        <v>5035</v>
      </c>
      <c r="M11" s="25">
        <v>2517.5</v>
      </c>
      <c r="N11" s="39"/>
      <c r="O11" s="39"/>
      <c r="P11" s="25"/>
      <c r="Q11" s="25"/>
      <c r="R11" s="25">
        <v>532.03</v>
      </c>
      <c r="S11" s="40">
        <v>284.76</v>
      </c>
      <c r="T11" s="25">
        <v>59.52</v>
      </c>
      <c r="U11" s="25">
        <v>238.08</v>
      </c>
      <c r="V11" s="25">
        <v>288.58999999999997</v>
      </c>
      <c r="W11" s="25">
        <v>1154.3599999999999</v>
      </c>
      <c r="X11" s="25">
        <v>5035</v>
      </c>
      <c r="Y11" s="25">
        <v>2517.5</v>
      </c>
      <c r="Z11" s="5">
        <v>3287.61</v>
      </c>
      <c r="AA11" s="21">
        <v>4034</v>
      </c>
    </row>
    <row r="12" spans="1:33" ht="15.75" customHeight="1">
      <c r="A12" s="34">
        <v>99801144</v>
      </c>
      <c r="B12" s="35" t="s">
        <v>280</v>
      </c>
      <c r="C12" s="36">
        <v>90</v>
      </c>
      <c r="D12" s="36">
        <v>2</v>
      </c>
      <c r="E12" s="36" t="s">
        <v>720</v>
      </c>
      <c r="F12" s="36" t="s">
        <v>2133</v>
      </c>
      <c r="G12" s="36">
        <v>91338021</v>
      </c>
      <c r="H12" s="36" t="s">
        <v>718</v>
      </c>
      <c r="I12" s="36"/>
      <c r="J12" s="36" t="s">
        <v>2101</v>
      </c>
      <c r="K12" s="36">
        <v>6</v>
      </c>
      <c r="L12" s="25">
        <v>22297</v>
      </c>
      <c r="M12" s="25">
        <v>11148.5</v>
      </c>
      <c r="N12" s="39"/>
      <c r="O12" s="39"/>
      <c r="P12" s="42"/>
      <c r="Q12" s="42"/>
      <c r="R12" s="42">
        <v>1100</v>
      </c>
      <c r="S12" s="40">
        <v>427.14</v>
      </c>
      <c r="T12" s="25">
        <v>170.3</v>
      </c>
      <c r="U12" s="25">
        <v>1021.8</v>
      </c>
      <c r="V12" s="25">
        <v>717.41</v>
      </c>
      <c r="W12" s="25">
        <v>4304.46</v>
      </c>
      <c r="X12" s="25">
        <v>22297</v>
      </c>
      <c r="Y12" s="25">
        <v>11148.5</v>
      </c>
      <c r="Z12" s="5">
        <v>13270.3</v>
      </c>
      <c r="AA12" s="21">
        <v>16283</v>
      </c>
    </row>
    <row r="13" spans="1:33" ht="15.75" customHeight="1">
      <c r="A13" s="34">
        <v>99801349</v>
      </c>
      <c r="B13" s="35" t="s">
        <v>148</v>
      </c>
      <c r="C13" s="36">
        <v>4</v>
      </c>
      <c r="D13" s="36">
        <v>4</v>
      </c>
      <c r="E13" s="36">
        <v>98327389</v>
      </c>
      <c r="F13" s="36" t="s">
        <v>2131</v>
      </c>
      <c r="G13" s="36">
        <v>91338016</v>
      </c>
      <c r="H13" s="36" t="s">
        <v>746</v>
      </c>
      <c r="I13" s="36">
        <v>93176760</v>
      </c>
      <c r="J13" s="36" t="s">
        <v>2088</v>
      </c>
      <c r="K13" s="36">
        <v>4</v>
      </c>
      <c r="L13" s="25">
        <v>5437</v>
      </c>
      <c r="M13" s="25">
        <v>2718.5</v>
      </c>
      <c r="N13" s="39"/>
      <c r="O13" s="39"/>
      <c r="P13" s="25"/>
      <c r="Q13" s="25"/>
      <c r="R13" s="25">
        <v>663.42</v>
      </c>
      <c r="S13" s="40">
        <v>284.76</v>
      </c>
      <c r="T13" s="25">
        <v>135.26</v>
      </c>
      <c r="U13" s="25">
        <v>541.04</v>
      </c>
      <c r="V13" s="25">
        <v>288.61</v>
      </c>
      <c r="W13" s="25">
        <v>1154.44</v>
      </c>
      <c r="X13" s="25">
        <v>5437</v>
      </c>
      <c r="Y13" s="25">
        <v>2718.5</v>
      </c>
      <c r="Z13" s="5">
        <v>3922.96</v>
      </c>
      <c r="AA13" s="21">
        <v>4814</v>
      </c>
    </row>
    <row r="14" spans="1:33" ht="15.75" customHeight="1">
      <c r="A14" s="34">
        <v>99801122</v>
      </c>
      <c r="B14" s="35" t="s">
        <v>183</v>
      </c>
      <c r="C14" s="36">
        <v>22</v>
      </c>
      <c r="D14" s="36">
        <v>2</v>
      </c>
      <c r="E14" s="36">
        <v>98327389</v>
      </c>
      <c r="F14" s="36" t="s">
        <v>2131</v>
      </c>
      <c r="G14" s="36">
        <v>91338018</v>
      </c>
      <c r="H14" s="36" t="s">
        <v>735</v>
      </c>
      <c r="I14" s="36">
        <v>93176762</v>
      </c>
      <c r="J14" s="36" t="s">
        <v>2096</v>
      </c>
      <c r="K14" s="36">
        <v>4</v>
      </c>
      <c r="L14" s="25">
        <v>8955</v>
      </c>
      <c r="M14" s="25">
        <v>4477.5</v>
      </c>
      <c r="N14" s="25">
        <v>866</v>
      </c>
      <c r="O14" s="43">
        <v>433</v>
      </c>
      <c r="P14" s="25"/>
      <c r="Q14" s="25"/>
      <c r="R14" s="25">
        <v>663.42</v>
      </c>
      <c r="S14" s="40">
        <v>284.76</v>
      </c>
      <c r="T14" s="25">
        <v>170.3</v>
      </c>
      <c r="U14" s="25">
        <v>681.2</v>
      </c>
      <c r="V14" s="25">
        <v>668.94</v>
      </c>
      <c r="W14" s="25">
        <v>2675.76</v>
      </c>
      <c r="X14" s="25">
        <v>8955</v>
      </c>
      <c r="Y14" s="25">
        <v>4477.5</v>
      </c>
      <c r="Z14" s="5">
        <v>5822.12</v>
      </c>
      <c r="AA14" s="21">
        <v>7144</v>
      </c>
    </row>
    <row r="15" spans="1:33" ht="15.75" customHeight="1">
      <c r="A15" s="34">
        <v>99801143</v>
      </c>
      <c r="B15" s="35" t="s">
        <v>265</v>
      </c>
      <c r="C15" s="36">
        <v>75</v>
      </c>
      <c r="D15" s="36">
        <v>2</v>
      </c>
      <c r="E15" s="36" t="s">
        <v>720</v>
      </c>
      <c r="F15" s="36" t="s">
        <v>2133</v>
      </c>
      <c r="G15" s="36">
        <v>91338020</v>
      </c>
      <c r="H15" s="36" t="s">
        <v>737</v>
      </c>
      <c r="I15" s="36"/>
      <c r="J15" s="36" t="s">
        <v>2099</v>
      </c>
      <c r="K15" s="36">
        <v>6</v>
      </c>
      <c r="L15" s="25">
        <v>20550</v>
      </c>
      <c r="M15" s="25">
        <v>10275</v>
      </c>
      <c r="N15" s="39"/>
      <c r="O15" s="39"/>
      <c r="P15" s="42"/>
      <c r="Q15" s="42"/>
      <c r="R15" s="42">
        <v>1100</v>
      </c>
      <c r="S15" s="40">
        <v>427.14</v>
      </c>
      <c r="T15" s="25">
        <v>170.3</v>
      </c>
      <c r="U15" s="25">
        <v>1021.8</v>
      </c>
      <c r="V15" s="25">
        <v>717.41</v>
      </c>
      <c r="W15" s="25">
        <v>4304.46</v>
      </c>
      <c r="X15" s="25">
        <v>20550</v>
      </c>
      <c r="Y15" s="25">
        <v>10275</v>
      </c>
      <c r="Z15" s="5">
        <v>12396.8</v>
      </c>
      <c r="AA15" s="21">
        <v>15211</v>
      </c>
    </row>
    <row r="16" spans="1:33" ht="15.75" customHeight="1">
      <c r="A16" s="34">
        <v>99801116</v>
      </c>
      <c r="B16" s="35" t="s">
        <v>144</v>
      </c>
      <c r="C16" s="36">
        <v>7.5</v>
      </c>
      <c r="D16" s="36">
        <v>2</v>
      </c>
      <c r="E16" s="36">
        <v>98327382</v>
      </c>
      <c r="F16" s="36" t="s">
        <v>2134</v>
      </c>
      <c r="G16" s="36">
        <v>91338157</v>
      </c>
      <c r="H16" s="36" t="s">
        <v>744</v>
      </c>
      <c r="I16" s="36">
        <v>93176761</v>
      </c>
      <c r="J16" s="36" t="s">
        <v>2087</v>
      </c>
      <c r="K16" s="36">
        <v>4</v>
      </c>
      <c r="L16" s="25">
        <v>5687</v>
      </c>
      <c r="M16" s="25">
        <v>2843.5</v>
      </c>
      <c r="N16" s="39">
        <v>1209.33</v>
      </c>
      <c r="O16" s="39">
        <v>604.66999999999996</v>
      </c>
      <c r="P16" s="25">
        <v>2102.2199999999998</v>
      </c>
      <c r="Q16" s="25">
        <v>1051.1099999999999</v>
      </c>
      <c r="R16" s="25">
        <v>532.03</v>
      </c>
      <c r="S16" s="40">
        <v>284.76</v>
      </c>
      <c r="T16" s="25">
        <v>59.52</v>
      </c>
      <c r="U16" s="25">
        <v>238.08</v>
      </c>
      <c r="V16" s="25">
        <v>288.58999999999997</v>
      </c>
      <c r="W16" s="25">
        <v>1154.3599999999999</v>
      </c>
      <c r="X16" s="25">
        <v>5687</v>
      </c>
      <c r="Y16" s="25">
        <v>2843.5</v>
      </c>
      <c r="Z16" s="5">
        <v>3613.61</v>
      </c>
      <c r="AA16" s="21">
        <v>4434</v>
      </c>
    </row>
    <row r="17" spans="1:27" ht="15.75" customHeight="1">
      <c r="A17" s="34">
        <v>99801332</v>
      </c>
      <c r="B17" s="35" t="s">
        <v>149</v>
      </c>
      <c r="C17" s="36">
        <v>5.5</v>
      </c>
      <c r="D17" s="36">
        <v>4</v>
      </c>
      <c r="E17" s="36">
        <v>92513065</v>
      </c>
      <c r="F17" s="36" t="s">
        <v>742</v>
      </c>
      <c r="G17" s="36">
        <v>91338157</v>
      </c>
      <c r="H17" s="36" t="s">
        <v>744</v>
      </c>
      <c r="I17" s="36">
        <v>93176761</v>
      </c>
      <c r="J17" s="36" t="s">
        <v>2087</v>
      </c>
      <c r="K17" s="36">
        <v>4</v>
      </c>
      <c r="L17" s="25">
        <v>6465</v>
      </c>
      <c r="M17" s="25">
        <v>3232.5</v>
      </c>
      <c r="N17" s="39"/>
      <c r="O17" s="39"/>
      <c r="P17" s="25"/>
      <c r="Q17" s="25"/>
      <c r="R17" s="25">
        <v>610.6</v>
      </c>
      <c r="S17" s="40">
        <v>284.76</v>
      </c>
      <c r="T17" s="25">
        <v>59.52</v>
      </c>
      <c r="U17" s="25">
        <v>238.08</v>
      </c>
      <c r="V17" s="25">
        <v>288.58999999999997</v>
      </c>
      <c r="W17" s="25">
        <v>1154.3599999999999</v>
      </c>
      <c r="X17" s="25">
        <v>6465</v>
      </c>
      <c r="Y17" s="25">
        <v>3232.5</v>
      </c>
      <c r="Z17" s="5">
        <v>4081.18</v>
      </c>
      <c r="AA17" s="21">
        <v>5008</v>
      </c>
    </row>
    <row r="18" spans="1:27" ht="15.75" customHeight="1">
      <c r="A18" s="34">
        <v>99801334</v>
      </c>
      <c r="B18" s="35" t="s">
        <v>165</v>
      </c>
      <c r="C18" s="36">
        <v>7.5</v>
      </c>
      <c r="D18" s="36">
        <v>4</v>
      </c>
      <c r="E18" s="36">
        <v>98327389</v>
      </c>
      <c r="F18" s="36" t="s">
        <v>2131</v>
      </c>
      <c r="G18" s="36">
        <v>91338018</v>
      </c>
      <c r="H18" s="36" t="s">
        <v>735</v>
      </c>
      <c r="I18" s="36">
        <v>93176762</v>
      </c>
      <c r="J18" s="36" t="s">
        <v>2096</v>
      </c>
      <c r="K18" s="36">
        <v>4</v>
      </c>
      <c r="L18" s="25">
        <v>7040</v>
      </c>
      <c r="M18" s="25">
        <v>3520</v>
      </c>
      <c r="N18" s="39"/>
      <c r="O18" s="39"/>
      <c r="P18" s="25"/>
      <c r="Q18" s="25"/>
      <c r="R18" s="25">
        <v>663.42</v>
      </c>
      <c r="S18" s="40">
        <v>284.76</v>
      </c>
      <c r="T18" s="25">
        <v>170.3</v>
      </c>
      <c r="U18" s="25">
        <v>681.2</v>
      </c>
      <c r="V18" s="25">
        <v>668.94</v>
      </c>
      <c r="W18" s="25">
        <v>2675.76</v>
      </c>
      <c r="X18" s="25">
        <v>7040</v>
      </c>
      <c r="Y18" s="25">
        <v>3520</v>
      </c>
      <c r="Z18" s="5">
        <v>4864.62</v>
      </c>
      <c r="AA18" s="21">
        <v>5969</v>
      </c>
    </row>
    <row r="19" spans="1:27" ht="15.75" customHeight="1">
      <c r="A19" s="34">
        <v>99801395</v>
      </c>
      <c r="B19" s="35" t="s">
        <v>277</v>
      </c>
      <c r="C19" s="36">
        <v>55</v>
      </c>
      <c r="D19" s="36">
        <v>4</v>
      </c>
      <c r="E19" s="36" t="s">
        <v>720</v>
      </c>
      <c r="F19" s="36" t="s">
        <v>2133</v>
      </c>
      <c r="G19" s="36">
        <v>91338020</v>
      </c>
      <c r="H19" s="36" t="s">
        <v>737</v>
      </c>
      <c r="I19" s="36"/>
      <c r="J19" s="36" t="s">
        <v>2099</v>
      </c>
      <c r="K19" s="36">
        <v>6</v>
      </c>
      <c r="L19" s="25">
        <v>27708</v>
      </c>
      <c r="M19" s="25">
        <v>13854</v>
      </c>
      <c r="N19" s="39"/>
      <c r="O19" s="39"/>
      <c r="P19" s="42"/>
      <c r="Q19" s="42"/>
      <c r="R19" s="42">
        <v>1100</v>
      </c>
      <c r="S19" s="40">
        <v>427.14</v>
      </c>
      <c r="T19" s="25">
        <v>170.3</v>
      </c>
      <c r="U19" s="25">
        <v>1021.8</v>
      </c>
      <c r="V19" s="25">
        <v>717.41</v>
      </c>
      <c r="W19" s="25">
        <v>4304.46</v>
      </c>
      <c r="X19" s="25">
        <v>27708</v>
      </c>
      <c r="Y19" s="25">
        <v>13854</v>
      </c>
      <c r="Z19" s="5">
        <v>15975.8</v>
      </c>
      <c r="AA19" s="21">
        <v>19603</v>
      </c>
    </row>
    <row r="20" spans="1:27" ht="15.75" customHeight="1">
      <c r="A20" s="34">
        <v>99801320</v>
      </c>
      <c r="B20" s="35" t="s">
        <v>98</v>
      </c>
      <c r="C20" s="36">
        <v>1.1000000000000001</v>
      </c>
      <c r="D20" s="36">
        <v>4</v>
      </c>
      <c r="E20" s="36">
        <v>98336369</v>
      </c>
      <c r="F20" s="36" t="s">
        <v>2130</v>
      </c>
      <c r="G20" s="36">
        <v>92932672</v>
      </c>
      <c r="H20" s="36" t="s">
        <v>2047</v>
      </c>
      <c r="I20" s="36">
        <v>93176749</v>
      </c>
      <c r="J20" s="36" t="s">
        <v>2086</v>
      </c>
      <c r="K20" s="36">
        <v>4</v>
      </c>
      <c r="L20" s="25">
        <v>3821</v>
      </c>
      <c r="M20" s="25">
        <v>1910.5</v>
      </c>
      <c r="N20" s="39"/>
      <c r="O20" s="39"/>
      <c r="P20" s="25"/>
      <c r="Q20" s="25"/>
      <c r="R20" s="25">
        <v>565.52</v>
      </c>
      <c r="S20" s="40">
        <v>284.76</v>
      </c>
      <c r="T20" s="25">
        <v>59.52</v>
      </c>
      <c r="U20" s="25">
        <v>238.08</v>
      </c>
      <c r="V20" s="25">
        <v>288.58</v>
      </c>
      <c r="W20" s="25">
        <v>1154.32</v>
      </c>
      <c r="X20" s="25">
        <v>3821</v>
      </c>
      <c r="Y20" s="25">
        <v>1910.5</v>
      </c>
      <c r="Z20" s="5">
        <v>2714.1</v>
      </c>
      <c r="AA20" s="21">
        <v>3331</v>
      </c>
    </row>
    <row r="21" spans="1:27" ht="15.75" customHeight="1">
      <c r="A21" s="34">
        <v>99801123</v>
      </c>
      <c r="B21" s="35" t="s">
        <v>138</v>
      </c>
      <c r="C21" s="36">
        <v>30</v>
      </c>
      <c r="D21" s="44">
        <v>2</v>
      </c>
      <c r="E21" s="36">
        <v>99051550</v>
      </c>
      <c r="F21" s="36" t="s">
        <v>749</v>
      </c>
      <c r="G21" s="36">
        <v>91338019</v>
      </c>
      <c r="H21" s="36" t="s">
        <v>733</v>
      </c>
      <c r="I21" s="36"/>
      <c r="J21" s="36" t="s">
        <v>2097</v>
      </c>
      <c r="K21" s="36">
        <v>4</v>
      </c>
      <c r="L21" s="25">
        <v>11151</v>
      </c>
      <c r="M21" s="25">
        <v>5575.5</v>
      </c>
      <c r="N21" s="39"/>
      <c r="O21" s="39"/>
      <c r="P21" s="25"/>
      <c r="Q21" s="25"/>
      <c r="R21" s="25">
        <v>741.99</v>
      </c>
      <c r="S21" s="40">
        <v>284.76</v>
      </c>
      <c r="T21" s="25">
        <v>170.3</v>
      </c>
      <c r="U21" s="25">
        <v>681.2</v>
      </c>
      <c r="V21" s="25">
        <v>668.94</v>
      </c>
      <c r="W21" s="25">
        <v>2675.76</v>
      </c>
      <c r="X21" s="25">
        <v>11151</v>
      </c>
      <c r="Y21" s="25">
        <v>5575.5</v>
      </c>
      <c r="Z21" s="5">
        <v>6998.69</v>
      </c>
      <c r="AA21" s="21">
        <v>8588</v>
      </c>
    </row>
    <row r="22" spans="1:27" ht="15.75" customHeight="1">
      <c r="A22" s="34">
        <v>99801321</v>
      </c>
      <c r="B22" s="35" t="s">
        <v>100</v>
      </c>
      <c r="C22" s="36">
        <v>1.5</v>
      </c>
      <c r="D22" s="36">
        <v>4</v>
      </c>
      <c r="E22" s="36">
        <v>98336369</v>
      </c>
      <c r="F22" s="36" t="s">
        <v>2130</v>
      </c>
      <c r="G22" s="36">
        <v>92932672</v>
      </c>
      <c r="H22" s="36" t="s">
        <v>2047</v>
      </c>
      <c r="I22" s="36">
        <v>93176749</v>
      </c>
      <c r="J22" s="36" t="s">
        <v>2086</v>
      </c>
      <c r="K22" s="36">
        <v>4</v>
      </c>
      <c r="L22" s="25">
        <v>3862</v>
      </c>
      <c r="M22" s="25">
        <v>1931</v>
      </c>
      <c r="N22" s="39"/>
      <c r="O22" s="39"/>
      <c r="P22" s="25"/>
      <c r="Q22" s="25"/>
      <c r="R22" s="25">
        <v>565.52</v>
      </c>
      <c r="S22" s="40">
        <v>284.76</v>
      </c>
      <c r="T22" s="25">
        <v>59.52</v>
      </c>
      <c r="U22" s="25">
        <v>238.08</v>
      </c>
      <c r="V22" s="25">
        <v>288.58</v>
      </c>
      <c r="W22" s="25">
        <v>1154.32</v>
      </c>
      <c r="X22" s="25">
        <v>3862</v>
      </c>
      <c r="Y22" s="25">
        <v>1931</v>
      </c>
      <c r="Z22" s="5">
        <v>2734.6</v>
      </c>
      <c r="AA22" s="21">
        <v>3356</v>
      </c>
    </row>
    <row r="23" spans="1:27" ht="15.75" customHeight="1">
      <c r="A23" s="34">
        <v>99801276</v>
      </c>
      <c r="B23" s="35" t="s">
        <v>87</v>
      </c>
      <c r="C23" s="36">
        <v>1.1000000000000001</v>
      </c>
      <c r="D23" s="36">
        <v>4</v>
      </c>
      <c r="E23" s="36">
        <v>98336369</v>
      </c>
      <c r="F23" s="36" t="s">
        <v>2130</v>
      </c>
      <c r="G23" s="36">
        <v>92932672</v>
      </c>
      <c r="H23" s="36" t="s">
        <v>2047</v>
      </c>
      <c r="I23" s="36">
        <v>93176749</v>
      </c>
      <c r="J23" s="36" t="s">
        <v>2086</v>
      </c>
      <c r="K23" s="36">
        <v>4</v>
      </c>
      <c r="L23" s="25">
        <v>3589</v>
      </c>
      <c r="M23" s="25">
        <v>1794.5</v>
      </c>
      <c r="N23" s="39"/>
      <c r="O23" s="39"/>
      <c r="P23" s="25"/>
      <c r="Q23" s="25"/>
      <c r="R23" s="25">
        <v>565.52</v>
      </c>
      <c r="S23" s="40">
        <v>284.76</v>
      </c>
      <c r="T23" s="25">
        <v>59.52</v>
      </c>
      <c r="U23" s="25">
        <v>238.08</v>
      </c>
      <c r="V23" s="25">
        <v>288.58</v>
      </c>
      <c r="W23" s="25">
        <v>1154.32</v>
      </c>
      <c r="X23" s="25">
        <v>3589</v>
      </c>
      <c r="Y23" s="25">
        <v>1794.5</v>
      </c>
      <c r="Z23" s="5">
        <v>2598.1</v>
      </c>
      <c r="AA23" s="21">
        <v>3188</v>
      </c>
    </row>
    <row r="24" spans="1:27" ht="15.75" customHeight="1">
      <c r="A24" s="34">
        <v>99801328</v>
      </c>
      <c r="B24" s="35" t="s">
        <v>138</v>
      </c>
      <c r="C24" s="36">
        <v>4</v>
      </c>
      <c r="D24" s="36">
        <v>4</v>
      </c>
      <c r="E24" s="36">
        <v>98327389</v>
      </c>
      <c r="F24" s="36" t="s">
        <v>2131</v>
      </c>
      <c r="G24" s="36">
        <v>91338016</v>
      </c>
      <c r="H24" s="36" t="s">
        <v>746</v>
      </c>
      <c r="I24" s="36">
        <v>93176760</v>
      </c>
      <c r="J24" s="36" t="s">
        <v>2088</v>
      </c>
      <c r="K24" s="36">
        <v>4</v>
      </c>
      <c r="L24" s="25">
        <v>4822</v>
      </c>
      <c r="M24" s="25">
        <v>2411</v>
      </c>
      <c r="N24" s="39"/>
      <c r="O24" s="39"/>
      <c r="P24" s="45"/>
      <c r="Q24" s="45"/>
      <c r="R24" s="25">
        <v>663.42</v>
      </c>
      <c r="S24" s="40">
        <v>284.76</v>
      </c>
      <c r="T24" s="25">
        <v>135.26</v>
      </c>
      <c r="U24" s="25">
        <v>541.04</v>
      </c>
      <c r="V24" s="25">
        <v>288.61</v>
      </c>
      <c r="W24" s="25">
        <v>1154.44</v>
      </c>
      <c r="X24" s="25">
        <v>4822</v>
      </c>
      <c r="Y24" s="25">
        <v>2411</v>
      </c>
      <c r="Z24" s="5">
        <v>3615.46</v>
      </c>
      <c r="AA24" s="21">
        <v>4437</v>
      </c>
    </row>
    <row r="25" spans="1:27" ht="15.75" customHeight="1">
      <c r="A25" s="34">
        <v>99801327</v>
      </c>
      <c r="B25" s="35" t="s">
        <v>114</v>
      </c>
      <c r="C25" s="36">
        <v>3</v>
      </c>
      <c r="D25" s="36">
        <v>4</v>
      </c>
      <c r="E25" s="36">
        <v>98327382</v>
      </c>
      <c r="F25" s="36" t="s">
        <v>2134</v>
      </c>
      <c r="G25" s="36">
        <v>92932673</v>
      </c>
      <c r="H25" s="36" t="s">
        <v>741</v>
      </c>
      <c r="I25" s="36">
        <v>93176761</v>
      </c>
      <c r="J25" s="36" t="s">
        <v>2087</v>
      </c>
      <c r="K25" s="36">
        <v>4</v>
      </c>
      <c r="L25" s="25">
        <v>4542</v>
      </c>
      <c r="M25" s="25">
        <v>2271</v>
      </c>
      <c r="N25" s="39"/>
      <c r="O25" s="39"/>
      <c r="P25" s="25"/>
      <c r="Q25" s="25"/>
      <c r="R25" s="25">
        <v>532.03</v>
      </c>
      <c r="S25" s="40">
        <v>284.76</v>
      </c>
      <c r="T25" s="25">
        <v>59.52</v>
      </c>
      <c r="U25" s="25">
        <v>238.08</v>
      </c>
      <c r="V25" s="25">
        <v>288.58999999999997</v>
      </c>
      <c r="W25" s="25">
        <v>1154.3599999999999</v>
      </c>
      <c r="X25" s="25">
        <v>4542</v>
      </c>
      <c r="Y25" s="25">
        <v>2271</v>
      </c>
      <c r="Z25" s="5">
        <v>3041.11</v>
      </c>
      <c r="AA25" s="21">
        <v>3732</v>
      </c>
    </row>
    <row r="26" spans="1:27" ht="15.75" customHeight="1">
      <c r="A26" s="46">
        <v>99801128</v>
      </c>
      <c r="B26" s="35" t="s">
        <v>165</v>
      </c>
      <c r="C26" s="36">
        <v>55</v>
      </c>
      <c r="D26" s="36">
        <v>4</v>
      </c>
      <c r="E26" s="36">
        <v>98299752</v>
      </c>
      <c r="F26" s="36" t="s">
        <v>2132</v>
      </c>
      <c r="G26" s="36">
        <v>91338021</v>
      </c>
      <c r="H26" s="36" t="s">
        <v>718</v>
      </c>
      <c r="I26" s="36"/>
      <c r="J26" s="36" t="s">
        <v>2101</v>
      </c>
      <c r="K26" s="36">
        <v>4</v>
      </c>
      <c r="L26" s="25">
        <v>17320</v>
      </c>
      <c r="M26" s="25">
        <v>8660</v>
      </c>
      <c r="N26" s="39"/>
      <c r="O26" s="39"/>
      <c r="P26" s="25"/>
      <c r="Q26" s="25"/>
      <c r="R26" s="25">
        <v>824.44</v>
      </c>
      <c r="S26" s="40">
        <v>284.76</v>
      </c>
      <c r="T26" s="25">
        <v>170.3</v>
      </c>
      <c r="U26" s="25">
        <v>681.2</v>
      </c>
      <c r="V26" s="25">
        <v>717.41</v>
      </c>
      <c r="W26" s="25">
        <v>2869.64</v>
      </c>
      <c r="X26" s="25">
        <v>17320</v>
      </c>
      <c r="Y26" s="25">
        <v>8660</v>
      </c>
      <c r="Z26" s="5">
        <v>10165.64</v>
      </c>
      <c r="AA26" s="21">
        <v>12474</v>
      </c>
    </row>
    <row r="27" spans="1:27" ht="15.75" customHeight="1">
      <c r="A27" s="34">
        <v>99801325</v>
      </c>
      <c r="B27" s="35" t="s">
        <v>104</v>
      </c>
      <c r="C27" s="36">
        <v>1.5</v>
      </c>
      <c r="D27" s="36">
        <v>4</v>
      </c>
      <c r="E27" s="36">
        <v>98336369</v>
      </c>
      <c r="F27" s="36" t="s">
        <v>2130</v>
      </c>
      <c r="G27" s="36">
        <v>92932672</v>
      </c>
      <c r="H27" s="36" t="s">
        <v>2047</v>
      </c>
      <c r="I27" s="36">
        <v>93176749</v>
      </c>
      <c r="J27" s="36" t="s">
        <v>2086</v>
      </c>
      <c r="K27" s="36">
        <v>4</v>
      </c>
      <c r="L27" s="25">
        <v>4250</v>
      </c>
      <c r="M27" s="25">
        <v>2125</v>
      </c>
      <c r="N27" s="39"/>
      <c r="O27" s="39"/>
      <c r="P27" s="25"/>
      <c r="Q27" s="25"/>
      <c r="R27" s="25">
        <v>565.52</v>
      </c>
      <c r="S27" s="40">
        <v>284.76</v>
      </c>
      <c r="T27" s="25">
        <v>59.52</v>
      </c>
      <c r="U27" s="25">
        <v>238.08</v>
      </c>
      <c r="V27" s="25">
        <v>288.58</v>
      </c>
      <c r="W27" s="25">
        <v>1154.32</v>
      </c>
      <c r="X27" s="25">
        <v>4250</v>
      </c>
      <c r="Y27" s="25">
        <v>2125</v>
      </c>
      <c r="Z27" s="5">
        <v>2928.6</v>
      </c>
      <c r="AA27" s="21">
        <v>3594</v>
      </c>
    </row>
    <row r="28" spans="1:27" ht="15.75" customHeight="1">
      <c r="A28" s="34">
        <v>99801272</v>
      </c>
      <c r="B28" s="35" t="s">
        <v>77</v>
      </c>
      <c r="C28" s="36">
        <v>0.55000000000000004</v>
      </c>
      <c r="D28" s="36">
        <v>4</v>
      </c>
      <c r="E28" s="36">
        <v>98336369</v>
      </c>
      <c r="F28" s="36" t="s">
        <v>2130</v>
      </c>
      <c r="G28" s="36">
        <v>92932672</v>
      </c>
      <c r="H28" s="36" t="s">
        <v>2047</v>
      </c>
      <c r="I28" s="36">
        <v>93176749</v>
      </c>
      <c r="J28" s="36" t="s">
        <v>2086</v>
      </c>
      <c r="K28" s="36">
        <v>4</v>
      </c>
      <c r="L28" s="25">
        <v>3189</v>
      </c>
      <c r="M28" s="25">
        <v>1594.5</v>
      </c>
      <c r="N28" s="39"/>
      <c r="O28" s="39"/>
      <c r="P28" s="25"/>
      <c r="Q28" s="25"/>
      <c r="R28" s="25">
        <v>565.52</v>
      </c>
      <c r="S28" s="40">
        <v>284.76</v>
      </c>
      <c r="T28" s="25">
        <v>59.52</v>
      </c>
      <c r="U28" s="25">
        <v>238.08</v>
      </c>
      <c r="V28" s="25">
        <v>288.58</v>
      </c>
      <c r="W28" s="25">
        <v>1154.32</v>
      </c>
      <c r="X28" s="25">
        <v>3189</v>
      </c>
      <c r="Y28" s="25">
        <v>1594.5</v>
      </c>
      <c r="Z28" s="5">
        <v>2398.1</v>
      </c>
      <c r="AA28" s="21">
        <v>2943</v>
      </c>
    </row>
    <row r="29" spans="1:27" ht="15.75" customHeight="1">
      <c r="A29" s="34">
        <v>99801326</v>
      </c>
      <c r="B29" s="35" t="s">
        <v>120</v>
      </c>
      <c r="C29" s="36">
        <v>2.2000000000000002</v>
      </c>
      <c r="D29" s="36">
        <v>4</v>
      </c>
      <c r="E29" s="36">
        <v>92513065</v>
      </c>
      <c r="F29" s="36" t="s">
        <v>742</v>
      </c>
      <c r="G29" s="36">
        <v>92932673</v>
      </c>
      <c r="H29" s="36" t="s">
        <v>741</v>
      </c>
      <c r="I29" s="36">
        <v>93176761</v>
      </c>
      <c r="J29" s="36" t="s">
        <v>2087</v>
      </c>
      <c r="K29" s="36">
        <v>4</v>
      </c>
      <c r="L29" s="25">
        <v>4445</v>
      </c>
      <c r="M29" s="25">
        <v>2222.5</v>
      </c>
      <c r="N29" s="39"/>
      <c r="O29" s="39"/>
      <c r="P29" s="25"/>
      <c r="Q29" s="25"/>
      <c r="R29" s="25">
        <v>610.6</v>
      </c>
      <c r="S29" s="40">
        <v>284.76</v>
      </c>
      <c r="T29" s="25">
        <v>59.52</v>
      </c>
      <c r="U29" s="25">
        <v>238.08</v>
      </c>
      <c r="V29" s="25">
        <v>288.58999999999997</v>
      </c>
      <c r="W29" s="25">
        <v>1154.3599999999999</v>
      </c>
      <c r="X29" s="25">
        <v>4445</v>
      </c>
      <c r="Y29" s="25">
        <v>2222.5</v>
      </c>
      <c r="Z29" s="5">
        <v>3071.18</v>
      </c>
      <c r="AA29" s="21">
        <v>3769</v>
      </c>
    </row>
    <row r="30" spans="1:27" ht="15.75" customHeight="1">
      <c r="A30" s="34">
        <v>99801275</v>
      </c>
      <c r="B30" s="35" t="s">
        <v>83</v>
      </c>
      <c r="C30" s="36">
        <v>0.75</v>
      </c>
      <c r="D30" s="36">
        <v>4</v>
      </c>
      <c r="E30" s="36">
        <v>98336369</v>
      </c>
      <c r="F30" s="36" t="s">
        <v>2130</v>
      </c>
      <c r="G30" s="36">
        <v>92932672</v>
      </c>
      <c r="H30" s="36" t="s">
        <v>2047</v>
      </c>
      <c r="I30" s="36">
        <v>93176749</v>
      </c>
      <c r="J30" s="36" t="s">
        <v>2086</v>
      </c>
      <c r="K30" s="36">
        <v>4</v>
      </c>
      <c r="L30" s="25">
        <v>3520</v>
      </c>
      <c r="M30" s="25">
        <v>1760</v>
      </c>
      <c r="N30" s="39"/>
      <c r="O30" s="39"/>
      <c r="P30" s="25"/>
      <c r="Q30" s="25"/>
      <c r="R30" s="25">
        <v>565.52</v>
      </c>
      <c r="S30" s="40">
        <v>284.76</v>
      </c>
      <c r="T30" s="25">
        <v>59.52</v>
      </c>
      <c r="U30" s="25">
        <v>238.08</v>
      </c>
      <c r="V30" s="25">
        <v>288.58</v>
      </c>
      <c r="W30" s="25">
        <v>1154.32</v>
      </c>
      <c r="X30" s="25">
        <v>3520</v>
      </c>
      <c r="Y30" s="25">
        <v>1760</v>
      </c>
      <c r="Z30" s="5">
        <v>2563.6</v>
      </c>
      <c r="AA30" s="21">
        <v>3146</v>
      </c>
    </row>
    <row r="31" spans="1:27" ht="15.75" customHeight="1">
      <c r="A31" s="34">
        <v>99801289</v>
      </c>
      <c r="B31" s="35" t="s">
        <v>81</v>
      </c>
      <c r="C31" s="36">
        <v>0.75</v>
      </c>
      <c r="D31" s="36">
        <v>4</v>
      </c>
      <c r="E31" s="36">
        <v>98336369</v>
      </c>
      <c r="F31" s="36" t="s">
        <v>2130</v>
      </c>
      <c r="G31" s="36">
        <v>92932672</v>
      </c>
      <c r="H31" s="36" t="s">
        <v>2047</v>
      </c>
      <c r="I31" s="36">
        <v>93176749</v>
      </c>
      <c r="J31" s="36" t="s">
        <v>2086</v>
      </c>
      <c r="K31" s="36">
        <v>4</v>
      </c>
      <c r="L31" s="25">
        <v>3542</v>
      </c>
      <c r="M31" s="25">
        <v>1771</v>
      </c>
      <c r="N31" s="39"/>
      <c r="O31" s="39"/>
      <c r="P31" s="25"/>
      <c r="Q31" s="25"/>
      <c r="R31" s="25">
        <v>565.52</v>
      </c>
      <c r="S31" s="40">
        <v>284.76</v>
      </c>
      <c r="T31" s="25">
        <v>59.52</v>
      </c>
      <c r="U31" s="25">
        <v>238.08</v>
      </c>
      <c r="V31" s="25">
        <v>288.58</v>
      </c>
      <c r="W31" s="25">
        <v>1154.32</v>
      </c>
      <c r="X31" s="25">
        <v>3542</v>
      </c>
      <c r="Y31" s="25">
        <v>1771</v>
      </c>
      <c r="Z31" s="5">
        <v>2574.6</v>
      </c>
      <c r="AA31" s="21">
        <v>3160</v>
      </c>
    </row>
    <row r="32" spans="1:27" ht="15.75" customHeight="1">
      <c r="A32" s="34">
        <v>99801345</v>
      </c>
      <c r="B32" s="35" t="s">
        <v>246</v>
      </c>
      <c r="C32" s="36">
        <v>37</v>
      </c>
      <c r="D32" s="36">
        <v>4</v>
      </c>
      <c r="E32" s="36">
        <v>98299752</v>
      </c>
      <c r="F32" s="36" t="s">
        <v>2132</v>
      </c>
      <c r="G32" s="36">
        <v>91338021</v>
      </c>
      <c r="H32" s="36" t="s">
        <v>718</v>
      </c>
      <c r="I32" s="36"/>
      <c r="J32" s="36" t="s">
        <v>2101</v>
      </c>
      <c r="K32" s="36">
        <v>4</v>
      </c>
      <c r="L32" s="25">
        <v>19642</v>
      </c>
      <c r="M32" s="25">
        <v>9821</v>
      </c>
      <c r="N32" s="39">
        <v>2065.75</v>
      </c>
      <c r="O32" s="39">
        <v>1032.8800000000001</v>
      </c>
      <c r="P32" s="25">
        <v>4916.58</v>
      </c>
      <c r="Q32" s="25">
        <v>2458.29</v>
      </c>
      <c r="R32" s="25">
        <v>824.44</v>
      </c>
      <c r="S32" s="40">
        <v>284.76</v>
      </c>
      <c r="T32" s="25">
        <v>170.3</v>
      </c>
      <c r="U32" s="25">
        <v>681.2</v>
      </c>
      <c r="V32" s="25">
        <v>717.41</v>
      </c>
      <c r="W32" s="25">
        <v>2869.64</v>
      </c>
      <c r="X32" s="25">
        <v>19642</v>
      </c>
      <c r="Y32" s="25">
        <v>9821</v>
      </c>
      <c r="Z32" s="5">
        <v>11326.64</v>
      </c>
      <c r="AA32" s="21">
        <v>13898</v>
      </c>
    </row>
    <row r="33" spans="1:27" ht="15.75" customHeight="1">
      <c r="A33" s="34">
        <v>99801323</v>
      </c>
      <c r="B33" s="35" t="s">
        <v>115</v>
      </c>
      <c r="C33" s="36">
        <v>2.2000000000000002</v>
      </c>
      <c r="D33" s="36">
        <v>4</v>
      </c>
      <c r="E33" s="36">
        <v>92513065</v>
      </c>
      <c r="F33" s="36" t="s">
        <v>742</v>
      </c>
      <c r="G33" s="36">
        <v>92932673</v>
      </c>
      <c r="H33" s="36" t="s">
        <v>741</v>
      </c>
      <c r="I33" s="36">
        <v>93176761</v>
      </c>
      <c r="J33" s="36" t="s">
        <v>2087</v>
      </c>
      <c r="K33" s="36">
        <v>4</v>
      </c>
      <c r="L33" s="25">
        <v>4057</v>
      </c>
      <c r="M33" s="25">
        <v>2028.5</v>
      </c>
      <c r="N33" s="39"/>
      <c r="O33" s="39"/>
      <c r="P33" s="25"/>
      <c r="Q33" s="25"/>
      <c r="R33" s="25">
        <v>610.6</v>
      </c>
      <c r="S33" s="40">
        <v>284.76</v>
      </c>
      <c r="T33" s="25">
        <v>59.52</v>
      </c>
      <c r="U33" s="25">
        <v>238.08</v>
      </c>
      <c r="V33" s="25">
        <v>288.58999999999997</v>
      </c>
      <c r="W33" s="25">
        <v>1154.3599999999999</v>
      </c>
      <c r="X33" s="25">
        <v>4057</v>
      </c>
      <c r="Y33" s="25">
        <v>2028.5</v>
      </c>
      <c r="Z33" s="5">
        <v>2877.18</v>
      </c>
      <c r="AA33" s="21">
        <v>3531</v>
      </c>
    </row>
    <row r="34" spans="1:27" ht="15.75" customHeight="1">
      <c r="A34" s="34">
        <v>99796406</v>
      </c>
      <c r="B34" s="35" t="s">
        <v>86</v>
      </c>
      <c r="C34" s="36">
        <v>2.2000000000000002</v>
      </c>
      <c r="D34" s="36">
        <v>2</v>
      </c>
      <c r="E34" s="36">
        <v>98336369</v>
      </c>
      <c r="F34" s="36" t="s">
        <v>2130</v>
      </c>
      <c r="G34" s="36">
        <v>92932672</v>
      </c>
      <c r="H34" s="36" t="s">
        <v>2047</v>
      </c>
      <c r="I34" s="36">
        <v>93176749</v>
      </c>
      <c r="J34" s="36" t="s">
        <v>2086</v>
      </c>
      <c r="K34" s="36">
        <v>4</v>
      </c>
      <c r="L34" s="25">
        <v>3552</v>
      </c>
      <c r="M34" s="25">
        <v>1776</v>
      </c>
      <c r="N34" s="39"/>
      <c r="O34" s="39"/>
      <c r="P34" s="25"/>
      <c r="Q34" s="25"/>
      <c r="R34" s="25">
        <v>565.52</v>
      </c>
      <c r="S34" s="40">
        <v>284.76</v>
      </c>
      <c r="T34" s="25">
        <v>59.52</v>
      </c>
      <c r="U34" s="25">
        <v>238.08</v>
      </c>
      <c r="V34" s="25">
        <v>288.58</v>
      </c>
      <c r="W34" s="25">
        <v>1154.32</v>
      </c>
      <c r="X34" s="25">
        <v>3552</v>
      </c>
      <c r="Y34" s="25">
        <v>1776</v>
      </c>
      <c r="Z34" s="5">
        <v>2579.6</v>
      </c>
      <c r="AA34" s="21">
        <v>3166</v>
      </c>
    </row>
    <row r="35" spans="1:27" ht="15.75" customHeight="1">
      <c r="A35" s="34">
        <v>99801311</v>
      </c>
      <c r="B35" s="35" t="s">
        <v>133</v>
      </c>
      <c r="C35" s="36">
        <v>3</v>
      </c>
      <c r="D35" s="36">
        <v>4</v>
      </c>
      <c r="E35" s="36">
        <v>98327382</v>
      </c>
      <c r="F35" s="36" t="s">
        <v>2134</v>
      </c>
      <c r="G35" s="36">
        <v>91338157</v>
      </c>
      <c r="H35" s="36" t="s">
        <v>744</v>
      </c>
      <c r="I35" s="36">
        <v>93176761</v>
      </c>
      <c r="J35" s="36" t="s">
        <v>2087</v>
      </c>
      <c r="K35" s="36">
        <v>4</v>
      </c>
      <c r="L35" s="25">
        <v>5543</v>
      </c>
      <c r="M35" s="25">
        <v>2771.5</v>
      </c>
      <c r="N35" s="39"/>
      <c r="O35" s="39"/>
      <c r="P35" s="25"/>
      <c r="Q35" s="25"/>
      <c r="R35" s="25">
        <v>532.03</v>
      </c>
      <c r="S35" s="40">
        <v>284.76</v>
      </c>
      <c r="T35" s="25">
        <v>59.52</v>
      </c>
      <c r="U35" s="25">
        <v>238.08</v>
      </c>
      <c r="V35" s="25">
        <v>288.58999999999997</v>
      </c>
      <c r="W35" s="25">
        <v>1154.3599999999999</v>
      </c>
      <c r="X35" s="25">
        <v>5543</v>
      </c>
      <c r="Y35" s="25">
        <v>2771.5</v>
      </c>
      <c r="Z35" s="5">
        <v>3541.61</v>
      </c>
      <c r="AA35" s="21">
        <v>4346</v>
      </c>
    </row>
    <row r="36" spans="1:27" ht="15.75" customHeight="1">
      <c r="A36" s="34">
        <v>99801146</v>
      </c>
      <c r="B36" s="35" t="s">
        <v>264</v>
      </c>
      <c r="C36" s="36">
        <v>55</v>
      </c>
      <c r="D36" s="36">
        <v>2</v>
      </c>
      <c r="E36" s="36" t="s">
        <v>720</v>
      </c>
      <c r="F36" s="36" t="s">
        <v>2133</v>
      </c>
      <c r="G36" s="36">
        <v>91338020</v>
      </c>
      <c r="H36" s="36" t="s">
        <v>737</v>
      </c>
      <c r="I36" s="36"/>
      <c r="J36" s="36" t="s">
        <v>2099</v>
      </c>
      <c r="K36" s="36">
        <v>6</v>
      </c>
      <c r="L36" s="25">
        <v>16250</v>
      </c>
      <c r="M36" s="25">
        <v>8125</v>
      </c>
      <c r="N36" s="39"/>
      <c r="O36" s="39"/>
      <c r="P36" s="42"/>
      <c r="Q36" s="42"/>
      <c r="R36" s="42">
        <v>1100</v>
      </c>
      <c r="S36" s="40">
        <v>427.14</v>
      </c>
      <c r="T36" s="25">
        <v>170.3</v>
      </c>
      <c r="U36" s="25">
        <v>1021.8</v>
      </c>
      <c r="V36" s="25">
        <v>717.41</v>
      </c>
      <c r="W36" s="25">
        <v>4304.46</v>
      </c>
      <c r="X36" s="25">
        <v>16250</v>
      </c>
      <c r="Y36" s="25">
        <v>8125</v>
      </c>
      <c r="Z36" s="5">
        <v>10246.799999999999</v>
      </c>
      <c r="AA36" s="21">
        <v>12573</v>
      </c>
    </row>
    <row r="37" spans="1:27" ht="15.75" customHeight="1">
      <c r="A37" s="34">
        <v>99801290</v>
      </c>
      <c r="B37" s="35" t="s">
        <v>151</v>
      </c>
      <c r="C37" s="36">
        <v>1.1000000000000001</v>
      </c>
      <c r="D37" s="36">
        <v>2</v>
      </c>
      <c r="E37" s="36">
        <v>98336369</v>
      </c>
      <c r="F37" s="36" t="s">
        <v>2130</v>
      </c>
      <c r="G37" s="36">
        <v>92932672</v>
      </c>
      <c r="H37" s="36" t="s">
        <v>2047</v>
      </c>
      <c r="I37" s="36">
        <v>93176749</v>
      </c>
      <c r="J37" s="36" t="s">
        <v>2086</v>
      </c>
      <c r="K37" s="36">
        <v>4</v>
      </c>
      <c r="L37" s="25">
        <v>3669</v>
      </c>
      <c r="M37" s="25">
        <v>1834.5</v>
      </c>
      <c r="N37" s="39"/>
      <c r="O37" s="39"/>
      <c r="P37" s="25"/>
      <c r="Q37" s="25"/>
      <c r="R37" s="25">
        <v>565.52</v>
      </c>
      <c r="S37" s="40">
        <v>284.76</v>
      </c>
      <c r="T37" s="25">
        <v>59.52</v>
      </c>
      <c r="U37" s="25">
        <v>238.08</v>
      </c>
      <c r="V37" s="25">
        <v>288.58</v>
      </c>
      <c r="W37" s="25">
        <v>1154.32</v>
      </c>
      <c r="X37" s="25">
        <v>3669</v>
      </c>
      <c r="Y37" s="25">
        <v>1834.5</v>
      </c>
      <c r="Z37" s="5">
        <v>2638.1</v>
      </c>
      <c r="AA37" s="21">
        <v>3237</v>
      </c>
    </row>
    <row r="38" spans="1:27">
      <c r="A38" s="34">
        <v>99801365</v>
      </c>
      <c r="B38" s="35" t="s">
        <v>178</v>
      </c>
      <c r="C38" s="36">
        <v>7.5</v>
      </c>
      <c r="D38" s="36">
        <v>4</v>
      </c>
      <c r="E38" s="36">
        <v>98327389</v>
      </c>
      <c r="F38" s="36" t="s">
        <v>2131</v>
      </c>
      <c r="G38" s="36">
        <v>91338018</v>
      </c>
      <c r="H38" s="36" t="s">
        <v>735</v>
      </c>
      <c r="I38" s="36">
        <v>93176762</v>
      </c>
      <c r="J38" s="36" t="s">
        <v>2096</v>
      </c>
      <c r="K38" s="36">
        <v>4</v>
      </c>
      <c r="L38" s="25">
        <v>7763</v>
      </c>
      <c r="M38" s="25">
        <v>3881.5</v>
      </c>
      <c r="N38" s="39"/>
      <c r="O38" s="39"/>
      <c r="P38" s="25"/>
      <c r="Q38" s="25"/>
      <c r="R38" s="25">
        <v>663.42</v>
      </c>
      <c r="S38" s="40">
        <v>284.76</v>
      </c>
      <c r="T38" s="25">
        <v>170.3</v>
      </c>
      <c r="U38" s="25">
        <v>681.2</v>
      </c>
      <c r="V38" s="25">
        <v>668.94</v>
      </c>
      <c r="W38" s="25">
        <v>2675.76</v>
      </c>
      <c r="X38" s="25">
        <v>7763</v>
      </c>
      <c r="Y38" s="25">
        <v>3881.5</v>
      </c>
      <c r="Z38" s="5">
        <v>5226.12</v>
      </c>
      <c r="AA38" s="21">
        <v>6413</v>
      </c>
    </row>
    <row r="39" spans="1:27">
      <c r="A39" s="34">
        <v>99801273</v>
      </c>
      <c r="B39" s="35" t="s">
        <v>287</v>
      </c>
      <c r="C39" s="36">
        <v>0.75</v>
      </c>
      <c r="D39" s="36">
        <v>4</v>
      </c>
      <c r="E39" s="36">
        <v>98336369</v>
      </c>
      <c r="F39" s="36" t="s">
        <v>2130</v>
      </c>
      <c r="G39" s="36">
        <v>92932672</v>
      </c>
      <c r="H39" s="36" t="s">
        <v>2047</v>
      </c>
      <c r="I39" s="36">
        <v>93176749</v>
      </c>
      <c r="J39" s="36" t="s">
        <v>2086</v>
      </c>
      <c r="K39" s="36">
        <v>4</v>
      </c>
      <c r="L39" s="25">
        <v>3326</v>
      </c>
      <c r="M39" s="25">
        <v>1663</v>
      </c>
      <c r="N39" s="39"/>
      <c r="O39" s="39"/>
      <c r="P39" s="25"/>
      <c r="Q39" s="25"/>
      <c r="R39" s="25">
        <v>565.52</v>
      </c>
      <c r="S39" s="40">
        <v>284.76</v>
      </c>
      <c r="T39" s="25">
        <v>59.52</v>
      </c>
      <c r="U39" s="25">
        <v>238.08</v>
      </c>
      <c r="V39" s="25">
        <v>288.58</v>
      </c>
      <c r="W39" s="25">
        <v>1154.32</v>
      </c>
      <c r="X39" s="25">
        <v>3326</v>
      </c>
      <c r="Y39" s="25">
        <v>1663</v>
      </c>
      <c r="Z39" s="5">
        <v>2466.6</v>
      </c>
      <c r="AA39" s="21">
        <v>3027</v>
      </c>
    </row>
    <row r="40" spans="1:27">
      <c r="A40" s="34">
        <v>99801364</v>
      </c>
      <c r="B40" s="35" t="s">
        <v>175</v>
      </c>
      <c r="C40" s="36">
        <v>5.5</v>
      </c>
      <c r="D40" s="36">
        <v>4</v>
      </c>
      <c r="E40" s="36">
        <v>92513065</v>
      </c>
      <c r="F40" s="36" t="s">
        <v>742</v>
      </c>
      <c r="G40" s="36">
        <v>91338016</v>
      </c>
      <c r="H40" s="36" t="s">
        <v>746</v>
      </c>
      <c r="I40" s="36">
        <v>93176760</v>
      </c>
      <c r="J40" s="36" t="s">
        <v>2088</v>
      </c>
      <c r="K40" s="36">
        <v>4</v>
      </c>
      <c r="L40" s="25">
        <v>7308</v>
      </c>
      <c r="M40" s="25">
        <v>3654</v>
      </c>
      <c r="N40" s="39"/>
      <c r="O40" s="39"/>
      <c r="P40" s="25"/>
      <c r="Q40" s="25"/>
      <c r="R40" s="25">
        <v>610.6</v>
      </c>
      <c r="S40" s="40">
        <v>284.76</v>
      </c>
      <c r="T40" s="25">
        <v>135.26</v>
      </c>
      <c r="U40" s="25">
        <v>541.04</v>
      </c>
      <c r="V40" s="25">
        <v>288.61</v>
      </c>
      <c r="W40" s="25">
        <v>1154.44</v>
      </c>
      <c r="X40" s="25">
        <v>7308</v>
      </c>
      <c r="Y40" s="25">
        <v>3654</v>
      </c>
      <c r="Z40" s="5">
        <v>4805.6400000000003</v>
      </c>
      <c r="AA40" s="21">
        <v>5897</v>
      </c>
    </row>
    <row r="41" spans="1:27">
      <c r="A41" s="34">
        <v>99801274</v>
      </c>
      <c r="B41" s="35" t="s">
        <v>85</v>
      </c>
      <c r="C41" s="36">
        <v>0.55000000000000004</v>
      </c>
      <c r="D41" s="36">
        <v>4</v>
      </c>
      <c r="E41" s="36">
        <v>98336369</v>
      </c>
      <c r="F41" s="36" t="s">
        <v>2130</v>
      </c>
      <c r="G41" s="36">
        <v>92932672</v>
      </c>
      <c r="H41" s="36" t="s">
        <v>2047</v>
      </c>
      <c r="I41" s="36">
        <v>93176749</v>
      </c>
      <c r="J41" s="36" t="s">
        <v>2086</v>
      </c>
      <c r="K41" s="36">
        <v>4</v>
      </c>
      <c r="L41" s="25">
        <v>3379</v>
      </c>
      <c r="M41" s="25">
        <v>1689.5</v>
      </c>
      <c r="N41" s="39"/>
      <c r="O41" s="39"/>
      <c r="P41" s="25"/>
      <c r="Q41" s="25"/>
      <c r="R41" s="25">
        <v>565.52</v>
      </c>
      <c r="S41" s="40">
        <v>284.76</v>
      </c>
      <c r="T41" s="25">
        <v>59.52</v>
      </c>
      <c r="U41" s="25">
        <v>238.08</v>
      </c>
      <c r="V41" s="25">
        <v>288.58</v>
      </c>
      <c r="W41" s="25">
        <v>1154.32</v>
      </c>
      <c r="X41" s="25">
        <v>3379</v>
      </c>
      <c r="Y41" s="25">
        <v>1689.5</v>
      </c>
      <c r="Z41" s="5">
        <v>2493.1</v>
      </c>
      <c r="AA41" s="21">
        <v>3060</v>
      </c>
    </row>
    <row r="42" spans="1:27">
      <c r="A42" s="34">
        <v>99801291</v>
      </c>
      <c r="B42" s="35" t="s">
        <v>95</v>
      </c>
      <c r="C42" s="36">
        <v>1.1000000000000001</v>
      </c>
      <c r="D42" s="36">
        <v>4</v>
      </c>
      <c r="E42" s="36">
        <v>98336369</v>
      </c>
      <c r="F42" s="36" t="s">
        <v>2130</v>
      </c>
      <c r="G42" s="36">
        <v>92932672</v>
      </c>
      <c r="H42" s="36" t="s">
        <v>2047</v>
      </c>
      <c r="I42" s="36">
        <v>93176749</v>
      </c>
      <c r="J42" s="36" t="s">
        <v>2086</v>
      </c>
      <c r="K42" s="36">
        <v>4</v>
      </c>
      <c r="L42" s="25">
        <v>4053</v>
      </c>
      <c r="M42" s="25">
        <v>2026.5</v>
      </c>
      <c r="N42" s="39"/>
      <c r="O42" s="39"/>
      <c r="P42" s="25"/>
      <c r="Q42" s="25"/>
      <c r="R42" s="25">
        <v>565.52</v>
      </c>
      <c r="S42" s="40">
        <v>284.76</v>
      </c>
      <c r="T42" s="25">
        <v>59.52</v>
      </c>
      <c r="U42" s="25">
        <v>238.08</v>
      </c>
      <c r="V42" s="25">
        <v>288.58</v>
      </c>
      <c r="W42" s="25">
        <v>1154.32</v>
      </c>
      <c r="X42" s="25">
        <v>4053</v>
      </c>
      <c r="Y42" s="25">
        <v>2026.5</v>
      </c>
      <c r="Z42" s="5">
        <v>2830.1</v>
      </c>
      <c r="AA42" s="21">
        <v>3473</v>
      </c>
    </row>
    <row r="43" spans="1:27">
      <c r="A43" s="34">
        <v>99801288</v>
      </c>
      <c r="B43" s="35" t="s">
        <v>80</v>
      </c>
      <c r="C43" s="36">
        <v>0.55000000000000004</v>
      </c>
      <c r="D43" s="36">
        <v>4</v>
      </c>
      <c r="E43" s="36">
        <v>98336369</v>
      </c>
      <c r="F43" s="36" t="s">
        <v>2130</v>
      </c>
      <c r="G43" s="36">
        <v>92932672</v>
      </c>
      <c r="H43" s="36" t="s">
        <v>2047</v>
      </c>
      <c r="I43" s="36">
        <v>93176749</v>
      </c>
      <c r="J43" s="36" t="s">
        <v>2086</v>
      </c>
      <c r="K43" s="36">
        <v>4</v>
      </c>
      <c r="L43" s="25">
        <v>3428</v>
      </c>
      <c r="M43" s="25">
        <v>1714</v>
      </c>
      <c r="N43" s="39"/>
      <c r="O43" s="39"/>
      <c r="P43" s="25"/>
      <c r="Q43" s="25"/>
      <c r="R43" s="25">
        <v>565.52</v>
      </c>
      <c r="S43" s="40">
        <v>284.76</v>
      </c>
      <c r="T43" s="25">
        <v>59.52</v>
      </c>
      <c r="U43" s="25">
        <v>238.08</v>
      </c>
      <c r="V43" s="25">
        <v>288.58</v>
      </c>
      <c r="W43" s="25">
        <v>1154.32</v>
      </c>
      <c r="X43" s="25">
        <v>3428</v>
      </c>
      <c r="Y43" s="25">
        <v>1714</v>
      </c>
      <c r="Z43" s="5">
        <v>2517.6</v>
      </c>
      <c r="AA43" s="21">
        <v>3090</v>
      </c>
    </row>
    <row r="44" spans="1:27">
      <c r="A44" s="34">
        <v>99801148</v>
      </c>
      <c r="B44" s="35" t="s">
        <v>198</v>
      </c>
      <c r="C44" s="36">
        <v>90</v>
      </c>
      <c r="D44" s="36">
        <v>4</v>
      </c>
      <c r="E44" s="36" t="s">
        <v>720</v>
      </c>
      <c r="F44" s="36" t="s">
        <v>2133</v>
      </c>
      <c r="G44" s="36">
        <v>91338021</v>
      </c>
      <c r="H44" s="36" t="s">
        <v>718</v>
      </c>
      <c r="I44" s="36"/>
      <c r="J44" s="36" t="s">
        <v>2101</v>
      </c>
      <c r="K44" s="36">
        <v>6</v>
      </c>
      <c r="L44" s="25">
        <v>20759</v>
      </c>
      <c r="M44" s="25">
        <v>10379.5</v>
      </c>
      <c r="N44" s="39"/>
      <c r="O44" s="39"/>
      <c r="P44" s="42"/>
      <c r="Q44" s="42"/>
      <c r="R44" s="42">
        <v>1100</v>
      </c>
      <c r="S44" s="40">
        <v>427.14</v>
      </c>
      <c r="T44" s="25">
        <v>170.3</v>
      </c>
      <c r="U44" s="25">
        <v>1021.8</v>
      </c>
      <c r="V44" s="25">
        <v>717.41</v>
      </c>
      <c r="W44" s="25">
        <v>4304.46</v>
      </c>
      <c r="X44" s="25">
        <v>20759</v>
      </c>
      <c r="Y44" s="25">
        <v>10379.5</v>
      </c>
      <c r="Z44" s="5">
        <v>12501.3</v>
      </c>
      <c r="AA44" s="21">
        <v>15340</v>
      </c>
    </row>
    <row r="45" spans="1:27">
      <c r="A45" s="34">
        <v>99801277</v>
      </c>
      <c r="B45" s="35" t="s">
        <v>89</v>
      </c>
      <c r="C45" s="36">
        <v>1.5</v>
      </c>
      <c r="D45" s="36">
        <v>4</v>
      </c>
      <c r="E45" s="36">
        <v>98336369</v>
      </c>
      <c r="F45" s="36" t="s">
        <v>2130</v>
      </c>
      <c r="G45" s="36">
        <v>92932672</v>
      </c>
      <c r="H45" s="36" t="s">
        <v>2047</v>
      </c>
      <c r="I45" s="36">
        <v>93176749</v>
      </c>
      <c r="J45" s="36" t="s">
        <v>2086</v>
      </c>
      <c r="K45" s="36">
        <v>4</v>
      </c>
      <c r="L45" s="25">
        <v>3787</v>
      </c>
      <c r="M45" s="25">
        <v>1893.5</v>
      </c>
      <c r="N45" s="39"/>
      <c r="O45" s="39"/>
      <c r="P45" s="25"/>
      <c r="Q45" s="25"/>
      <c r="R45" s="25">
        <v>565.52</v>
      </c>
      <c r="S45" s="40">
        <v>284.76</v>
      </c>
      <c r="T45" s="25">
        <v>59.52</v>
      </c>
      <c r="U45" s="25">
        <v>238.08</v>
      </c>
      <c r="V45" s="25">
        <v>288.58</v>
      </c>
      <c r="W45" s="25">
        <v>1154.32</v>
      </c>
      <c r="X45" s="25">
        <v>3787</v>
      </c>
      <c r="Y45" s="25">
        <v>1893.5</v>
      </c>
      <c r="Z45" s="5">
        <v>2697.1</v>
      </c>
      <c r="AA45" s="21">
        <v>3310</v>
      </c>
    </row>
    <row r="46" spans="1:27">
      <c r="A46" s="34">
        <v>99801306</v>
      </c>
      <c r="B46" s="35" t="s">
        <v>160</v>
      </c>
      <c r="C46" s="36">
        <v>2.2000000000000002</v>
      </c>
      <c r="D46" s="36">
        <v>2</v>
      </c>
      <c r="E46" s="36">
        <v>98336369</v>
      </c>
      <c r="F46" s="36" t="s">
        <v>2130</v>
      </c>
      <c r="G46" s="36">
        <v>92932672</v>
      </c>
      <c r="H46" s="36" t="s">
        <v>2047</v>
      </c>
      <c r="I46" s="36">
        <v>93176749</v>
      </c>
      <c r="J46" s="36" t="s">
        <v>2086</v>
      </c>
      <c r="K46" s="36">
        <v>4</v>
      </c>
      <c r="L46" s="25">
        <v>4004</v>
      </c>
      <c r="M46" s="25">
        <v>2002</v>
      </c>
      <c r="N46" s="39"/>
      <c r="O46" s="39"/>
      <c r="P46" s="25"/>
      <c r="Q46" s="25"/>
      <c r="R46" s="25">
        <v>565.52</v>
      </c>
      <c r="S46" s="40">
        <v>284.76</v>
      </c>
      <c r="T46" s="25">
        <v>59.52</v>
      </c>
      <c r="U46" s="25">
        <v>238.08</v>
      </c>
      <c r="V46" s="25">
        <v>288.58</v>
      </c>
      <c r="W46" s="25">
        <v>1154.32</v>
      </c>
      <c r="X46" s="25">
        <v>4004</v>
      </c>
      <c r="Y46" s="25">
        <v>2002</v>
      </c>
      <c r="Z46" s="5">
        <v>2805.6</v>
      </c>
      <c r="AA46" s="21">
        <v>3443</v>
      </c>
    </row>
    <row r="47" spans="1:27">
      <c r="A47" s="34">
        <v>99801382</v>
      </c>
      <c r="B47" s="35" t="s">
        <v>284</v>
      </c>
      <c r="C47" s="36">
        <v>90</v>
      </c>
      <c r="D47" s="36">
        <v>4</v>
      </c>
      <c r="E47" s="36"/>
      <c r="F47" s="36" t="e">
        <v>#N/A</v>
      </c>
      <c r="G47" s="36">
        <v>91338019</v>
      </c>
      <c r="H47" s="36" t="s">
        <v>733</v>
      </c>
      <c r="I47" s="36"/>
      <c r="J47" s="36" t="s">
        <v>2097</v>
      </c>
      <c r="K47" s="36">
        <v>4</v>
      </c>
      <c r="L47" s="25">
        <v>26530</v>
      </c>
      <c r="M47" s="25">
        <v>13265</v>
      </c>
      <c r="N47" s="39"/>
      <c r="O47" s="39"/>
      <c r="P47" s="25"/>
      <c r="Q47" s="25"/>
      <c r="R47" s="25" t="e">
        <v>#N/A</v>
      </c>
      <c r="S47" s="40">
        <v>284.76</v>
      </c>
      <c r="T47" s="25">
        <v>170.3</v>
      </c>
      <c r="U47" s="25">
        <v>681.2</v>
      </c>
      <c r="V47" s="25">
        <v>668.94</v>
      </c>
      <c r="W47" s="25">
        <v>2675.76</v>
      </c>
      <c r="X47" s="25">
        <v>26530</v>
      </c>
      <c r="Y47" s="25">
        <v>13265</v>
      </c>
      <c r="Z47" s="7">
        <v>1</v>
      </c>
      <c r="AA47" s="21">
        <v>2</v>
      </c>
    </row>
    <row r="48" spans="1:27">
      <c r="A48" s="34">
        <v>99801381</v>
      </c>
      <c r="B48" s="35" t="s">
        <v>275</v>
      </c>
      <c r="C48" s="36">
        <v>75</v>
      </c>
      <c r="D48" s="36">
        <v>4</v>
      </c>
      <c r="E48" s="44" t="s">
        <v>716</v>
      </c>
      <c r="F48" s="44" t="s">
        <v>717</v>
      </c>
      <c r="G48" s="36">
        <v>91338021</v>
      </c>
      <c r="H48" s="36" t="s">
        <v>718</v>
      </c>
      <c r="I48" s="36"/>
      <c r="J48" s="36" t="s">
        <v>2101</v>
      </c>
      <c r="K48" s="44">
        <v>4</v>
      </c>
      <c r="L48" s="25">
        <v>25130</v>
      </c>
      <c r="M48" s="25">
        <v>12565</v>
      </c>
      <c r="N48" s="39"/>
      <c r="O48" s="39"/>
      <c r="P48" s="42"/>
      <c r="Q48" s="42"/>
      <c r="R48" s="47">
        <v>1550</v>
      </c>
      <c r="S48" s="40">
        <v>284.76</v>
      </c>
      <c r="T48" s="25">
        <v>170.3</v>
      </c>
      <c r="U48" s="25">
        <v>681.2</v>
      </c>
      <c r="V48" s="25">
        <v>717.41</v>
      </c>
      <c r="W48" s="25">
        <v>2869.64</v>
      </c>
      <c r="X48" s="25">
        <v>25130</v>
      </c>
      <c r="Y48" s="25">
        <v>12565</v>
      </c>
      <c r="Z48" s="5">
        <v>14796.2</v>
      </c>
      <c r="AA48" s="21">
        <v>18155</v>
      </c>
    </row>
    <row r="49" spans="1:27">
      <c r="A49" s="34">
        <v>99801121</v>
      </c>
      <c r="B49" s="35" t="s">
        <v>120</v>
      </c>
      <c r="C49" s="36">
        <v>18.5</v>
      </c>
      <c r="D49" s="36">
        <v>4</v>
      </c>
      <c r="E49" s="36">
        <v>98327389</v>
      </c>
      <c r="F49" s="36" t="s">
        <v>2131</v>
      </c>
      <c r="G49" s="36">
        <v>91338018</v>
      </c>
      <c r="H49" s="36" t="s">
        <v>735</v>
      </c>
      <c r="I49" s="36">
        <v>93176762</v>
      </c>
      <c r="J49" s="36" t="s">
        <v>2096</v>
      </c>
      <c r="K49" s="36">
        <v>4</v>
      </c>
      <c r="L49" s="25">
        <v>8399</v>
      </c>
      <c r="M49" s="25">
        <v>4199.5</v>
      </c>
      <c r="N49" s="43"/>
      <c r="O49" s="43"/>
      <c r="P49" s="25"/>
      <c r="Q49" s="25"/>
      <c r="R49" s="25">
        <v>663.42</v>
      </c>
      <c r="S49" s="40">
        <v>284.76</v>
      </c>
      <c r="T49" s="25">
        <v>170.3</v>
      </c>
      <c r="U49" s="25">
        <v>681.2</v>
      </c>
      <c r="V49" s="25">
        <v>668.94</v>
      </c>
      <c r="W49" s="25">
        <v>2675.76</v>
      </c>
      <c r="X49" s="25">
        <v>8399</v>
      </c>
      <c r="Y49" s="25">
        <v>4199.5</v>
      </c>
      <c r="Z49" s="5">
        <v>5544.12</v>
      </c>
      <c r="AA49" s="21">
        <v>6803</v>
      </c>
    </row>
    <row r="50" spans="1:27">
      <c r="A50" s="34">
        <v>99801342</v>
      </c>
      <c r="B50" s="35" t="s">
        <v>219</v>
      </c>
      <c r="C50" s="36">
        <v>18.5</v>
      </c>
      <c r="D50" s="36">
        <v>4</v>
      </c>
      <c r="E50" s="36">
        <v>99051550</v>
      </c>
      <c r="F50" s="36" t="s">
        <v>749</v>
      </c>
      <c r="G50" s="36">
        <v>91338019</v>
      </c>
      <c r="H50" s="36" t="s">
        <v>733</v>
      </c>
      <c r="I50" s="36"/>
      <c r="J50" s="36" t="s">
        <v>2097</v>
      </c>
      <c r="K50" s="36">
        <v>4</v>
      </c>
      <c r="L50" s="25">
        <v>14794</v>
      </c>
      <c r="M50" s="25">
        <v>7397</v>
      </c>
      <c r="N50" s="39"/>
      <c r="O50" s="39"/>
      <c r="P50" s="25"/>
      <c r="Q50" s="25"/>
      <c r="R50" s="25">
        <v>741.99</v>
      </c>
      <c r="S50" s="40">
        <v>284.76</v>
      </c>
      <c r="T50" s="25">
        <v>170.3</v>
      </c>
      <c r="U50" s="25">
        <v>681.2</v>
      </c>
      <c r="V50" s="25">
        <v>668.94</v>
      </c>
      <c r="W50" s="25">
        <v>2675.76</v>
      </c>
      <c r="X50" s="25">
        <v>14794</v>
      </c>
      <c r="Y50" s="25">
        <v>7397</v>
      </c>
      <c r="Z50" s="5">
        <v>8820.19</v>
      </c>
      <c r="AA50" s="21">
        <v>10823</v>
      </c>
    </row>
    <row r="51" spans="1:27">
      <c r="A51" s="34">
        <v>99801120</v>
      </c>
      <c r="B51" s="35" t="s">
        <v>174</v>
      </c>
      <c r="C51" s="36">
        <v>15</v>
      </c>
      <c r="D51" s="36">
        <v>2</v>
      </c>
      <c r="E51" s="36">
        <v>92513065</v>
      </c>
      <c r="F51" s="36" t="s">
        <v>742</v>
      </c>
      <c r="G51" s="36">
        <v>91338016</v>
      </c>
      <c r="H51" s="36" t="s">
        <v>746</v>
      </c>
      <c r="I51" s="36">
        <v>93176760</v>
      </c>
      <c r="J51" s="36" t="s">
        <v>2088</v>
      </c>
      <c r="K51" s="36">
        <v>4</v>
      </c>
      <c r="L51" s="25">
        <v>7990</v>
      </c>
      <c r="M51" s="25">
        <v>3995</v>
      </c>
      <c r="N51" s="39">
        <v>888.24</v>
      </c>
      <c r="O51" s="43">
        <v>444.12</v>
      </c>
      <c r="P51" s="25">
        <v>1041.4000000000001</v>
      </c>
      <c r="Q51" s="40">
        <v>520.70000000000005</v>
      </c>
      <c r="R51" s="25">
        <v>610.6</v>
      </c>
      <c r="S51" s="40">
        <v>284.76</v>
      </c>
      <c r="T51" s="25">
        <v>135.26</v>
      </c>
      <c r="U51" s="25">
        <v>541.04</v>
      </c>
      <c r="V51" s="25">
        <v>288.61</v>
      </c>
      <c r="W51" s="25">
        <v>1154.44</v>
      </c>
      <c r="X51" s="25">
        <v>7990</v>
      </c>
      <c r="Y51" s="25">
        <v>3995</v>
      </c>
      <c r="Z51" s="5">
        <v>5146.6400000000003</v>
      </c>
      <c r="AA51" s="21">
        <v>6315</v>
      </c>
    </row>
    <row r="52" spans="1:27">
      <c r="A52" s="34">
        <v>99801343</v>
      </c>
      <c r="B52" s="35" t="s">
        <v>228</v>
      </c>
      <c r="C52" s="36">
        <v>22</v>
      </c>
      <c r="D52" s="36">
        <v>4</v>
      </c>
      <c r="E52" s="36">
        <v>99051550</v>
      </c>
      <c r="F52" s="36" t="s">
        <v>749</v>
      </c>
      <c r="G52" s="36">
        <v>91338019</v>
      </c>
      <c r="H52" s="36" t="s">
        <v>733</v>
      </c>
      <c r="I52" s="36"/>
      <c r="J52" s="36" t="s">
        <v>2097</v>
      </c>
      <c r="K52" s="36">
        <v>4</v>
      </c>
      <c r="L52" s="25">
        <v>15298</v>
      </c>
      <c r="M52" s="25">
        <v>7649</v>
      </c>
      <c r="N52" s="39"/>
      <c r="O52" s="39"/>
      <c r="P52" s="25"/>
      <c r="Q52" s="25"/>
      <c r="R52" s="25">
        <v>741.99</v>
      </c>
      <c r="S52" s="40">
        <v>284.76</v>
      </c>
      <c r="T52" s="25">
        <v>170.3</v>
      </c>
      <c r="U52" s="25">
        <v>681.2</v>
      </c>
      <c r="V52" s="25">
        <v>668.94</v>
      </c>
      <c r="W52" s="25">
        <v>2675.76</v>
      </c>
      <c r="X52" s="25">
        <v>15298</v>
      </c>
      <c r="Y52" s="25">
        <v>7649</v>
      </c>
      <c r="Z52" s="5">
        <v>9072.19</v>
      </c>
      <c r="AA52" s="21">
        <v>11132</v>
      </c>
    </row>
    <row r="53" spans="1:27">
      <c r="A53" s="34">
        <v>99801319</v>
      </c>
      <c r="B53" s="35" t="s">
        <v>94</v>
      </c>
      <c r="C53" s="36">
        <v>0.75</v>
      </c>
      <c r="D53" s="36">
        <v>4</v>
      </c>
      <c r="E53" s="36">
        <v>98336369</v>
      </c>
      <c r="F53" s="36" t="s">
        <v>2130</v>
      </c>
      <c r="G53" s="36">
        <v>92932672</v>
      </c>
      <c r="H53" s="36" t="s">
        <v>2047</v>
      </c>
      <c r="I53" s="36">
        <v>93176749</v>
      </c>
      <c r="J53" s="36" t="s">
        <v>2086</v>
      </c>
      <c r="K53" s="36">
        <v>4</v>
      </c>
      <c r="L53" s="25">
        <v>3740</v>
      </c>
      <c r="M53" s="25">
        <v>1870</v>
      </c>
      <c r="N53" s="39"/>
      <c r="O53" s="39"/>
      <c r="P53" s="25"/>
      <c r="Q53" s="25"/>
      <c r="R53" s="25">
        <v>565.52</v>
      </c>
      <c r="S53" s="40">
        <v>284.76</v>
      </c>
      <c r="T53" s="25">
        <v>59.52</v>
      </c>
      <c r="U53" s="25">
        <v>238.08</v>
      </c>
      <c r="V53" s="25">
        <v>288.58</v>
      </c>
      <c r="W53" s="25">
        <v>1154.32</v>
      </c>
      <c r="X53" s="25">
        <v>3740</v>
      </c>
      <c r="Y53" s="25">
        <v>1870</v>
      </c>
      <c r="Z53" s="5">
        <v>2673.6</v>
      </c>
      <c r="AA53" s="21">
        <v>3281</v>
      </c>
    </row>
    <row r="54" spans="1:27">
      <c r="A54" s="46">
        <v>99801140</v>
      </c>
      <c r="B54" s="35" t="s">
        <v>241</v>
      </c>
      <c r="C54" s="36">
        <v>45</v>
      </c>
      <c r="D54" s="36">
        <v>2</v>
      </c>
      <c r="E54" s="36">
        <v>98299752</v>
      </c>
      <c r="F54" s="36" t="s">
        <v>2132</v>
      </c>
      <c r="G54" s="36">
        <v>91338020</v>
      </c>
      <c r="H54" s="36" t="s">
        <v>737</v>
      </c>
      <c r="I54" s="36"/>
      <c r="J54" s="36" t="s">
        <v>2099</v>
      </c>
      <c r="K54" s="36">
        <v>4</v>
      </c>
      <c r="L54" s="25">
        <v>14793</v>
      </c>
      <c r="M54" s="25">
        <v>7396.5</v>
      </c>
      <c r="N54" s="39"/>
      <c r="O54" s="39"/>
      <c r="P54" s="25"/>
      <c r="Q54" s="25"/>
      <c r="R54" s="25">
        <v>824.44</v>
      </c>
      <c r="S54" s="40">
        <v>284.76</v>
      </c>
      <c r="T54" s="25">
        <v>170.3</v>
      </c>
      <c r="U54" s="25">
        <v>681.2</v>
      </c>
      <c r="V54" s="25">
        <v>717.41</v>
      </c>
      <c r="W54" s="25">
        <v>2869.64</v>
      </c>
      <c r="X54" s="25">
        <v>14793</v>
      </c>
      <c r="Y54" s="25">
        <v>7396.5</v>
      </c>
      <c r="Z54" s="5">
        <v>8902.14</v>
      </c>
      <c r="AA54" s="21">
        <v>10923</v>
      </c>
    </row>
    <row r="55" spans="1:27">
      <c r="A55" s="34">
        <v>99801134</v>
      </c>
      <c r="B55" s="35" t="s">
        <v>281</v>
      </c>
      <c r="C55" s="36">
        <v>90</v>
      </c>
      <c r="D55" s="36">
        <v>2</v>
      </c>
      <c r="E55" s="36" t="s">
        <v>720</v>
      </c>
      <c r="F55" s="36" t="s">
        <v>2133</v>
      </c>
      <c r="G55" s="36">
        <v>91338021</v>
      </c>
      <c r="H55" s="36" t="s">
        <v>718</v>
      </c>
      <c r="I55" s="36"/>
      <c r="J55" s="36" t="s">
        <v>2101</v>
      </c>
      <c r="K55" s="36">
        <v>6</v>
      </c>
      <c r="L55" s="25">
        <v>23919</v>
      </c>
      <c r="M55" s="25">
        <v>11959.5</v>
      </c>
      <c r="N55" s="39"/>
      <c r="O55" s="39"/>
      <c r="P55" s="42"/>
      <c r="Q55" s="42"/>
      <c r="R55" s="42">
        <v>1100</v>
      </c>
      <c r="S55" s="40">
        <v>427.14</v>
      </c>
      <c r="T55" s="25">
        <v>170.3</v>
      </c>
      <c r="U55" s="25">
        <v>1021.8</v>
      </c>
      <c r="V55" s="25">
        <v>717.41</v>
      </c>
      <c r="W55" s="25">
        <v>4304.46</v>
      </c>
      <c r="X55" s="25">
        <v>23919</v>
      </c>
      <c r="Y55" s="25">
        <v>11959.5</v>
      </c>
      <c r="Z55" s="5">
        <v>14081.3</v>
      </c>
      <c r="AA55" s="21">
        <v>17278</v>
      </c>
    </row>
    <row r="56" spans="1:27">
      <c r="A56" s="34">
        <v>99801119</v>
      </c>
      <c r="B56" s="35" t="s">
        <v>171</v>
      </c>
      <c r="C56" s="36">
        <v>11</v>
      </c>
      <c r="D56" s="36">
        <v>2</v>
      </c>
      <c r="E56" s="36">
        <v>92513065</v>
      </c>
      <c r="F56" s="36" t="s">
        <v>742</v>
      </c>
      <c r="G56" s="36">
        <v>91338016</v>
      </c>
      <c r="H56" s="36" t="s">
        <v>746</v>
      </c>
      <c r="I56" s="36">
        <v>93176760</v>
      </c>
      <c r="J56" s="36" t="s">
        <v>2088</v>
      </c>
      <c r="K56" s="36">
        <v>4</v>
      </c>
      <c r="L56" s="25">
        <v>7653</v>
      </c>
      <c r="M56" s="25">
        <v>3826.5</v>
      </c>
      <c r="N56" s="43"/>
      <c r="O56" s="43"/>
      <c r="P56" s="25"/>
      <c r="Q56" s="25"/>
      <c r="R56" s="25">
        <v>610.6</v>
      </c>
      <c r="S56" s="40">
        <v>284.76</v>
      </c>
      <c r="T56" s="25">
        <v>135.26</v>
      </c>
      <c r="U56" s="25">
        <v>541.04</v>
      </c>
      <c r="V56" s="25">
        <v>288.61</v>
      </c>
      <c r="W56" s="25">
        <v>1154.44</v>
      </c>
      <c r="X56" s="25">
        <v>7653</v>
      </c>
      <c r="Y56" s="25">
        <v>3826.5</v>
      </c>
      <c r="Z56" s="5">
        <v>4978.1400000000003</v>
      </c>
      <c r="AA56" s="21">
        <v>6109</v>
      </c>
    </row>
    <row r="57" spans="1:27">
      <c r="A57" s="34">
        <v>99801279</v>
      </c>
      <c r="B57" s="35" t="s">
        <v>93</v>
      </c>
      <c r="C57" s="36">
        <v>1.1000000000000001</v>
      </c>
      <c r="D57" s="36">
        <v>4</v>
      </c>
      <c r="E57" s="36">
        <v>98336369</v>
      </c>
      <c r="F57" s="36" t="s">
        <v>2130</v>
      </c>
      <c r="G57" s="36">
        <v>92932672</v>
      </c>
      <c r="H57" s="36" t="s">
        <v>2047</v>
      </c>
      <c r="I57" s="36">
        <v>93176749</v>
      </c>
      <c r="J57" s="36" t="s">
        <v>2086</v>
      </c>
      <c r="K57" s="36">
        <v>4</v>
      </c>
      <c r="L57" s="25">
        <v>3854</v>
      </c>
      <c r="M57" s="25">
        <v>1927</v>
      </c>
      <c r="N57" s="39"/>
      <c r="O57" s="39"/>
      <c r="P57" s="25"/>
      <c r="Q57" s="25"/>
      <c r="R57" s="25">
        <v>565.52</v>
      </c>
      <c r="S57" s="40">
        <v>284.76</v>
      </c>
      <c r="T57" s="25">
        <v>59.52</v>
      </c>
      <c r="U57" s="25">
        <v>238.08</v>
      </c>
      <c r="V57" s="25">
        <v>288.58</v>
      </c>
      <c r="W57" s="25">
        <v>1154.32</v>
      </c>
      <c r="X57" s="25">
        <v>3854</v>
      </c>
      <c r="Y57" s="25">
        <v>1927</v>
      </c>
      <c r="Z57" s="5">
        <v>2730.6</v>
      </c>
      <c r="AA57" s="21">
        <v>3351</v>
      </c>
    </row>
    <row r="58" spans="1:27">
      <c r="A58" s="34">
        <v>99801149</v>
      </c>
      <c r="B58" s="35" t="s">
        <v>282</v>
      </c>
      <c r="C58" s="36">
        <v>90</v>
      </c>
      <c r="D58" s="36">
        <v>2</v>
      </c>
      <c r="E58" s="36" t="s">
        <v>720</v>
      </c>
      <c r="F58" s="36" t="s">
        <v>2133</v>
      </c>
      <c r="G58" s="36">
        <v>91338021</v>
      </c>
      <c r="H58" s="36" t="s">
        <v>718</v>
      </c>
      <c r="I58" s="36"/>
      <c r="J58" s="36" t="s">
        <v>2101</v>
      </c>
      <c r="K58" s="36">
        <v>6</v>
      </c>
      <c r="L58" s="25">
        <v>21947</v>
      </c>
      <c r="M58" s="25">
        <v>10973.5</v>
      </c>
      <c r="N58" s="39"/>
      <c r="O58" s="39"/>
      <c r="P58" s="42"/>
      <c r="Q58" s="42"/>
      <c r="R58" s="42">
        <v>1100</v>
      </c>
      <c r="S58" s="40">
        <v>427.14</v>
      </c>
      <c r="T58" s="25">
        <v>170.3</v>
      </c>
      <c r="U58" s="25">
        <v>1021.8</v>
      </c>
      <c r="V58" s="25">
        <v>717.41</v>
      </c>
      <c r="W58" s="25">
        <v>4304.46</v>
      </c>
      <c r="X58" s="25">
        <v>21947</v>
      </c>
      <c r="Y58" s="25">
        <v>10973.5</v>
      </c>
      <c r="Z58" s="5">
        <v>13095.3</v>
      </c>
      <c r="AA58" s="21">
        <v>16068</v>
      </c>
    </row>
    <row r="59" spans="1:27">
      <c r="A59" s="34">
        <v>99801346</v>
      </c>
      <c r="B59" s="35" t="s">
        <v>250</v>
      </c>
      <c r="C59" s="36">
        <v>45</v>
      </c>
      <c r="D59" s="36">
        <v>4</v>
      </c>
      <c r="E59" s="36">
        <v>98299752</v>
      </c>
      <c r="F59" s="36" t="s">
        <v>2132</v>
      </c>
      <c r="G59" s="36">
        <v>91338021</v>
      </c>
      <c r="H59" s="36" t="s">
        <v>718</v>
      </c>
      <c r="I59" s="36"/>
      <c r="J59" s="36" t="s">
        <v>2101</v>
      </c>
      <c r="K59" s="36">
        <v>4</v>
      </c>
      <c r="L59" s="25">
        <v>20412</v>
      </c>
      <c r="M59" s="25">
        <v>10206</v>
      </c>
      <c r="N59" s="39"/>
      <c r="O59" s="39"/>
      <c r="P59" s="25"/>
      <c r="Q59" s="25"/>
      <c r="R59" s="25">
        <v>824.44</v>
      </c>
      <c r="S59" s="40">
        <v>284.76</v>
      </c>
      <c r="T59" s="25">
        <v>170.3</v>
      </c>
      <c r="U59" s="25">
        <v>681.2</v>
      </c>
      <c r="V59" s="25">
        <v>717.41</v>
      </c>
      <c r="W59" s="25">
        <v>2869.64</v>
      </c>
      <c r="X59" s="25">
        <v>20412</v>
      </c>
      <c r="Y59" s="25">
        <v>10206</v>
      </c>
      <c r="Z59" s="5">
        <v>11711.64</v>
      </c>
      <c r="AA59" s="21">
        <v>14371</v>
      </c>
    </row>
    <row r="60" spans="1:27">
      <c r="A60" s="34">
        <v>99801280</v>
      </c>
      <c r="B60" s="35" t="s">
        <v>96</v>
      </c>
      <c r="C60" s="36">
        <v>1.5</v>
      </c>
      <c r="D60" s="36">
        <v>4</v>
      </c>
      <c r="E60" s="36">
        <v>98336369</v>
      </c>
      <c r="F60" s="36" t="s">
        <v>2130</v>
      </c>
      <c r="G60" s="36">
        <v>92932672</v>
      </c>
      <c r="H60" s="36" t="s">
        <v>2047</v>
      </c>
      <c r="I60" s="36">
        <v>93176749</v>
      </c>
      <c r="J60" s="36" t="s">
        <v>2086</v>
      </c>
      <c r="K60" s="36">
        <v>4</v>
      </c>
      <c r="L60" s="25">
        <v>3905</v>
      </c>
      <c r="M60" s="25">
        <v>1952.5</v>
      </c>
      <c r="N60" s="39"/>
      <c r="O60" s="39"/>
      <c r="P60" s="25"/>
      <c r="Q60" s="25"/>
      <c r="R60" s="25">
        <v>565.52</v>
      </c>
      <c r="S60" s="40">
        <v>284.76</v>
      </c>
      <c r="T60" s="25">
        <v>59.52</v>
      </c>
      <c r="U60" s="25">
        <v>238.08</v>
      </c>
      <c r="V60" s="25">
        <v>288.58</v>
      </c>
      <c r="W60" s="25">
        <v>1154.32</v>
      </c>
      <c r="X60" s="25">
        <v>3905</v>
      </c>
      <c r="Y60" s="25">
        <v>1952.5</v>
      </c>
      <c r="Z60" s="5">
        <v>2756.1</v>
      </c>
      <c r="AA60" s="21">
        <v>3382</v>
      </c>
    </row>
    <row r="61" spans="1:27">
      <c r="A61" s="34">
        <v>99801355</v>
      </c>
      <c r="B61" s="35" t="s">
        <v>188</v>
      </c>
      <c r="C61" s="36">
        <v>15</v>
      </c>
      <c r="D61" s="36">
        <v>4</v>
      </c>
      <c r="E61" s="36">
        <v>98327389</v>
      </c>
      <c r="F61" s="36" t="s">
        <v>2131</v>
      </c>
      <c r="G61" s="36">
        <v>91338018</v>
      </c>
      <c r="H61" s="36" t="s">
        <v>735</v>
      </c>
      <c r="I61" s="36">
        <v>93176762</v>
      </c>
      <c r="J61" s="36" t="s">
        <v>2096</v>
      </c>
      <c r="K61" s="36">
        <v>4</v>
      </c>
      <c r="L61" s="25">
        <v>10262</v>
      </c>
      <c r="M61" s="25">
        <v>5131</v>
      </c>
      <c r="N61" s="39">
        <v>1318</v>
      </c>
      <c r="O61" s="43">
        <v>659</v>
      </c>
      <c r="P61" s="25"/>
      <c r="Q61" s="25"/>
      <c r="R61" s="25">
        <v>663.42</v>
      </c>
      <c r="S61" s="40">
        <v>284.76</v>
      </c>
      <c r="T61" s="25">
        <v>170.3</v>
      </c>
      <c r="U61" s="25">
        <v>681.2</v>
      </c>
      <c r="V61" s="25">
        <v>668.94</v>
      </c>
      <c r="W61" s="25">
        <v>2675.76</v>
      </c>
      <c r="X61" s="25">
        <v>10262</v>
      </c>
      <c r="Y61" s="25">
        <v>5131</v>
      </c>
      <c r="Z61" s="5">
        <v>6475.62</v>
      </c>
      <c r="AA61" s="21">
        <v>7946</v>
      </c>
    </row>
    <row r="62" spans="1:27">
      <c r="A62" s="34">
        <v>99801350</v>
      </c>
      <c r="B62" s="35" t="s">
        <v>134</v>
      </c>
      <c r="C62" s="36">
        <v>4</v>
      </c>
      <c r="D62" s="36">
        <v>4</v>
      </c>
      <c r="E62" s="36">
        <v>98327382</v>
      </c>
      <c r="F62" s="36" t="s">
        <v>2134</v>
      </c>
      <c r="G62" s="36">
        <v>91338157</v>
      </c>
      <c r="H62" s="36" t="s">
        <v>744</v>
      </c>
      <c r="I62" s="36">
        <v>93176761</v>
      </c>
      <c r="J62" s="36" t="s">
        <v>2087</v>
      </c>
      <c r="K62" s="36">
        <v>4</v>
      </c>
      <c r="L62" s="25">
        <v>6183</v>
      </c>
      <c r="M62" s="25">
        <v>3091.5</v>
      </c>
      <c r="N62" s="39"/>
      <c r="O62" s="39"/>
      <c r="P62" s="25"/>
      <c r="Q62" s="25"/>
      <c r="R62" s="25">
        <v>532.03</v>
      </c>
      <c r="S62" s="40">
        <v>284.76</v>
      </c>
      <c r="T62" s="25">
        <v>59.52</v>
      </c>
      <c r="U62" s="25">
        <v>238.08</v>
      </c>
      <c r="V62" s="25">
        <v>288.58999999999997</v>
      </c>
      <c r="W62" s="25">
        <v>1154.3599999999999</v>
      </c>
      <c r="X62" s="25">
        <v>6183</v>
      </c>
      <c r="Y62" s="25">
        <v>3091.5</v>
      </c>
      <c r="Z62" s="5">
        <v>3861.61</v>
      </c>
      <c r="AA62" s="21">
        <v>4739</v>
      </c>
    </row>
    <row r="63" spans="1:27">
      <c r="A63" s="34">
        <v>99801145</v>
      </c>
      <c r="B63" s="35" t="s">
        <v>175</v>
      </c>
      <c r="C63" s="36">
        <v>45</v>
      </c>
      <c r="D63" s="36">
        <v>4</v>
      </c>
      <c r="E63" s="36">
        <v>98299752</v>
      </c>
      <c r="F63" s="36" t="s">
        <v>2132</v>
      </c>
      <c r="G63" s="36">
        <v>91338021</v>
      </c>
      <c r="H63" s="36" t="s">
        <v>718</v>
      </c>
      <c r="I63" s="36"/>
      <c r="J63" s="36" t="s">
        <v>2101</v>
      </c>
      <c r="K63" s="36">
        <v>4</v>
      </c>
      <c r="L63" s="25">
        <v>14286</v>
      </c>
      <c r="M63" s="25">
        <v>7143</v>
      </c>
      <c r="N63" s="39"/>
      <c r="O63" s="39"/>
      <c r="P63" s="25"/>
      <c r="Q63" s="25"/>
      <c r="R63" s="25">
        <v>824.44</v>
      </c>
      <c r="S63" s="40">
        <v>284.76</v>
      </c>
      <c r="T63" s="25">
        <v>170.3</v>
      </c>
      <c r="U63" s="25">
        <v>681.2</v>
      </c>
      <c r="V63" s="25">
        <v>717.41</v>
      </c>
      <c r="W63" s="25">
        <v>2869.64</v>
      </c>
      <c r="X63" s="25">
        <v>14286</v>
      </c>
      <c r="Y63" s="25">
        <v>7143</v>
      </c>
      <c r="Z63" s="5">
        <v>8648.64</v>
      </c>
      <c r="AA63" s="21">
        <v>10612</v>
      </c>
    </row>
    <row r="64" spans="1:27">
      <c r="A64" s="34">
        <v>99801305</v>
      </c>
      <c r="B64" s="35" t="s">
        <v>91</v>
      </c>
      <c r="C64" s="36">
        <v>1.5</v>
      </c>
      <c r="D64" s="36">
        <v>4</v>
      </c>
      <c r="E64" s="36">
        <v>98336369</v>
      </c>
      <c r="F64" s="36" t="s">
        <v>2130</v>
      </c>
      <c r="G64" s="36">
        <v>92932672</v>
      </c>
      <c r="H64" s="36" t="s">
        <v>2047</v>
      </c>
      <c r="I64" s="36">
        <v>93176749</v>
      </c>
      <c r="J64" s="36" t="s">
        <v>2086</v>
      </c>
      <c r="K64" s="36">
        <v>4</v>
      </c>
      <c r="L64" s="25">
        <v>3837</v>
      </c>
      <c r="M64" s="25">
        <v>1918.5</v>
      </c>
      <c r="N64" s="39"/>
      <c r="O64" s="39"/>
      <c r="P64" s="25"/>
      <c r="Q64" s="25"/>
      <c r="R64" s="25">
        <v>565.52</v>
      </c>
      <c r="S64" s="40">
        <v>284.76</v>
      </c>
      <c r="T64" s="25">
        <v>59.52</v>
      </c>
      <c r="U64" s="25">
        <v>238.08</v>
      </c>
      <c r="V64" s="25">
        <v>288.58</v>
      </c>
      <c r="W64" s="25">
        <v>1154.32</v>
      </c>
      <c r="X64" s="25">
        <v>3837</v>
      </c>
      <c r="Y64" s="25">
        <v>1918.5</v>
      </c>
      <c r="Z64" s="5">
        <v>2722.1</v>
      </c>
      <c r="AA64" s="21">
        <v>3340</v>
      </c>
    </row>
    <row r="65" spans="1:27">
      <c r="A65" s="34">
        <v>99801392</v>
      </c>
      <c r="B65" s="35" t="s">
        <v>268</v>
      </c>
      <c r="C65" s="36">
        <v>45</v>
      </c>
      <c r="D65" s="36">
        <v>4</v>
      </c>
      <c r="E65" s="36">
        <v>98299752</v>
      </c>
      <c r="F65" s="36" t="s">
        <v>2132</v>
      </c>
      <c r="G65" s="36">
        <v>91338020</v>
      </c>
      <c r="H65" s="36" t="s">
        <v>737</v>
      </c>
      <c r="I65" s="36"/>
      <c r="J65" s="36" t="s">
        <v>2099</v>
      </c>
      <c r="K65" s="36">
        <v>4</v>
      </c>
      <c r="L65" s="25">
        <v>23642</v>
      </c>
      <c r="M65" s="25">
        <v>11821</v>
      </c>
      <c r="N65" s="39"/>
      <c r="O65" s="39"/>
      <c r="P65" s="25"/>
      <c r="Q65" s="25"/>
      <c r="R65" s="25">
        <v>824.44</v>
      </c>
      <c r="S65" s="40">
        <v>284.76</v>
      </c>
      <c r="T65" s="25">
        <v>170.3</v>
      </c>
      <c r="U65" s="25">
        <v>681.2</v>
      </c>
      <c r="V65" s="25">
        <v>717.41</v>
      </c>
      <c r="W65" s="25">
        <v>2869.64</v>
      </c>
      <c r="X65" s="25">
        <v>23642</v>
      </c>
      <c r="Y65" s="25">
        <v>11821</v>
      </c>
      <c r="Z65" s="5">
        <v>13326.64</v>
      </c>
      <c r="AA65" s="21">
        <v>16352</v>
      </c>
    </row>
    <row r="66" spans="1:27">
      <c r="A66" s="34">
        <v>99801302</v>
      </c>
      <c r="B66" s="35" t="s">
        <v>82</v>
      </c>
      <c r="C66" s="36">
        <v>0.55000000000000004</v>
      </c>
      <c r="D66" s="36">
        <v>4</v>
      </c>
      <c r="E66" s="36">
        <v>98336369</v>
      </c>
      <c r="F66" s="36" t="s">
        <v>2130</v>
      </c>
      <c r="G66" s="36">
        <v>92932672</v>
      </c>
      <c r="H66" s="36" t="s">
        <v>2047</v>
      </c>
      <c r="I66" s="36">
        <v>93176749</v>
      </c>
      <c r="J66" s="36" t="s">
        <v>2086</v>
      </c>
      <c r="K66" s="36">
        <v>4</v>
      </c>
      <c r="L66" s="25">
        <v>3612</v>
      </c>
      <c r="M66" s="25">
        <v>1806</v>
      </c>
      <c r="N66" s="39"/>
      <c r="O66" s="39"/>
      <c r="P66" s="25"/>
      <c r="Q66" s="25"/>
      <c r="R66" s="25">
        <v>565.52</v>
      </c>
      <c r="S66" s="40">
        <v>284.76</v>
      </c>
      <c r="T66" s="25">
        <v>59.52</v>
      </c>
      <c r="U66" s="25">
        <v>238.08</v>
      </c>
      <c r="V66" s="25">
        <v>288.58</v>
      </c>
      <c r="W66" s="25">
        <v>1154.32</v>
      </c>
      <c r="X66" s="25">
        <v>3612</v>
      </c>
      <c r="Y66" s="25">
        <v>1806</v>
      </c>
      <c r="Z66" s="5">
        <v>2609.6</v>
      </c>
      <c r="AA66" s="21">
        <v>3202</v>
      </c>
    </row>
    <row r="67" spans="1:27">
      <c r="A67" s="34">
        <v>99801105</v>
      </c>
      <c r="B67" s="35" t="s">
        <v>182</v>
      </c>
      <c r="C67" s="36">
        <v>22</v>
      </c>
      <c r="D67" s="36">
        <v>2</v>
      </c>
      <c r="E67" s="36">
        <v>98327389</v>
      </c>
      <c r="F67" s="36" t="s">
        <v>2131</v>
      </c>
      <c r="G67" s="36">
        <v>91338018</v>
      </c>
      <c r="H67" s="36" t="s">
        <v>735</v>
      </c>
      <c r="I67" s="36">
        <v>93176762</v>
      </c>
      <c r="J67" s="36" t="s">
        <v>2096</v>
      </c>
      <c r="K67" s="36">
        <v>4</v>
      </c>
      <c r="L67" s="25">
        <v>8858</v>
      </c>
      <c r="M67" s="25">
        <v>4429</v>
      </c>
      <c r="N67" s="39"/>
      <c r="O67" s="39"/>
      <c r="P67" s="25"/>
      <c r="Q67" s="25"/>
      <c r="R67" s="25">
        <v>663.42</v>
      </c>
      <c r="S67" s="40">
        <v>284.76</v>
      </c>
      <c r="T67" s="25">
        <v>170.3</v>
      </c>
      <c r="U67" s="25">
        <v>681.2</v>
      </c>
      <c r="V67" s="25">
        <v>668.94</v>
      </c>
      <c r="W67" s="25">
        <v>2675.76</v>
      </c>
      <c r="X67" s="25">
        <v>8858</v>
      </c>
      <c r="Y67" s="25">
        <v>4429</v>
      </c>
      <c r="Z67" s="5">
        <v>5773.62</v>
      </c>
      <c r="AA67" s="21">
        <v>7085</v>
      </c>
    </row>
    <row r="68" spans="1:27">
      <c r="A68" s="34">
        <v>99801354</v>
      </c>
      <c r="B68" s="35" t="s">
        <v>189</v>
      </c>
      <c r="C68" s="36">
        <v>11</v>
      </c>
      <c r="D68" s="36">
        <v>4</v>
      </c>
      <c r="E68" s="36">
        <v>98327389</v>
      </c>
      <c r="F68" s="36" t="s">
        <v>2131</v>
      </c>
      <c r="G68" s="36">
        <v>91338018</v>
      </c>
      <c r="H68" s="36" t="s">
        <v>735</v>
      </c>
      <c r="I68" s="36">
        <v>93176762</v>
      </c>
      <c r="J68" s="36" t="s">
        <v>2096</v>
      </c>
      <c r="K68" s="36">
        <v>4</v>
      </c>
      <c r="L68" s="25">
        <v>9730</v>
      </c>
      <c r="M68" s="25">
        <v>4865</v>
      </c>
      <c r="N68" s="39"/>
      <c r="O68" s="39"/>
      <c r="P68" s="25"/>
      <c r="Q68" s="25"/>
      <c r="R68" s="25">
        <v>663.42</v>
      </c>
      <c r="S68" s="40">
        <v>284.76</v>
      </c>
      <c r="T68" s="25">
        <v>170.3</v>
      </c>
      <c r="U68" s="25">
        <v>681.2</v>
      </c>
      <c r="V68" s="25">
        <v>668.94</v>
      </c>
      <c r="W68" s="25">
        <v>2675.76</v>
      </c>
      <c r="X68" s="25">
        <v>9730</v>
      </c>
      <c r="Y68" s="25">
        <v>4865</v>
      </c>
      <c r="Z68" s="5">
        <v>6209.62</v>
      </c>
      <c r="AA68" s="21">
        <v>7620</v>
      </c>
    </row>
    <row r="69" spans="1:27">
      <c r="A69" s="34">
        <v>99801391</v>
      </c>
      <c r="B69" s="35" t="s">
        <v>266</v>
      </c>
      <c r="C69" s="36">
        <v>37</v>
      </c>
      <c r="D69" s="36">
        <v>4</v>
      </c>
      <c r="E69" s="36" t="s">
        <v>720</v>
      </c>
      <c r="F69" s="36" t="s">
        <v>2133</v>
      </c>
      <c r="G69" s="36">
        <v>91338020</v>
      </c>
      <c r="H69" s="36" t="s">
        <v>737</v>
      </c>
      <c r="I69" s="36"/>
      <c r="J69" s="36" t="s">
        <v>2099</v>
      </c>
      <c r="K69" s="36">
        <v>6</v>
      </c>
      <c r="L69" s="25">
        <v>22370</v>
      </c>
      <c r="M69" s="25">
        <v>11185</v>
      </c>
      <c r="N69" s="39"/>
      <c r="O69" s="39"/>
      <c r="P69" s="42"/>
      <c r="Q69" s="42"/>
      <c r="R69" s="42">
        <v>1100</v>
      </c>
      <c r="S69" s="40">
        <v>427.14</v>
      </c>
      <c r="T69" s="25">
        <v>170.3</v>
      </c>
      <c r="U69" s="25">
        <v>1021.8</v>
      </c>
      <c r="V69" s="25">
        <v>717.41</v>
      </c>
      <c r="W69" s="25">
        <v>4304.46</v>
      </c>
      <c r="X69" s="25">
        <v>22370</v>
      </c>
      <c r="Y69" s="25">
        <v>11185</v>
      </c>
      <c r="Z69" s="5">
        <v>13306.8</v>
      </c>
      <c r="AA69" s="21">
        <v>16328</v>
      </c>
    </row>
    <row r="70" spans="1:27">
      <c r="A70" s="34">
        <v>99801309</v>
      </c>
      <c r="B70" s="35" t="s">
        <v>112</v>
      </c>
      <c r="C70" s="36">
        <v>3</v>
      </c>
      <c r="D70" s="36">
        <v>4</v>
      </c>
      <c r="E70" s="36">
        <v>98327382</v>
      </c>
      <c r="F70" s="36" t="s">
        <v>2134</v>
      </c>
      <c r="G70" s="36">
        <v>92932673</v>
      </c>
      <c r="H70" s="36" t="s">
        <v>741</v>
      </c>
      <c r="I70" s="36">
        <v>93176761</v>
      </c>
      <c r="J70" s="36" t="s">
        <v>2087</v>
      </c>
      <c r="K70" s="36">
        <v>4</v>
      </c>
      <c r="L70" s="25">
        <v>4676</v>
      </c>
      <c r="M70" s="25">
        <v>2338</v>
      </c>
      <c r="N70" s="39"/>
      <c r="O70" s="39"/>
      <c r="P70" s="25"/>
      <c r="Q70" s="25"/>
      <c r="R70" s="25">
        <v>532.03</v>
      </c>
      <c r="S70" s="40">
        <v>284.76</v>
      </c>
      <c r="T70" s="25">
        <v>59.52</v>
      </c>
      <c r="U70" s="25">
        <v>238.08</v>
      </c>
      <c r="V70" s="25">
        <v>288.58999999999997</v>
      </c>
      <c r="W70" s="25">
        <v>1154.3599999999999</v>
      </c>
      <c r="X70" s="25">
        <v>4676</v>
      </c>
      <c r="Y70" s="25">
        <v>2338</v>
      </c>
      <c r="Z70" s="5">
        <v>3108.11</v>
      </c>
      <c r="AA70" s="21">
        <v>3814</v>
      </c>
    </row>
    <row r="71" spans="1:27">
      <c r="A71" s="34">
        <v>99796407</v>
      </c>
      <c r="B71" s="35" t="s">
        <v>92</v>
      </c>
      <c r="C71" s="36">
        <v>3</v>
      </c>
      <c r="D71" s="36">
        <v>2</v>
      </c>
      <c r="E71" s="36">
        <v>98336369</v>
      </c>
      <c r="F71" s="36" t="s">
        <v>2130</v>
      </c>
      <c r="G71" s="36">
        <v>92932672</v>
      </c>
      <c r="H71" s="36" t="s">
        <v>2047</v>
      </c>
      <c r="I71" s="36">
        <v>93176749</v>
      </c>
      <c r="J71" s="36" t="s">
        <v>2086</v>
      </c>
      <c r="K71" s="36">
        <v>4</v>
      </c>
      <c r="L71" s="25">
        <v>3898</v>
      </c>
      <c r="M71" s="25">
        <v>1949</v>
      </c>
      <c r="N71" s="39"/>
      <c r="O71" s="39"/>
      <c r="P71" s="25"/>
      <c r="Q71" s="25"/>
      <c r="R71" s="25">
        <v>565.52</v>
      </c>
      <c r="S71" s="40">
        <v>284.76</v>
      </c>
      <c r="T71" s="25">
        <v>59.52</v>
      </c>
      <c r="U71" s="25">
        <v>238.08</v>
      </c>
      <c r="V71" s="25">
        <v>288.58</v>
      </c>
      <c r="W71" s="25">
        <v>1154.32</v>
      </c>
      <c r="X71" s="25">
        <v>3898</v>
      </c>
      <c r="Y71" s="25">
        <v>1949</v>
      </c>
      <c r="Z71" s="5">
        <v>2752.6</v>
      </c>
      <c r="AA71" s="21">
        <v>3378</v>
      </c>
    </row>
    <row r="72" spans="1:27">
      <c r="A72" s="34">
        <v>99801304</v>
      </c>
      <c r="B72" s="35" t="s">
        <v>88</v>
      </c>
      <c r="C72" s="36">
        <v>1.1000000000000001</v>
      </c>
      <c r="D72" s="36">
        <v>4</v>
      </c>
      <c r="E72" s="36">
        <v>98336369</v>
      </c>
      <c r="F72" s="36" t="s">
        <v>2130</v>
      </c>
      <c r="G72" s="36">
        <v>92932672</v>
      </c>
      <c r="H72" s="36" t="s">
        <v>2047</v>
      </c>
      <c r="I72" s="36">
        <v>93176749</v>
      </c>
      <c r="J72" s="36" t="s">
        <v>2086</v>
      </c>
      <c r="K72" s="36">
        <v>4</v>
      </c>
      <c r="L72" s="25">
        <v>3786</v>
      </c>
      <c r="M72" s="25">
        <v>1893</v>
      </c>
      <c r="N72" s="39"/>
      <c r="O72" s="39"/>
      <c r="P72" s="25"/>
      <c r="Q72" s="25"/>
      <c r="R72" s="25">
        <v>565.52</v>
      </c>
      <c r="S72" s="40">
        <v>284.76</v>
      </c>
      <c r="T72" s="25">
        <v>59.52</v>
      </c>
      <c r="U72" s="25">
        <v>238.08</v>
      </c>
      <c r="V72" s="25">
        <v>288.58</v>
      </c>
      <c r="W72" s="25">
        <v>1154.32</v>
      </c>
      <c r="X72" s="25">
        <v>3786</v>
      </c>
      <c r="Y72" s="25">
        <v>1893</v>
      </c>
      <c r="Z72" s="5">
        <v>2696.6</v>
      </c>
      <c r="AA72" s="21">
        <v>3309</v>
      </c>
    </row>
    <row r="73" spans="1:27">
      <c r="A73" s="34">
        <v>99801372</v>
      </c>
      <c r="B73" s="35" t="s">
        <v>232</v>
      </c>
      <c r="C73" s="36">
        <v>30</v>
      </c>
      <c r="D73" s="36">
        <v>4</v>
      </c>
      <c r="E73" s="36">
        <v>99051550</v>
      </c>
      <c r="F73" s="36" t="s">
        <v>749</v>
      </c>
      <c r="G73" s="36">
        <v>91338019</v>
      </c>
      <c r="H73" s="36" t="s">
        <v>733</v>
      </c>
      <c r="I73" s="36"/>
      <c r="J73" s="36" t="s">
        <v>2097</v>
      </c>
      <c r="K73" s="36">
        <v>4</v>
      </c>
      <c r="L73" s="25">
        <v>13675</v>
      </c>
      <c r="M73" s="25">
        <v>6837.5</v>
      </c>
      <c r="N73" s="39"/>
      <c r="O73" s="39"/>
      <c r="P73" s="25"/>
      <c r="Q73" s="25"/>
      <c r="R73" s="25">
        <v>741.99</v>
      </c>
      <c r="S73" s="40">
        <v>284.76</v>
      </c>
      <c r="T73" s="25">
        <v>170.3</v>
      </c>
      <c r="U73" s="25">
        <v>681.2</v>
      </c>
      <c r="V73" s="25">
        <v>668.94</v>
      </c>
      <c r="W73" s="25">
        <v>2675.76</v>
      </c>
      <c r="X73" s="25">
        <v>13675</v>
      </c>
      <c r="Y73" s="25">
        <v>6837.5</v>
      </c>
      <c r="Z73" s="5">
        <v>8260.69</v>
      </c>
      <c r="AA73" s="21">
        <v>10136</v>
      </c>
    </row>
    <row r="74" spans="1:27">
      <c r="A74" s="34">
        <v>99801303</v>
      </c>
      <c r="B74" s="35" t="s">
        <v>84</v>
      </c>
      <c r="C74" s="36">
        <v>0.75</v>
      </c>
      <c r="D74" s="36">
        <v>4</v>
      </c>
      <c r="E74" s="36">
        <v>98336369</v>
      </c>
      <c r="F74" s="36" t="s">
        <v>2130</v>
      </c>
      <c r="G74" s="36">
        <v>92932672</v>
      </c>
      <c r="H74" s="36" t="s">
        <v>2047</v>
      </c>
      <c r="I74" s="36">
        <v>93176749</v>
      </c>
      <c r="J74" s="36" t="s">
        <v>2086</v>
      </c>
      <c r="K74" s="36">
        <v>4</v>
      </c>
      <c r="L74" s="25">
        <v>3738</v>
      </c>
      <c r="M74" s="25">
        <v>1869</v>
      </c>
      <c r="N74" s="39"/>
      <c r="O74" s="39"/>
      <c r="P74" s="25"/>
      <c r="Q74" s="25"/>
      <c r="R74" s="25">
        <v>565.52</v>
      </c>
      <c r="S74" s="40">
        <v>284.76</v>
      </c>
      <c r="T74" s="25">
        <v>59.52</v>
      </c>
      <c r="U74" s="25">
        <v>238.08</v>
      </c>
      <c r="V74" s="25">
        <v>288.58</v>
      </c>
      <c r="W74" s="25">
        <v>1154.32</v>
      </c>
      <c r="X74" s="25">
        <v>3738</v>
      </c>
      <c r="Y74" s="25">
        <v>1869</v>
      </c>
      <c r="Z74" s="5">
        <v>2672.6</v>
      </c>
      <c r="AA74" s="21">
        <v>3280</v>
      </c>
    </row>
    <row r="75" spans="1:27">
      <c r="A75" s="34">
        <v>99801358</v>
      </c>
      <c r="B75" s="35" t="s">
        <v>226</v>
      </c>
      <c r="C75" s="36">
        <v>22</v>
      </c>
      <c r="D75" s="36">
        <v>4</v>
      </c>
      <c r="E75" s="36">
        <v>99051550</v>
      </c>
      <c r="F75" s="36" t="s">
        <v>749</v>
      </c>
      <c r="G75" s="36">
        <v>91338019</v>
      </c>
      <c r="H75" s="36" t="s">
        <v>733</v>
      </c>
      <c r="I75" s="36"/>
      <c r="J75" s="36" t="s">
        <v>2097</v>
      </c>
      <c r="K75" s="36">
        <v>4</v>
      </c>
      <c r="L75" s="25">
        <v>12750</v>
      </c>
      <c r="M75" s="25">
        <v>6375</v>
      </c>
      <c r="N75" s="39"/>
      <c r="O75" s="39"/>
      <c r="P75" s="25"/>
      <c r="Q75" s="25"/>
      <c r="R75" s="25">
        <v>741.99</v>
      </c>
      <c r="S75" s="40">
        <v>284.76</v>
      </c>
      <c r="T75" s="25">
        <v>170.3</v>
      </c>
      <c r="U75" s="25">
        <v>681.2</v>
      </c>
      <c r="V75" s="25">
        <v>668.94</v>
      </c>
      <c r="W75" s="25">
        <v>2675.76</v>
      </c>
      <c r="X75" s="25">
        <v>12750</v>
      </c>
      <c r="Y75" s="25">
        <v>6375</v>
      </c>
      <c r="Z75" s="5">
        <v>7798.19</v>
      </c>
      <c r="AA75" s="21">
        <v>9569</v>
      </c>
    </row>
    <row r="76" spans="1:27">
      <c r="A76" s="34">
        <v>99801361</v>
      </c>
      <c r="B76" s="35" t="s">
        <v>251</v>
      </c>
      <c r="C76" s="36">
        <v>37</v>
      </c>
      <c r="D76" s="36">
        <v>4</v>
      </c>
      <c r="E76" s="36">
        <v>98299752</v>
      </c>
      <c r="F76" s="36" t="s">
        <v>2132</v>
      </c>
      <c r="G76" s="36">
        <v>91338021</v>
      </c>
      <c r="H76" s="36" t="s">
        <v>718</v>
      </c>
      <c r="I76" s="36"/>
      <c r="J76" s="36" t="s">
        <v>2101</v>
      </c>
      <c r="K76" s="36">
        <v>4</v>
      </c>
      <c r="L76" s="25">
        <v>20069</v>
      </c>
      <c r="M76" s="25">
        <v>10034.5</v>
      </c>
      <c r="N76" s="39"/>
      <c r="O76" s="39"/>
      <c r="P76" s="25"/>
      <c r="Q76" s="25"/>
      <c r="R76" s="25">
        <v>824.44</v>
      </c>
      <c r="S76" s="40">
        <v>284.76</v>
      </c>
      <c r="T76" s="25">
        <v>170.3</v>
      </c>
      <c r="U76" s="25">
        <v>681.2</v>
      </c>
      <c r="V76" s="25">
        <v>717.41</v>
      </c>
      <c r="W76" s="25">
        <v>2869.64</v>
      </c>
      <c r="X76" s="25">
        <v>20069</v>
      </c>
      <c r="Y76" s="25">
        <v>10034.5</v>
      </c>
      <c r="Z76" s="5">
        <v>11540.14</v>
      </c>
      <c r="AA76" s="21">
        <v>14160</v>
      </c>
    </row>
    <row r="77" spans="1:27">
      <c r="A77" s="34">
        <v>99801357</v>
      </c>
      <c r="B77" s="35" t="s">
        <v>210</v>
      </c>
      <c r="C77" s="36">
        <v>18.5</v>
      </c>
      <c r="D77" s="36">
        <v>4</v>
      </c>
      <c r="E77" s="36">
        <v>99051550</v>
      </c>
      <c r="F77" s="36" t="s">
        <v>749</v>
      </c>
      <c r="G77" s="36">
        <v>91338019</v>
      </c>
      <c r="H77" s="36" t="s">
        <v>733</v>
      </c>
      <c r="I77" s="36"/>
      <c r="J77" s="36" t="s">
        <v>2097</v>
      </c>
      <c r="K77" s="36">
        <v>4</v>
      </c>
      <c r="L77" s="25">
        <v>12247</v>
      </c>
      <c r="M77" s="25">
        <v>6123.5</v>
      </c>
      <c r="N77" s="39"/>
      <c r="O77" s="39"/>
      <c r="P77" s="25"/>
      <c r="Q77" s="25"/>
      <c r="R77" s="25">
        <v>741.99</v>
      </c>
      <c r="S77" s="40">
        <v>284.76</v>
      </c>
      <c r="T77" s="25">
        <v>170.3</v>
      </c>
      <c r="U77" s="25">
        <v>681.2</v>
      </c>
      <c r="V77" s="25">
        <v>668.94</v>
      </c>
      <c r="W77" s="25">
        <v>2675.76</v>
      </c>
      <c r="X77" s="25">
        <v>12247</v>
      </c>
      <c r="Y77" s="25">
        <v>6123.5</v>
      </c>
      <c r="Z77" s="5">
        <v>7546.69</v>
      </c>
      <c r="AA77" s="21">
        <v>9260</v>
      </c>
    </row>
    <row r="78" spans="1:27">
      <c r="A78" s="34">
        <v>99801356</v>
      </c>
      <c r="B78" s="35" t="s">
        <v>203</v>
      </c>
      <c r="C78" s="36">
        <v>15</v>
      </c>
      <c r="D78" s="36">
        <v>4</v>
      </c>
      <c r="E78" s="36">
        <v>98327389</v>
      </c>
      <c r="F78" s="36" t="s">
        <v>2131</v>
      </c>
      <c r="G78" s="36">
        <v>91338018</v>
      </c>
      <c r="H78" s="36" t="s">
        <v>735</v>
      </c>
      <c r="I78" s="36">
        <v>93176762</v>
      </c>
      <c r="J78" s="36" t="s">
        <v>2096</v>
      </c>
      <c r="K78" s="36">
        <v>4</v>
      </c>
      <c r="L78" s="25">
        <v>11503</v>
      </c>
      <c r="M78" s="25">
        <v>5751.5</v>
      </c>
      <c r="N78" s="39"/>
      <c r="O78" s="39"/>
      <c r="P78" s="25"/>
      <c r="Q78" s="25"/>
      <c r="R78" s="25">
        <v>663.42</v>
      </c>
      <c r="S78" s="40">
        <v>284.76</v>
      </c>
      <c r="T78" s="25">
        <v>170.3</v>
      </c>
      <c r="U78" s="25">
        <v>681.2</v>
      </c>
      <c r="V78" s="25">
        <v>668.94</v>
      </c>
      <c r="W78" s="25">
        <v>2675.76</v>
      </c>
      <c r="X78" s="25">
        <v>11503</v>
      </c>
      <c r="Y78" s="25">
        <v>5751.5</v>
      </c>
      <c r="Z78" s="5">
        <v>7096.12</v>
      </c>
      <c r="AA78" s="21">
        <v>8707</v>
      </c>
    </row>
    <row r="79" spans="1:27">
      <c r="A79" s="34">
        <v>99817806</v>
      </c>
      <c r="B79" s="35" t="s">
        <v>150</v>
      </c>
      <c r="C79" s="36">
        <v>5.5</v>
      </c>
      <c r="D79" s="36">
        <v>4</v>
      </c>
      <c r="E79" s="36">
        <v>92513065</v>
      </c>
      <c r="F79" s="36" t="s">
        <v>742</v>
      </c>
      <c r="G79" s="36">
        <v>91338157</v>
      </c>
      <c r="H79" s="36" t="s">
        <v>744</v>
      </c>
      <c r="I79" s="36">
        <v>93176761</v>
      </c>
      <c r="J79" s="36" t="s">
        <v>2087</v>
      </c>
      <c r="K79" s="36">
        <v>4</v>
      </c>
      <c r="L79" s="25">
        <v>6678</v>
      </c>
      <c r="M79" s="25">
        <v>3339</v>
      </c>
      <c r="N79" s="39"/>
      <c r="O79" s="39"/>
      <c r="P79" s="25"/>
      <c r="Q79" s="25"/>
      <c r="R79" s="25">
        <v>610.6</v>
      </c>
      <c r="S79" s="40">
        <v>284.76</v>
      </c>
      <c r="T79" s="25">
        <v>59.52</v>
      </c>
      <c r="U79" s="25">
        <v>238.08</v>
      </c>
      <c r="V79" s="25">
        <v>288.58999999999997</v>
      </c>
      <c r="W79" s="25">
        <v>1154.3599999999999</v>
      </c>
      <c r="X79" s="25">
        <v>6678</v>
      </c>
      <c r="Y79" s="25">
        <v>3339</v>
      </c>
      <c r="Z79" s="5">
        <v>4187.68</v>
      </c>
      <c r="AA79" s="21">
        <v>5139</v>
      </c>
    </row>
    <row r="80" spans="1:27">
      <c r="A80" s="34">
        <v>99801147</v>
      </c>
      <c r="B80" s="35" t="s">
        <v>270</v>
      </c>
      <c r="C80" s="36">
        <v>75</v>
      </c>
      <c r="D80" s="36">
        <v>2</v>
      </c>
      <c r="E80" s="36" t="s">
        <v>720</v>
      </c>
      <c r="F80" s="36" t="s">
        <v>2133</v>
      </c>
      <c r="G80" s="36">
        <v>91338020</v>
      </c>
      <c r="H80" s="36" t="s">
        <v>737</v>
      </c>
      <c r="I80" s="36"/>
      <c r="J80" s="36" t="s">
        <v>2099</v>
      </c>
      <c r="K80" s="36">
        <v>6</v>
      </c>
      <c r="L80" s="25">
        <v>19801</v>
      </c>
      <c r="M80" s="25">
        <v>9900.5</v>
      </c>
      <c r="N80" s="39"/>
      <c r="O80" s="39"/>
      <c r="P80" s="42"/>
      <c r="Q80" s="42"/>
      <c r="R80" s="42">
        <v>1100</v>
      </c>
      <c r="S80" s="40">
        <v>427.14</v>
      </c>
      <c r="T80" s="25">
        <v>170.3</v>
      </c>
      <c r="U80" s="25">
        <v>1021.8</v>
      </c>
      <c r="V80" s="25">
        <v>717.41</v>
      </c>
      <c r="W80" s="25">
        <v>4304.46</v>
      </c>
      <c r="X80" s="25">
        <v>19801</v>
      </c>
      <c r="Y80" s="25">
        <v>9900.5</v>
      </c>
      <c r="Z80" s="5">
        <v>12022.3</v>
      </c>
      <c r="AA80" s="21">
        <v>14752</v>
      </c>
    </row>
    <row r="81" spans="1:27">
      <c r="A81" s="34">
        <v>99801281</v>
      </c>
      <c r="B81" s="35" t="s">
        <v>108</v>
      </c>
      <c r="C81" s="36">
        <v>2.2000000000000002</v>
      </c>
      <c r="D81" s="36">
        <v>4</v>
      </c>
      <c r="E81" s="36">
        <v>92513065</v>
      </c>
      <c r="F81" s="36" t="s">
        <v>742</v>
      </c>
      <c r="G81" s="36">
        <v>92932673</v>
      </c>
      <c r="H81" s="36" t="s">
        <v>741</v>
      </c>
      <c r="I81" s="36">
        <v>93176761</v>
      </c>
      <c r="J81" s="36" t="s">
        <v>2087</v>
      </c>
      <c r="K81" s="36">
        <v>4</v>
      </c>
      <c r="L81" s="25">
        <v>4160</v>
      </c>
      <c r="M81" s="25">
        <v>2080</v>
      </c>
      <c r="N81" s="39"/>
      <c r="O81" s="39"/>
      <c r="P81" s="25"/>
      <c r="Q81" s="25"/>
      <c r="R81" s="25">
        <v>610.6</v>
      </c>
      <c r="S81" s="40">
        <v>284.76</v>
      </c>
      <c r="T81" s="25">
        <v>59.52</v>
      </c>
      <c r="U81" s="25">
        <v>238.08</v>
      </c>
      <c r="V81" s="25">
        <v>288.58999999999997</v>
      </c>
      <c r="W81" s="25">
        <v>1154.3599999999999</v>
      </c>
      <c r="X81" s="25">
        <v>4160</v>
      </c>
      <c r="Y81" s="25">
        <v>2080</v>
      </c>
      <c r="Z81" s="5">
        <v>2928.68</v>
      </c>
      <c r="AA81" s="21">
        <v>3594</v>
      </c>
    </row>
    <row r="82" spans="1:27">
      <c r="A82" s="34">
        <v>99801341</v>
      </c>
      <c r="B82" s="35" t="s">
        <v>225</v>
      </c>
      <c r="C82" s="36">
        <v>22</v>
      </c>
      <c r="D82" s="36">
        <v>4</v>
      </c>
      <c r="E82" s="36">
        <v>99051550</v>
      </c>
      <c r="F82" s="36" t="s">
        <v>749</v>
      </c>
      <c r="G82" s="36">
        <v>91338019</v>
      </c>
      <c r="H82" s="36" t="s">
        <v>733</v>
      </c>
      <c r="I82" s="36"/>
      <c r="J82" s="36" t="s">
        <v>2097</v>
      </c>
      <c r="K82" s="36">
        <v>4</v>
      </c>
      <c r="L82" s="25">
        <v>12283</v>
      </c>
      <c r="M82" s="25">
        <v>6141.5</v>
      </c>
      <c r="N82" s="39">
        <v>1166</v>
      </c>
      <c r="O82" s="43">
        <v>583</v>
      </c>
      <c r="P82" s="25"/>
      <c r="Q82" s="25"/>
      <c r="R82" s="25">
        <v>741.99</v>
      </c>
      <c r="S82" s="40">
        <v>284.76</v>
      </c>
      <c r="T82" s="25">
        <v>170.3</v>
      </c>
      <c r="U82" s="25">
        <v>681.2</v>
      </c>
      <c r="V82" s="25">
        <v>668.94</v>
      </c>
      <c r="W82" s="25">
        <v>2675.76</v>
      </c>
      <c r="X82" s="25">
        <v>12283</v>
      </c>
      <c r="Y82" s="25">
        <v>6141.5</v>
      </c>
      <c r="Z82" s="5">
        <v>7564.69</v>
      </c>
      <c r="AA82" s="21">
        <v>9282</v>
      </c>
    </row>
    <row r="83" spans="1:27">
      <c r="A83" s="34">
        <v>99801367</v>
      </c>
      <c r="B83" s="35" t="s">
        <v>193</v>
      </c>
      <c r="C83" s="36">
        <v>15</v>
      </c>
      <c r="D83" s="36">
        <v>4</v>
      </c>
      <c r="E83" s="36">
        <v>98327389</v>
      </c>
      <c r="F83" s="36" t="s">
        <v>2131</v>
      </c>
      <c r="G83" s="36">
        <v>91338018</v>
      </c>
      <c r="H83" s="36" t="s">
        <v>735</v>
      </c>
      <c r="I83" s="36">
        <v>93176762</v>
      </c>
      <c r="J83" s="36" t="s">
        <v>2096</v>
      </c>
      <c r="K83" s="36">
        <v>4</v>
      </c>
      <c r="L83" s="25">
        <v>9648</v>
      </c>
      <c r="M83" s="25">
        <v>4824</v>
      </c>
      <c r="N83" s="39"/>
      <c r="O83" s="39"/>
      <c r="P83" s="25"/>
      <c r="Q83" s="25"/>
      <c r="R83" s="25">
        <v>663.42</v>
      </c>
      <c r="S83" s="40">
        <v>284.76</v>
      </c>
      <c r="T83" s="25">
        <v>170.3</v>
      </c>
      <c r="U83" s="25">
        <v>681.2</v>
      </c>
      <c r="V83" s="25">
        <v>668.94</v>
      </c>
      <c r="W83" s="25">
        <v>2675.76</v>
      </c>
      <c r="X83" s="25">
        <v>9648</v>
      </c>
      <c r="Y83" s="25">
        <v>4824</v>
      </c>
      <c r="Z83" s="5">
        <v>6168.62</v>
      </c>
      <c r="AA83" s="21">
        <v>7569</v>
      </c>
    </row>
    <row r="84" spans="1:27">
      <c r="A84" s="34">
        <v>99801124</v>
      </c>
      <c r="B84" s="35" t="s">
        <v>191</v>
      </c>
      <c r="C84" s="36">
        <v>22</v>
      </c>
      <c r="D84" s="36">
        <v>2</v>
      </c>
      <c r="E84" s="36">
        <v>98327389</v>
      </c>
      <c r="F84" s="36" t="s">
        <v>2131</v>
      </c>
      <c r="G84" s="36">
        <v>91338018</v>
      </c>
      <c r="H84" s="36" t="s">
        <v>735</v>
      </c>
      <c r="I84" s="36">
        <v>93176762</v>
      </c>
      <c r="J84" s="36" t="s">
        <v>2096</v>
      </c>
      <c r="K84" s="36">
        <v>4</v>
      </c>
      <c r="L84" s="25">
        <v>9004</v>
      </c>
      <c r="M84" s="25">
        <v>4502</v>
      </c>
      <c r="N84" s="39"/>
      <c r="O84" s="39"/>
      <c r="P84" s="25"/>
      <c r="Q84" s="25"/>
      <c r="R84" s="25">
        <v>663.42</v>
      </c>
      <c r="S84" s="40">
        <v>284.76</v>
      </c>
      <c r="T84" s="25">
        <v>170.3</v>
      </c>
      <c r="U84" s="25">
        <v>681.2</v>
      </c>
      <c r="V84" s="25">
        <v>668.94</v>
      </c>
      <c r="W84" s="25">
        <v>2675.76</v>
      </c>
      <c r="X84" s="25">
        <v>9004</v>
      </c>
      <c r="Y84" s="25">
        <v>4502</v>
      </c>
      <c r="Z84" s="5">
        <v>5846.62</v>
      </c>
      <c r="AA84" s="21">
        <v>7174</v>
      </c>
    </row>
    <row r="85" spans="1:27">
      <c r="A85" s="34">
        <v>99801396</v>
      </c>
      <c r="B85" s="35" t="s">
        <v>278</v>
      </c>
      <c r="C85" s="36">
        <v>75</v>
      </c>
      <c r="D85" s="36">
        <v>4</v>
      </c>
      <c r="E85" s="36" t="s">
        <v>720</v>
      </c>
      <c r="F85" s="36" t="s">
        <v>2133</v>
      </c>
      <c r="G85" s="36">
        <v>91338020</v>
      </c>
      <c r="H85" s="36" t="s">
        <v>737</v>
      </c>
      <c r="I85" s="36"/>
      <c r="J85" s="36" t="s">
        <v>2099</v>
      </c>
      <c r="K85" s="36">
        <v>6</v>
      </c>
      <c r="L85" s="25">
        <v>32328</v>
      </c>
      <c r="M85" s="25">
        <v>16164</v>
      </c>
      <c r="N85" s="39"/>
      <c r="O85" s="39"/>
      <c r="P85" s="42"/>
      <c r="Q85" s="42"/>
      <c r="R85" s="42">
        <v>1100</v>
      </c>
      <c r="S85" s="40">
        <v>427.14</v>
      </c>
      <c r="T85" s="25">
        <v>170.3</v>
      </c>
      <c r="U85" s="25">
        <v>1021.8</v>
      </c>
      <c r="V85" s="25">
        <v>717.41</v>
      </c>
      <c r="W85" s="25">
        <v>4304.46</v>
      </c>
      <c r="X85" s="25">
        <v>32328</v>
      </c>
      <c r="Y85" s="25">
        <v>16164</v>
      </c>
      <c r="Z85" s="5">
        <v>18285.8</v>
      </c>
      <c r="AA85" s="21">
        <v>22437</v>
      </c>
    </row>
    <row r="86" spans="1:27">
      <c r="A86" s="34">
        <v>99801344</v>
      </c>
      <c r="B86" s="35" t="s">
        <v>238</v>
      </c>
      <c r="C86" s="36">
        <v>30</v>
      </c>
      <c r="D86" s="36">
        <v>4</v>
      </c>
      <c r="E86" s="36">
        <v>98299752</v>
      </c>
      <c r="F86" s="36" t="s">
        <v>2132</v>
      </c>
      <c r="G86" s="36">
        <v>91338020</v>
      </c>
      <c r="H86" s="36" t="s">
        <v>737</v>
      </c>
      <c r="I86" s="36"/>
      <c r="J86" s="36" t="s">
        <v>2099</v>
      </c>
      <c r="K86" s="36">
        <v>4</v>
      </c>
      <c r="L86" s="25">
        <v>17710</v>
      </c>
      <c r="M86" s="25">
        <v>8855</v>
      </c>
      <c r="N86" s="39">
        <v>1385.73</v>
      </c>
      <c r="O86" s="39">
        <v>692.87</v>
      </c>
      <c r="P86" s="25">
        <v>4448.34</v>
      </c>
      <c r="Q86" s="25">
        <v>2224.17</v>
      </c>
      <c r="R86" s="25">
        <v>824.44</v>
      </c>
      <c r="S86" s="40">
        <v>284.76</v>
      </c>
      <c r="T86" s="25">
        <v>170.3</v>
      </c>
      <c r="U86" s="25">
        <v>681.2</v>
      </c>
      <c r="V86" s="25">
        <v>717.41</v>
      </c>
      <c r="W86" s="25">
        <v>2869.64</v>
      </c>
      <c r="X86" s="25">
        <v>17710</v>
      </c>
      <c r="Y86" s="25">
        <v>8855</v>
      </c>
      <c r="Z86" s="5">
        <v>10360.64</v>
      </c>
      <c r="AA86" s="21">
        <v>12713</v>
      </c>
    </row>
    <row r="87" spans="1:27">
      <c r="A87" s="34">
        <v>99801370</v>
      </c>
      <c r="B87" s="35" t="s">
        <v>211</v>
      </c>
      <c r="C87" s="36">
        <v>18.5</v>
      </c>
      <c r="D87" s="36">
        <v>4</v>
      </c>
      <c r="E87" s="36">
        <v>99051550</v>
      </c>
      <c r="F87" s="36" t="s">
        <v>749</v>
      </c>
      <c r="G87" s="36">
        <v>91338019</v>
      </c>
      <c r="H87" s="36" t="s">
        <v>733</v>
      </c>
      <c r="I87" s="36"/>
      <c r="J87" s="36" t="s">
        <v>2097</v>
      </c>
      <c r="K87" s="36">
        <v>4</v>
      </c>
      <c r="L87" s="25">
        <v>11154</v>
      </c>
      <c r="M87" s="25">
        <v>5577</v>
      </c>
      <c r="N87" s="39"/>
      <c r="O87" s="39"/>
      <c r="P87" s="25"/>
      <c r="Q87" s="25"/>
      <c r="R87" s="25">
        <v>741.99</v>
      </c>
      <c r="S87" s="40">
        <v>284.76</v>
      </c>
      <c r="T87" s="25">
        <v>170.3</v>
      </c>
      <c r="U87" s="25">
        <v>681.2</v>
      </c>
      <c r="V87" s="25">
        <v>668.94</v>
      </c>
      <c r="W87" s="25">
        <v>2675.76</v>
      </c>
      <c r="X87" s="25">
        <v>11154</v>
      </c>
      <c r="Y87" s="25">
        <v>5577</v>
      </c>
      <c r="Z87" s="5">
        <v>7000.19</v>
      </c>
      <c r="AA87" s="21">
        <v>8590</v>
      </c>
    </row>
    <row r="88" spans="1:27">
      <c r="A88" s="34">
        <v>99801307</v>
      </c>
      <c r="B88" s="35" t="s">
        <v>103</v>
      </c>
      <c r="C88" s="36">
        <v>1.5</v>
      </c>
      <c r="D88" s="36">
        <v>4</v>
      </c>
      <c r="E88" s="36">
        <v>98336369</v>
      </c>
      <c r="F88" s="36" t="s">
        <v>2130</v>
      </c>
      <c r="G88" s="36">
        <v>92932672</v>
      </c>
      <c r="H88" s="36" t="s">
        <v>2047</v>
      </c>
      <c r="I88" s="36">
        <v>93176749</v>
      </c>
      <c r="J88" s="36" t="s">
        <v>2086</v>
      </c>
      <c r="K88" s="36">
        <v>4</v>
      </c>
      <c r="L88" s="25">
        <v>4427</v>
      </c>
      <c r="M88" s="25">
        <v>2213.5</v>
      </c>
      <c r="N88" s="39"/>
      <c r="O88" s="39"/>
      <c r="P88" s="25"/>
      <c r="Q88" s="25"/>
      <c r="R88" s="25">
        <v>565.52</v>
      </c>
      <c r="S88" s="40">
        <v>284.76</v>
      </c>
      <c r="T88" s="25">
        <v>59.52</v>
      </c>
      <c r="U88" s="25">
        <v>238.08</v>
      </c>
      <c r="V88" s="25">
        <v>288.58</v>
      </c>
      <c r="W88" s="25">
        <v>1154.32</v>
      </c>
      <c r="X88" s="25">
        <v>4427</v>
      </c>
      <c r="Y88" s="25">
        <v>2213.5</v>
      </c>
      <c r="Z88" s="5">
        <v>3017.1</v>
      </c>
      <c r="AA88" s="21">
        <v>3702</v>
      </c>
    </row>
    <row r="89" spans="1:27">
      <c r="A89" s="34">
        <v>99817805</v>
      </c>
      <c r="B89" s="35" t="s">
        <v>719</v>
      </c>
      <c r="C89" s="36">
        <v>7.5</v>
      </c>
      <c r="D89" s="36" t="e">
        <v>#N/A</v>
      </c>
      <c r="E89" s="36">
        <v>92513065</v>
      </c>
      <c r="F89" s="36" t="s">
        <v>742</v>
      </c>
      <c r="G89" s="36">
        <v>91338157</v>
      </c>
      <c r="H89" s="36" t="s">
        <v>744</v>
      </c>
      <c r="I89" s="36">
        <v>93176761</v>
      </c>
      <c r="J89" s="36" t="s">
        <v>2087</v>
      </c>
      <c r="K89" s="36">
        <v>4</v>
      </c>
      <c r="L89" s="25">
        <v>7428</v>
      </c>
      <c r="M89" s="25">
        <v>3714</v>
      </c>
      <c r="N89" s="39"/>
      <c r="O89" s="39"/>
      <c r="P89" s="25"/>
      <c r="Q89" s="25"/>
      <c r="R89" s="25">
        <v>610.6</v>
      </c>
      <c r="S89" s="40">
        <v>284.76</v>
      </c>
      <c r="T89" s="25">
        <v>59.52</v>
      </c>
      <c r="U89" s="25">
        <v>238.08</v>
      </c>
      <c r="V89" s="25">
        <v>288.58999999999997</v>
      </c>
      <c r="W89" s="25">
        <v>1154.3599999999999</v>
      </c>
      <c r="X89" s="25">
        <v>7428</v>
      </c>
      <c r="Y89" s="25">
        <v>3714</v>
      </c>
      <c r="Z89" s="5">
        <v>4562.68</v>
      </c>
      <c r="AA89" s="21">
        <v>5599</v>
      </c>
    </row>
    <row r="90" spans="1:27">
      <c r="A90" s="34">
        <v>99801336</v>
      </c>
      <c r="B90" s="35" t="s">
        <v>154</v>
      </c>
      <c r="C90" s="36">
        <v>5.5</v>
      </c>
      <c r="D90" s="36">
        <v>4</v>
      </c>
      <c r="E90" s="36">
        <v>92513065</v>
      </c>
      <c r="F90" s="36" t="s">
        <v>742</v>
      </c>
      <c r="G90" s="36">
        <v>91338157</v>
      </c>
      <c r="H90" s="36" t="s">
        <v>744</v>
      </c>
      <c r="I90" s="36">
        <v>93176761</v>
      </c>
      <c r="J90" s="36" t="s">
        <v>2087</v>
      </c>
      <c r="K90" s="36">
        <v>4</v>
      </c>
      <c r="L90" s="25">
        <v>6873</v>
      </c>
      <c r="M90" s="25">
        <v>3436.5</v>
      </c>
      <c r="N90" s="39"/>
      <c r="O90" s="39"/>
      <c r="P90" s="25"/>
      <c r="Q90" s="25"/>
      <c r="R90" s="25">
        <v>610.6</v>
      </c>
      <c r="S90" s="40">
        <v>284.76</v>
      </c>
      <c r="T90" s="25">
        <v>59.52</v>
      </c>
      <c r="U90" s="25">
        <v>238.08</v>
      </c>
      <c r="V90" s="25">
        <v>288.58999999999997</v>
      </c>
      <c r="W90" s="25">
        <v>1154.3599999999999</v>
      </c>
      <c r="X90" s="25">
        <v>6873</v>
      </c>
      <c r="Y90" s="25">
        <v>3436.5</v>
      </c>
      <c r="Z90" s="5">
        <v>4285.18</v>
      </c>
      <c r="AA90" s="21">
        <v>5258</v>
      </c>
    </row>
    <row r="91" spans="1:27">
      <c r="A91" s="34">
        <v>99801339</v>
      </c>
      <c r="B91" s="35" t="s">
        <v>197</v>
      </c>
      <c r="C91" s="36">
        <v>15</v>
      </c>
      <c r="D91" s="36">
        <v>4</v>
      </c>
      <c r="E91" s="36">
        <v>98327389</v>
      </c>
      <c r="F91" s="36" t="s">
        <v>2131</v>
      </c>
      <c r="G91" s="36">
        <v>91338018</v>
      </c>
      <c r="H91" s="36" t="s">
        <v>735</v>
      </c>
      <c r="I91" s="36">
        <v>93176762</v>
      </c>
      <c r="J91" s="36" t="s">
        <v>2096</v>
      </c>
      <c r="K91" s="36">
        <v>4</v>
      </c>
      <c r="L91" s="25">
        <v>10983</v>
      </c>
      <c r="M91" s="25">
        <v>5491.5</v>
      </c>
      <c r="N91" s="39"/>
      <c r="O91" s="39"/>
      <c r="P91" s="25"/>
      <c r="Q91" s="25"/>
      <c r="R91" s="25">
        <v>663.42</v>
      </c>
      <c r="S91" s="40">
        <v>284.76</v>
      </c>
      <c r="T91" s="25">
        <v>170.3</v>
      </c>
      <c r="U91" s="25">
        <v>681.2</v>
      </c>
      <c r="V91" s="25">
        <v>668.94</v>
      </c>
      <c r="W91" s="25">
        <v>2675.76</v>
      </c>
      <c r="X91" s="25">
        <v>10983</v>
      </c>
      <c r="Y91" s="25">
        <v>5491.5</v>
      </c>
      <c r="Z91" s="5">
        <v>6836.12</v>
      </c>
      <c r="AA91" s="21">
        <v>8388</v>
      </c>
    </row>
    <row r="92" spans="1:27">
      <c r="A92" s="34">
        <v>99801340</v>
      </c>
      <c r="B92" s="35" t="s">
        <v>207</v>
      </c>
      <c r="C92" s="36">
        <v>18.5</v>
      </c>
      <c r="D92" s="36">
        <v>4</v>
      </c>
      <c r="E92" s="36">
        <v>99051550</v>
      </c>
      <c r="F92" s="36" t="s">
        <v>749</v>
      </c>
      <c r="G92" s="36">
        <v>91338019</v>
      </c>
      <c r="H92" s="36" t="s">
        <v>733</v>
      </c>
      <c r="I92" s="36"/>
      <c r="J92" s="36" t="s">
        <v>2097</v>
      </c>
      <c r="K92" s="36">
        <v>4</v>
      </c>
      <c r="L92" s="25">
        <v>11812</v>
      </c>
      <c r="M92" s="25">
        <v>5906</v>
      </c>
      <c r="N92" s="39"/>
      <c r="O92" s="39"/>
      <c r="P92" s="25"/>
      <c r="Q92" s="40">
        <v>1000</v>
      </c>
      <c r="R92" s="25">
        <v>741.99</v>
      </c>
      <c r="S92" s="40">
        <v>284.76</v>
      </c>
      <c r="T92" s="25">
        <v>170.3</v>
      </c>
      <c r="U92" s="25">
        <v>681.2</v>
      </c>
      <c r="V92" s="25">
        <v>668.94</v>
      </c>
      <c r="W92" s="25">
        <v>2675.76</v>
      </c>
      <c r="X92" s="25">
        <v>11812</v>
      </c>
      <c r="Y92" s="25">
        <v>5906</v>
      </c>
      <c r="Z92" s="5">
        <v>7329.19</v>
      </c>
      <c r="AA92" s="21">
        <v>8993</v>
      </c>
    </row>
    <row r="93" spans="1:27">
      <c r="A93" s="34">
        <v>99801132</v>
      </c>
      <c r="B93" s="35" t="s">
        <v>267</v>
      </c>
      <c r="C93" s="36">
        <v>75</v>
      </c>
      <c r="D93" s="36">
        <v>2</v>
      </c>
      <c r="E93" s="36" t="s">
        <v>720</v>
      </c>
      <c r="F93" s="36" t="s">
        <v>2133</v>
      </c>
      <c r="G93" s="36">
        <v>91338020</v>
      </c>
      <c r="H93" s="36" t="s">
        <v>737</v>
      </c>
      <c r="I93" s="36"/>
      <c r="J93" s="36" t="s">
        <v>2099</v>
      </c>
      <c r="K93" s="36">
        <v>6</v>
      </c>
      <c r="L93" s="25">
        <v>20194</v>
      </c>
      <c r="M93" s="25">
        <v>10097</v>
      </c>
      <c r="N93" s="39"/>
      <c r="O93" s="39"/>
      <c r="P93" s="42"/>
      <c r="Q93" s="42"/>
      <c r="R93" s="42">
        <v>1100</v>
      </c>
      <c r="S93" s="40">
        <v>427.14</v>
      </c>
      <c r="T93" s="25">
        <v>170.3</v>
      </c>
      <c r="U93" s="25">
        <v>1021.8</v>
      </c>
      <c r="V93" s="25">
        <v>717.41</v>
      </c>
      <c r="W93" s="25">
        <v>4304.46</v>
      </c>
      <c r="X93" s="25">
        <v>20194</v>
      </c>
      <c r="Y93" s="25">
        <v>10097</v>
      </c>
      <c r="Z93" s="5">
        <v>12218.8</v>
      </c>
      <c r="AA93" s="21">
        <v>14993</v>
      </c>
    </row>
    <row r="94" spans="1:27">
      <c r="A94" s="34">
        <v>99801133</v>
      </c>
      <c r="B94" s="35" t="s">
        <v>201</v>
      </c>
      <c r="C94" s="36">
        <v>90</v>
      </c>
      <c r="D94" s="36">
        <v>4</v>
      </c>
      <c r="E94" s="36" t="s">
        <v>720</v>
      </c>
      <c r="F94" s="36" t="s">
        <v>2133</v>
      </c>
      <c r="G94" s="36">
        <v>91338021</v>
      </c>
      <c r="H94" s="36" t="s">
        <v>718</v>
      </c>
      <c r="I94" s="36"/>
      <c r="J94" s="36" t="s">
        <v>2101</v>
      </c>
      <c r="K94" s="36">
        <v>6</v>
      </c>
      <c r="L94" s="25">
        <v>22594</v>
      </c>
      <c r="M94" s="25">
        <v>11297</v>
      </c>
      <c r="N94" s="39"/>
      <c r="O94" s="39"/>
      <c r="P94" s="42"/>
      <c r="Q94" s="42"/>
      <c r="R94" s="42">
        <v>1100</v>
      </c>
      <c r="S94" s="40">
        <v>427.14</v>
      </c>
      <c r="T94" s="25">
        <v>170.3</v>
      </c>
      <c r="U94" s="25">
        <v>1021.8</v>
      </c>
      <c r="V94" s="25">
        <v>717.41</v>
      </c>
      <c r="W94" s="25">
        <v>4304.46</v>
      </c>
      <c r="X94" s="25">
        <v>22594</v>
      </c>
      <c r="Y94" s="25">
        <v>11297</v>
      </c>
      <c r="Z94" s="5">
        <v>13418.8</v>
      </c>
      <c r="AA94" s="21">
        <v>16465</v>
      </c>
    </row>
    <row r="95" spans="1:27">
      <c r="A95" s="46">
        <v>99801129</v>
      </c>
      <c r="B95" s="35" t="s">
        <v>243</v>
      </c>
      <c r="C95" s="36">
        <v>45</v>
      </c>
      <c r="D95" s="36">
        <v>2</v>
      </c>
      <c r="E95" s="36">
        <v>98299752</v>
      </c>
      <c r="F95" s="36" t="s">
        <v>2132</v>
      </c>
      <c r="G95" s="36">
        <v>91338020</v>
      </c>
      <c r="H95" s="36" t="s">
        <v>737</v>
      </c>
      <c r="I95" s="36"/>
      <c r="J95" s="36" t="s">
        <v>2099</v>
      </c>
      <c r="K95" s="36">
        <v>4</v>
      </c>
      <c r="L95" s="25">
        <v>15048</v>
      </c>
      <c r="M95" s="25">
        <v>7524</v>
      </c>
      <c r="N95" s="39"/>
      <c r="O95" s="39"/>
      <c r="P95" s="25"/>
      <c r="Q95" s="25"/>
      <c r="R95" s="25">
        <v>824.44</v>
      </c>
      <c r="S95" s="40">
        <v>284.76</v>
      </c>
      <c r="T95" s="25">
        <v>170.3</v>
      </c>
      <c r="U95" s="25">
        <v>681.2</v>
      </c>
      <c r="V95" s="25">
        <v>717.41</v>
      </c>
      <c r="W95" s="25">
        <v>2869.64</v>
      </c>
      <c r="X95" s="25">
        <v>15048</v>
      </c>
      <c r="Y95" s="25">
        <v>7524</v>
      </c>
      <c r="Z95" s="5">
        <v>9029.64</v>
      </c>
      <c r="AA95" s="21">
        <v>11080</v>
      </c>
    </row>
    <row r="96" spans="1:27">
      <c r="A96" s="34">
        <v>99801338</v>
      </c>
      <c r="B96" s="35" t="s">
        <v>200</v>
      </c>
      <c r="C96" s="36">
        <v>11</v>
      </c>
      <c r="D96" s="36">
        <v>4</v>
      </c>
      <c r="E96" s="36">
        <v>98327389</v>
      </c>
      <c r="F96" s="36" t="s">
        <v>2131</v>
      </c>
      <c r="G96" s="36">
        <v>91338018</v>
      </c>
      <c r="H96" s="36" t="s">
        <v>735</v>
      </c>
      <c r="I96" s="36">
        <v>93176762</v>
      </c>
      <c r="J96" s="36" t="s">
        <v>2096</v>
      </c>
      <c r="K96" s="36">
        <v>4</v>
      </c>
      <c r="L96" s="25">
        <v>10501</v>
      </c>
      <c r="M96" s="25">
        <v>5250.5</v>
      </c>
      <c r="N96" s="39"/>
      <c r="O96" s="39"/>
      <c r="P96" s="25"/>
      <c r="Q96" s="25"/>
      <c r="R96" s="25">
        <v>663.42</v>
      </c>
      <c r="S96" s="40">
        <v>284.76</v>
      </c>
      <c r="T96" s="25">
        <v>170.3</v>
      </c>
      <c r="U96" s="25">
        <v>681.2</v>
      </c>
      <c r="V96" s="25">
        <v>668.94</v>
      </c>
      <c r="W96" s="25">
        <v>2675.76</v>
      </c>
      <c r="X96" s="25">
        <v>10501</v>
      </c>
      <c r="Y96" s="25">
        <v>5250.5</v>
      </c>
      <c r="Z96" s="5">
        <v>6595.12</v>
      </c>
      <c r="AA96" s="21">
        <v>8093</v>
      </c>
    </row>
    <row r="97" spans="1:27">
      <c r="A97" s="34">
        <v>99796414</v>
      </c>
      <c r="B97" s="35" t="s">
        <v>129</v>
      </c>
      <c r="C97" s="36">
        <v>5.5</v>
      </c>
      <c r="D97" s="36">
        <v>2</v>
      </c>
      <c r="E97" s="36">
        <v>98327382</v>
      </c>
      <c r="F97" s="36" t="s">
        <v>2134</v>
      </c>
      <c r="G97" s="36">
        <v>91338157</v>
      </c>
      <c r="H97" s="36" t="s">
        <v>744</v>
      </c>
      <c r="I97" s="36">
        <v>93176761</v>
      </c>
      <c r="J97" s="36" t="s">
        <v>2087</v>
      </c>
      <c r="K97" s="36">
        <v>4</v>
      </c>
      <c r="L97" s="25">
        <v>5175</v>
      </c>
      <c r="M97" s="25">
        <v>2587.5</v>
      </c>
      <c r="N97" s="39"/>
      <c r="O97" s="39"/>
      <c r="P97" s="25"/>
      <c r="Q97" s="25"/>
      <c r="R97" s="25">
        <v>532.03</v>
      </c>
      <c r="S97" s="40">
        <v>284.76</v>
      </c>
      <c r="T97" s="25">
        <v>59.52</v>
      </c>
      <c r="U97" s="25">
        <v>238.08</v>
      </c>
      <c r="V97" s="25">
        <v>288.58999999999997</v>
      </c>
      <c r="W97" s="25">
        <v>1154.3599999999999</v>
      </c>
      <c r="X97" s="25">
        <v>5175</v>
      </c>
      <c r="Y97" s="25">
        <v>2587.5</v>
      </c>
      <c r="Z97" s="5">
        <v>3357.61</v>
      </c>
      <c r="AA97" s="21">
        <v>4120</v>
      </c>
    </row>
    <row r="98" spans="1:27">
      <c r="A98" s="34">
        <v>99801310</v>
      </c>
      <c r="B98" s="35" t="s">
        <v>131</v>
      </c>
      <c r="C98" s="36">
        <v>4</v>
      </c>
      <c r="D98" s="36">
        <v>4</v>
      </c>
      <c r="E98" s="36">
        <v>92513065</v>
      </c>
      <c r="F98" s="36" t="s">
        <v>742</v>
      </c>
      <c r="G98" s="36">
        <v>91338157</v>
      </c>
      <c r="H98" s="36" t="s">
        <v>744</v>
      </c>
      <c r="I98" s="36">
        <v>93176761</v>
      </c>
      <c r="J98" s="36" t="s">
        <v>2087</v>
      </c>
      <c r="K98" s="36">
        <v>4</v>
      </c>
      <c r="L98" s="25">
        <v>5028</v>
      </c>
      <c r="M98" s="25">
        <v>2514</v>
      </c>
      <c r="N98" s="39"/>
      <c r="O98" s="39"/>
      <c r="P98" s="25"/>
      <c r="Q98" s="25"/>
      <c r="R98" s="25">
        <v>610.6</v>
      </c>
      <c r="S98" s="40">
        <v>284.76</v>
      </c>
      <c r="T98" s="25">
        <v>59.52</v>
      </c>
      <c r="U98" s="25">
        <v>238.08</v>
      </c>
      <c r="V98" s="25">
        <v>288.58999999999997</v>
      </c>
      <c r="W98" s="25">
        <v>1154.3599999999999</v>
      </c>
      <c r="X98" s="25">
        <v>5028</v>
      </c>
      <c r="Y98" s="25">
        <v>2514</v>
      </c>
      <c r="Z98" s="5">
        <v>3362.68</v>
      </c>
      <c r="AA98" s="21">
        <v>4126</v>
      </c>
    </row>
    <row r="99" spans="1:27">
      <c r="A99" s="34">
        <v>99801366</v>
      </c>
      <c r="B99" s="35" t="s">
        <v>198</v>
      </c>
      <c r="C99" s="36">
        <v>11</v>
      </c>
      <c r="D99" s="36">
        <v>4</v>
      </c>
      <c r="E99" s="36">
        <v>98327389</v>
      </c>
      <c r="F99" s="36" t="s">
        <v>2131</v>
      </c>
      <c r="G99" s="36">
        <v>91338018</v>
      </c>
      <c r="H99" s="36" t="s">
        <v>735</v>
      </c>
      <c r="I99" s="36">
        <v>93176762</v>
      </c>
      <c r="J99" s="36" t="s">
        <v>2096</v>
      </c>
      <c r="K99" s="36">
        <v>4</v>
      </c>
      <c r="L99" s="25">
        <v>9217</v>
      </c>
      <c r="M99" s="25">
        <v>4608.5</v>
      </c>
      <c r="N99" s="39"/>
      <c r="O99" s="39"/>
      <c r="P99" s="25"/>
      <c r="Q99" s="25"/>
      <c r="R99" s="25">
        <v>663.42</v>
      </c>
      <c r="S99" s="40">
        <v>284.76</v>
      </c>
      <c r="T99" s="25">
        <v>170.3</v>
      </c>
      <c r="U99" s="25">
        <v>681.2</v>
      </c>
      <c r="V99" s="25">
        <v>668.94</v>
      </c>
      <c r="W99" s="25">
        <v>2675.76</v>
      </c>
      <c r="X99" s="25">
        <v>9217</v>
      </c>
      <c r="Y99" s="25">
        <v>4608.5</v>
      </c>
      <c r="Z99" s="5">
        <v>5953.12</v>
      </c>
      <c r="AA99" s="21">
        <v>7305</v>
      </c>
    </row>
    <row r="100" spans="1:27">
      <c r="A100" s="34">
        <v>99801371</v>
      </c>
      <c r="B100" s="35" t="s">
        <v>227</v>
      </c>
      <c r="C100" s="36">
        <v>22</v>
      </c>
      <c r="D100" s="36">
        <v>4</v>
      </c>
      <c r="E100" s="36">
        <v>99051550</v>
      </c>
      <c r="F100" s="36" t="s">
        <v>749</v>
      </c>
      <c r="G100" s="36">
        <v>91338019</v>
      </c>
      <c r="H100" s="36" t="s">
        <v>733</v>
      </c>
      <c r="I100" s="36"/>
      <c r="J100" s="36" t="s">
        <v>2097</v>
      </c>
      <c r="K100" s="36">
        <v>4</v>
      </c>
      <c r="L100" s="25">
        <v>11665</v>
      </c>
      <c r="M100" s="25">
        <v>5832.5</v>
      </c>
      <c r="N100" s="25">
        <v>946</v>
      </c>
      <c r="O100" s="39">
        <v>473</v>
      </c>
      <c r="P100" s="25"/>
      <c r="Q100" s="25"/>
      <c r="R100" s="25">
        <v>741.99</v>
      </c>
      <c r="S100" s="40">
        <v>284.76</v>
      </c>
      <c r="T100" s="25">
        <v>170.3</v>
      </c>
      <c r="U100" s="25">
        <v>681.2</v>
      </c>
      <c r="V100" s="25">
        <v>668.94</v>
      </c>
      <c r="W100" s="25">
        <v>2675.76</v>
      </c>
      <c r="X100" s="25">
        <v>11665</v>
      </c>
      <c r="Y100" s="25">
        <v>5832.5</v>
      </c>
      <c r="Z100" s="5">
        <v>7255.69</v>
      </c>
      <c r="AA100" s="21">
        <v>8903</v>
      </c>
    </row>
    <row r="101" spans="1:27">
      <c r="A101" s="34">
        <v>99796427</v>
      </c>
      <c r="B101" s="35" t="s">
        <v>101</v>
      </c>
      <c r="C101" s="36">
        <v>4</v>
      </c>
      <c r="D101" s="36">
        <v>2</v>
      </c>
      <c r="E101" s="36">
        <v>98336369</v>
      </c>
      <c r="F101" s="36" t="s">
        <v>2130</v>
      </c>
      <c r="G101" s="36">
        <v>92932672</v>
      </c>
      <c r="H101" s="36" t="s">
        <v>2047</v>
      </c>
      <c r="I101" s="36">
        <v>93176749</v>
      </c>
      <c r="J101" s="36" t="s">
        <v>2086</v>
      </c>
      <c r="K101" s="36">
        <v>4</v>
      </c>
      <c r="L101" s="25">
        <v>4336</v>
      </c>
      <c r="M101" s="25">
        <v>2168</v>
      </c>
      <c r="N101" s="39"/>
      <c r="O101" s="39"/>
      <c r="P101" s="25"/>
      <c r="Q101" s="25"/>
      <c r="R101" s="25">
        <v>565.52</v>
      </c>
      <c r="S101" s="40">
        <v>284.76</v>
      </c>
      <c r="T101" s="25">
        <v>59.52</v>
      </c>
      <c r="U101" s="25">
        <v>238.08</v>
      </c>
      <c r="V101" s="25">
        <v>288.58</v>
      </c>
      <c r="W101" s="25">
        <v>1154.32</v>
      </c>
      <c r="X101" s="25">
        <v>4336</v>
      </c>
      <c r="Y101" s="25">
        <v>2168</v>
      </c>
      <c r="Z101" s="5">
        <v>2971.6</v>
      </c>
      <c r="AA101" s="21">
        <v>3647</v>
      </c>
    </row>
    <row r="102" spans="1:27">
      <c r="A102" s="34">
        <v>99801115</v>
      </c>
      <c r="B102" s="35" t="s">
        <v>279</v>
      </c>
      <c r="C102" s="36">
        <v>90</v>
      </c>
      <c r="D102" s="36">
        <v>2</v>
      </c>
      <c r="E102" s="36" t="s">
        <v>720</v>
      </c>
      <c r="F102" s="36" t="s">
        <v>2133</v>
      </c>
      <c r="G102" s="36">
        <v>91338021</v>
      </c>
      <c r="H102" s="36" t="s">
        <v>718</v>
      </c>
      <c r="I102" s="36"/>
      <c r="J102" s="36" t="s">
        <v>2101</v>
      </c>
      <c r="K102" s="36">
        <v>6</v>
      </c>
      <c r="L102" s="25">
        <v>24423</v>
      </c>
      <c r="M102" s="25">
        <v>12211.5</v>
      </c>
      <c r="N102" s="39"/>
      <c r="O102" s="39"/>
      <c r="P102" s="42"/>
      <c r="Q102" s="42"/>
      <c r="R102" s="42">
        <v>1100</v>
      </c>
      <c r="S102" s="40">
        <v>427.14</v>
      </c>
      <c r="T102" s="25">
        <v>170.3</v>
      </c>
      <c r="U102" s="25">
        <v>1021.8</v>
      </c>
      <c r="V102" s="25">
        <v>717.41</v>
      </c>
      <c r="W102" s="25">
        <v>4304.46</v>
      </c>
      <c r="X102" s="25">
        <v>24423</v>
      </c>
      <c r="Y102" s="25">
        <v>12211.5</v>
      </c>
      <c r="Z102" s="5">
        <v>14333.3</v>
      </c>
      <c r="AA102" s="21">
        <v>17587</v>
      </c>
    </row>
    <row r="103" spans="1:27">
      <c r="A103" s="34">
        <v>99801293</v>
      </c>
      <c r="B103" s="35" t="s">
        <v>111</v>
      </c>
      <c r="C103" s="36">
        <v>2.2000000000000002</v>
      </c>
      <c r="D103" s="36">
        <v>4</v>
      </c>
      <c r="E103" s="36">
        <v>92513065</v>
      </c>
      <c r="F103" s="36" t="s">
        <v>742</v>
      </c>
      <c r="G103" s="36">
        <v>92932673</v>
      </c>
      <c r="H103" s="36" t="s">
        <v>741</v>
      </c>
      <c r="I103" s="36">
        <v>93176761</v>
      </c>
      <c r="J103" s="36" t="s">
        <v>2087</v>
      </c>
      <c r="K103" s="36">
        <v>4</v>
      </c>
      <c r="L103" s="25">
        <v>4257</v>
      </c>
      <c r="M103" s="25">
        <v>2128.5</v>
      </c>
      <c r="N103" s="39"/>
      <c r="O103" s="39"/>
      <c r="P103" s="25"/>
      <c r="Q103" s="25"/>
      <c r="R103" s="25">
        <v>610.6</v>
      </c>
      <c r="S103" s="40">
        <v>284.76</v>
      </c>
      <c r="T103" s="25">
        <v>59.52</v>
      </c>
      <c r="U103" s="25">
        <v>238.08</v>
      </c>
      <c r="V103" s="25">
        <v>288.58999999999997</v>
      </c>
      <c r="W103" s="25">
        <v>1154.3599999999999</v>
      </c>
      <c r="X103" s="25">
        <v>4257</v>
      </c>
      <c r="Y103" s="25">
        <v>2128.5</v>
      </c>
      <c r="Z103" s="5">
        <v>2977.18</v>
      </c>
      <c r="AA103" s="21">
        <v>3653</v>
      </c>
    </row>
    <row r="104" spans="1:27">
      <c r="A104" s="34">
        <v>99801292</v>
      </c>
      <c r="B104" s="35" t="s">
        <v>97</v>
      </c>
      <c r="C104" s="36">
        <v>1.5</v>
      </c>
      <c r="D104" s="36">
        <v>4</v>
      </c>
      <c r="E104" s="36">
        <v>98336369</v>
      </c>
      <c r="F104" s="36" t="s">
        <v>2130</v>
      </c>
      <c r="G104" s="36">
        <v>92932672</v>
      </c>
      <c r="H104" s="36" t="s">
        <v>2047</v>
      </c>
      <c r="I104" s="36">
        <v>93176749</v>
      </c>
      <c r="J104" s="36" t="s">
        <v>2086</v>
      </c>
      <c r="K104" s="36">
        <v>4</v>
      </c>
      <c r="L104" s="25">
        <v>4142</v>
      </c>
      <c r="M104" s="25">
        <v>2071</v>
      </c>
      <c r="N104" s="39"/>
      <c r="O104" s="39"/>
      <c r="P104" s="25"/>
      <c r="Q104" s="25"/>
      <c r="R104" s="25">
        <v>565.52</v>
      </c>
      <c r="S104" s="40">
        <v>284.76</v>
      </c>
      <c r="T104" s="25">
        <v>59.52</v>
      </c>
      <c r="U104" s="25">
        <v>238.08</v>
      </c>
      <c r="V104" s="25">
        <v>288.58</v>
      </c>
      <c r="W104" s="25">
        <v>1154.32</v>
      </c>
      <c r="X104" s="25">
        <v>4142</v>
      </c>
      <c r="Y104" s="25">
        <v>2071</v>
      </c>
      <c r="Z104" s="5">
        <v>2874.6</v>
      </c>
      <c r="AA104" s="21">
        <v>3528</v>
      </c>
    </row>
    <row r="105" spans="1:27">
      <c r="A105" s="34">
        <v>99796410</v>
      </c>
      <c r="B105" s="35" t="s">
        <v>102</v>
      </c>
      <c r="C105" s="36">
        <v>4</v>
      </c>
      <c r="D105" s="36">
        <v>2</v>
      </c>
      <c r="E105" s="36">
        <v>98336369</v>
      </c>
      <c r="F105" s="36" t="s">
        <v>2130</v>
      </c>
      <c r="G105" s="36">
        <v>92932672</v>
      </c>
      <c r="H105" s="36" t="s">
        <v>2047</v>
      </c>
      <c r="I105" s="36">
        <v>93176749</v>
      </c>
      <c r="J105" s="36" t="s">
        <v>2086</v>
      </c>
      <c r="K105" s="36">
        <v>4</v>
      </c>
      <c r="L105" s="25">
        <v>4543</v>
      </c>
      <c r="M105" s="25">
        <v>2271.5</v>
      </c>
      <c r="N105" s="39"/>
      <c r="O105" s="39"/>
      <c r="P105" s="25"/>
      <c r="Q105" s="25"/>
      <c r="R105" s="25">
        <v>565.52</v>
      </c>
      <c r="S105" s="40">
        <v>284.76</v>
      </c>
      <c r="T105" s="25">
        <v>59.52</v>
      </c>
      <c r="U105" s="25">
        <v>238.08</v>
      </c>
      <c r="V105" s="25">
        <v>288.58</v>
      </c>
      <c r="W105" s="25">
        <v>1154.32</v>
      </c>
      <c r="X105" s="25">
        <v>4543</v>
      </c>
      <c r="Y105" s="25">
        <v>2271.5</v>
      </c>
      <c r="Z105" s="5">
        <v>3075.1</v>
      </c>
      <c r="AA105" s="21">
        <v>3774</v>
      </c>
    </row>
    <row r="106" spans="1:27">
      <c r="A106" s="34">
        <v>99801294</v>
      </c>
      <c r="B106" s="35" t="s">
        <v>118</v>
      </c>
      <c r="C106" s="36">
        <v>3</v>
      </c>
      <c r="D106" s="36">
        <v>4</v>
      </c>
      <c r="E106" s="36">
        <v>92513065</v>
      </c>
      <c r="F106" s="36" t="s">
        <v>742</v>
      </c>
      <c r="G106" s="36">
        <v>92932673</v>
      </c>
      <c r="H106" s="36" t="s">
        <v>741</v>
      </c>
      <c r="I106" s="36">
        <v>93176761</v>
      </c>
      <c r="J106" s="36" t="s">
        <v>2087</v>
      </c>
      <c r="K106" s="36">
        <v>4</v>
      </c>
      <c r="L106" s="25">
        <v>4384</v>
      </c>
      <c r="M106" s="25">
        <v>2192</v>
      </c>
      <c r="N106" s="39"/>
      <c r="O106" s="39"/>
      <c r="P106" s="25"/>
      <c r="Q106" s="25"/>
      <c r="R106" s="25">
        <v>610.6</v>
      </c>
      <c r="S106" s="40">
        <v>284.76</v>
      </c>
      <c r="T106" s="25">
        <v>59.52</v>
      </c>
      <c r="U106" s="25">
        <v>238.08</v>
      </c>
      <c r="V106" s="25">
        <v>288.58999999999997</v>
      </c>
      <c r="W106" s="25">
        <v>1154.3599999999999</v>
      </c>
      <c r="X106" s="25">
        <v>4384</v>
      </c>
      <c r="Y106" s="25">
        <v>2192</v>
      </c>
      <c r="Z106" s="5">
        <v>3040.68</v>
      </c>
      <c r="AA106" s="21">
        <v>3731</v>
      </c>
    </row>
    <row r="107" spans="1:27">
      <c r="A107" s="34">
        <v>99801308</v>
      </c>
      <c r="B107" s="35" t="s">
        <v>106</v>
      </c>
      <c r="C107" s="36">
        <v>2.2000000000000002</v>
      </c>
      <c r="D107" s="36">
        <v>4</v>
      </c>
      <c r="E107" s="36">
        <v>98336369</v>
      </c>
      <c r="F107" s="36" t="s">
        <v>2130</v>
      </c>
      <c r="G107" s="36">
        <v>92932672</v>
      </c>
      <c r="H107" s="36" t="s">
        <v>2047</v>
      </c>
      <c r="I107" s="36">
        <v>93176749</v>
      </c>
      <c r="J107" s="36" t="s">
        <v>2086</v>
      </c>
      <c r="K107" s="36">
        <v>4</v>
      </c>
      <c r="L107" s="25">
        <v>4547</v>
      </c>
      <c r="M107" s="25">
        <v>2273.5</v>
      </c>
      <c r="N107" s="39"/>
      <c r="O107" s="39"/>
      <c r="P107" s="25"/>
      <c r="Q107" s="25"/>
      <c r="R107" s="25">
        <v>565.52</v>
      </c>
      <c r="S107" s="40">
        <v>284.76</v>
      </c>
      <c r="T107" s="25">
        <v>59.52</v>
      </c>
      <c r="U107" s="25">
        <v>238.08</v>
      </c>
      <c r="V107" s="25">
        <v>288.58</v>
      </c>
      <c r="W107" s="25">
        <v>1154.32</v>
      </c>
      <c r="X107" s="25">
        <v>4547</v>
      </c>
      <c r="Y107" s="25">
        <v>2273.5</v>
      </c>
      <c r="Z107" s="5">
        <v>3077.1</v>
      </c>
      <c r="AA107" s="21">
        <v>3776</v>
      </c>
    </row>
    <row r="108" spans="1:27">
      <c r="A108" s="34">
        <v>99801113</v>
      </c>
      <c r="B108" s="35" t="s">
        <v>263</v>
      </c>
      <c r="C108" s="36">
        <v>55</v>
      </c>
      <c r="D108" s="36">
        <v>2</v>
      </c>
      <c r="E108" s="36" t="s">
        <v>720</v>
      </c>
      <c r="F108" s="36" t="s">
        <v>2133</v>
      </c>
      <c r="G108" s="36">
        <v>91338020</v>
      </c>
      <c r="H108" s="36" t="s">
        <v>737</v>
      </c>
      <c r="I108" s="36"/>
      <c r="J108" s="36" t="s">
        <v>2099</v>
      </c>
      <c r="K108" s="36">
        <v>6</v>
      </c>
      <c r="L108" s="25">
        <v>18335</v>
      </c>
      <c r="M108" s="25">
        <v>9167.5</v>
      </c>
      <c r="N108" s="39"/>
      <c r="O108" s="39"/>
      <c r="P108" s="42"/>
      <c r="Q108" s="42"/>
      <c r="R108" s="42">
        <v>1100</v>
      </c>
      <c r="S108" s="40">
        <v>427.14</v>
      </c>
      <c r="T108" s="25">
        <v>170.3</v>
      </c>
      <c r="U108" s="25">
        <v>1021.8</v>
      </c>
      <c r="V108" s="25">
        <v>717.41</v>
      </c>
      <c r="W108" s="25">
        <v>4304.46</v>
      </c>
      <c r="X108" s="25">
        <v>18335</v>
      </c>
      <c r="Y108" s="25">
        <v>9167.5</v>
      </c>
      <c r="Z108" s="5">
        <v>11289.3</v>
      </c>
      <c r="AA108" s="21">
        <v>13852</v>
      </c>
    </row>
    <row r="109" spans="1:27">
      <c r="A109" s="34">
        <v>99801390</v>
      </c>
      <c r="B109" s="35" t="s">
        <v>253</v>
      </c>
      <c r="C109" s="36">
        <v>45</v>
      </c>
      <c r="D109" s="36">
        <v>4</v>
      </c>
      <c r="E109" s="36">
        <v>98299752</v>
      </c>
      <c r="F109" s="36" t="s">
        <v>2132</v>
      </c>
      <c r="G109" s="36">
        <v>91338021</v>
      </c>
      <c r="H109" s="36" t="s">
        <v>718</v>
      </c>
      <c r="I109" s="36"/>
      <c r="J109" s="36" t="s">
        <v>2101</v>
      </c>
      <c r="K109" s="36">
        <v>4</v>
      </c>
      <c r="L109" s="25">
        <v>21061</v>
      </c>
      <c r="M109" s="25">
        <v>10530.5</v>
      </c>
      <c r="N109" s="39"/>
      <c r="O109" s="39"/>
      <c r="P109" s="25"/>
      <c r="Q109" s="25"/>
      <c r="R109" s="25">
        <v>824.44</v>
      </c>
      <c r="S109" s="40">
        <v>284.76</v>
      </c>
      <c r="T109" s="25">
        <v>170.3</v>
      </c>
      <c r="U109" s="25">
        <v>681.2</v>
      </c>
      <c r="V109" s="25">
        <v>717.41</v>
      </c>
      <c r="W109" s="25">
        <v>2869.64</v>
      </c>
      <c r="X109" s="25">
        <v>21061</v>
      </c>
      <c r="Y109" s="25">
        <v>10530.5</v>
      </c>
      <c r="Z109" s="5">
        <v>12036.14</v>
      </c>
      <c r="AA109" s="21">
        <v>14769</v>
      </c>
    </row>
    <row r="110" spans="1:27">
      <c r="A110" s="34">
        <v>99801312</v>
      </c>
      <c r="B110" s="35" t="s">
        <v>141</v>
      </c>
      <c r="C110" s="36">
        <v>4</v>
      </c>
      <c r="D110" s="36">
        <v>4</v>
      </c>
      <c r="E110" s="36">
        <v>98327382</v>
      </c>
      <c r="F110" s="36" t="s">
        <v>2134</v>
      </c>
      <c r="G110" s="36">
        <v>91338157</v>
      </c>
      <c r="H110" s="36" t="s">
        <v>744</v>
      </c>
      <c r="I110" s="36">
        <v>93176761</v>
      </c>
      <c r="J110" s="36" t="s">
        <v>2087</v>
      </c>
      <c r="K110" s="36">
        <v>4</v>
      </c>
      <c r="L110" s="25">
        <v>5877</v>
      </c>
      <c r="M110" s="25">
        <v>2938.5</v>
      </c>
      <c r="N110" s="39">
        <v>654</v>
      </c>
      <c r="O110" s="43">
        <v>327</v>
      </c>
      <c r="P110" s="45"/>
      <c r="Q110" s="45"/>
      <c r="R110" s="25">
        <v>532.03</v>
      </c>
      <c r="S110" s="40">
        <v>284.76</v>
      </c>
      <c r="T110" s="25">
        <v>59.52</v>
      </c>
      <c r="U110" s="25">
        <v>238.08</v>
      </c>
      <c r="V110" s="25">
        <v>288.58999999999997</v>
      </c>
      <c r="W110" s="25">
        <v>1154.3599999999999</v>
      </c>
      <c r="X110" s="25">
        <v>5877</v>
      </c>
      <c r="Y110" s="25">
        <v>2938.5</v>
      </c>
      <c r="Z110" s="5">
        <v>3708.61</v>
      </c>
      <c r="AA110" s="21">
        <v>4551</v>
      </c>
    </row>
    <row r="111" spans="1:27">
      <c r="A111" s="34">
        <v>99801315</v>
      </c>
      <c r="B111" s="35" t="s">
        <v>169</v>
      </c>
      <c r="C111" s="36">
        <v>5.5</v>
      </c>
      <c r="D111" s="36">
        <v>4</v>
      </c>
      <c r="E111" s="36">
        <v>92513065</v>
      </c>
      <c r="F111" s="36" t="s">
        <v>742</v>
      </c>
      <c r="G111" s="36">
        <v>91338157</v>
      </c>
      <c r="H111" s="36" t="s">
        <v>744</v>
      </c>
      <c r="I111" s="36">
        <v>93176761</v>
      </c>
      <c r="J111" s="36" t="s">
        <v>2087</v>
      </c>
      <c r="K111" s="36">
        <v>4</v>
      </c>
      <c r="L111" s="25">
        <v>7787</v>
      </c>
      <c r="M111" s="25">
        <v>3893.5</v>
      </c>
      <c r="N111" s="39"/>
      <c r="O111" s="39"/>
      <c r="P111" s="25"/>
      <c r="Q111" s="25"/>
      <c r="R111" s="25">
        <v>610.6</v>
      </c>
      <c r="S111" s="40">
        <v>284.76</v>
      </c>
      <c r="T111" s="25">
        <v>59.52</v>
      </c>
      <c r="U111" s="25">
        <v>238.08</v>
      </c>
      <c r="V111" s="25">
        <v>288.58999999999997</v>
      </c>
      <c r="W111" s="25">
        <v>1154.3599999999999</v>
      </c>
      <c r="X111" s="25">
        <v>7787</v>
      </c>
      <c r="Y111" s="25">
        <v>3893.5</v>
      </c>
      <c r="Z111" s="5">
        <v>4742.18</v>
      </c>
      <c r="AA111" s="21">
        <v>5819</v>
      </c>
    </row>
    <row r="112" spans="1:27">
      <c r="A112" s="34">
        <v>99801387</v>
      </c>
      <c r="B112" s="35" t="s">
        <v>229</v>
      </c>
      <c r="C112" s="36">
        <v>22</v>
      </c>
      <c r="D112" s="36">
        <v>4</v>
      </c>
      <c r="E112" s="36">
        <v>99051550</v>
      </c>
      <c r="F112" s="36" t="s">
        <v>749</v>
      </c>
      <c r="G112" s="36">
        <v>91338019</v>
      </c>
      <c r="H112" s="36" t="s">
        <v>733</v>
      </c>
      <c r="I112" s="36"/>
      <c r="J112" s="36" t="s">
        <v>2097</v>
      </c>
      <c r="K112" s="36">
        <v>4</v>
      </c>
      <c r="L112" s="25">
        <v>15230</v>
      </c>
      <c r="M112" s="25">
        <v>7615</v>
      </c>
      <c r="N112" s="39"/>
      <c r="O112" s="39"/>
      <c r="P112" s="25"/>
      <c r="Q112" s="25"/>
      <c r="R112" s="25">
        <v>741.99</v>
      </c>
      <c r="S112" s="40">
        <v>284.76</v>
      </c>
      <c r="T112" s="25">
        <v>170.3</v>
      </c>
      <c r="U112" s="25">
        <v>681.2</v>
      </c>
      <c r="V112" s="25">
        <v>668.94</v>
      </c>
      <c r="W112" s="25">
        <v>2675.76</v>
      </c>
      <c r="X112" s="25">
        <v>15230</v>
      </c>
      <c r="Y112" s="25">
        <v>7615</v>
      </c>
      <c r="Z112" s="5">
        <v>9038.19</v>
      </c>
      <c r="AA112" s="21">
        <v>11090</v>
      </c>
    </row>
    <row r="113" spans="1:27">
      <c r="A113" s="34">
        <v>99801278</v>
      </c>
      <c r="B113" s="35" t="s">
        <v>90</v>
      </c>
      <c r="C113" s="36">
        <v>0.75</v>
      </c>
      <c r="D113" s="36">
        <v>4</v>
      </c>
      <c r="E113" s="36">
        <v>98336369</v>
      </c>
      <c r="F113" s="36" t="s">
        <v>2130</v>
      </c>
      <c r="G113" s="36">
        <v>92932672</v>
      </c>
      <c r="H113" s="36" t="s">
        <v>2047</v>
      </c>
      <c r="I113" s="36">
        <v>93176749</v>
      </c>
      <c r="J113" s="36" t="s">
        <v>2086</v>
      </c>
      <c r="K113" s="36">
        <v>4</v>
      </c>
      <c r="L113" s="25">
        <v>3620</v>
      </c>
      <c r="M113" s="25">
        <v>1810</v>
      </c>
      <c r="N113" s="39"/>
      <c r="O113" s="39"/>
      <c r="P113" s="25"/>
      <c r="Q113" s="25"/>
      <c r="R113" s="25">
        <v>565.52</v>
      </c>
      <c r="S113" s="40">
        <v>284.76</v>
      </c>
      <c r="T113" s="25">
        <v>59.52</v>
      </c>
      <c r="U113" s="25">
        <v>238.08</v>
      </c>
      <c r="V113" s="25">
        <v>288.58</v>
      </c>
      <c r="W113" s="25">
        <v>1154.32</v>
      </c>
      <c r="X113" s="25">
        <v>3620</v>
      </c>
      <c r="Y113" s="25">
        <v>1810</v>
      </c>
      <c r="Z113" s="5">
        <v>2613.6</v>
      </c>
      <c r="AA113" s="21">
        <v>3207</v>
      </c>
    </row>
    <row r="114" spans="1:27">
      <c r="A114" s="34">
        <v>99801104</v>
      </c>
      <c r="B114" s="35" t="s">
        <v>179</v>
      </c>
      <c r="C114" s="36">
        <v>18.5</v>
      </c>
      <c r="D114" s="36">
        <v>2</v>
      </c>
      <c r="E114" s="36">
        <v>92513065</v>
      </c>
      <c r="F114" s="36" t="s">
        <v>742</v>
      </c>
      <c r="G114" s="36">
        <v>91338016</v>
      </c>
      <c r="H114" s="36" t="s">
        <v>746</v>
      </c>
      <c r="I114" s="36">
        <v>93176760</v>
      </c>
      <c r="J114" s="36" t="s">
        <v>2088</v>
      </c>
      <c r="K114" s="36">
        <v>4</v>
      </c>
      <c r="L114" s="25">
        <v>8534</v>
      </c>
      <c r="M114" s="25">
        <v>4267</v>
      </c>
      <c r="N114" s="39">
        <v>1117.06</v>
      </c>
      <c r="O114" s="43">
        <v>558.53</v>
      </c>
      <c r="P114" s="25"/>
      <c r="Q114" s="25"/>
      <c r="R114" s="25">
        <v>610.6</v>
      </c>
      <c r="S114" s="40">
        <v>284.76</v>
      </c>
      <c r="T114" s="25">
        <v>135.26</v>
      </c>
      <c r="U114" s="25">
        <v>541.04</v>
      </c>
      <c r="V114" s="25">
        <v>288.61</v>
      </c>
      <c r="W114" s="25">
        <v>1154.44</v>
      </c>
      <c r="X114" s="25">
        <v>8534</v>
      </c>
      <c r="Y114" s="25">
        <v>4267</v>
      </c>
      <c r="Z114" s="5">
        <v>5418.64</v>
      </c>
      <c r="AA114" s="21">
        <v>6649</v>
      </c>
    </row>
    <row r="115" spans="1:27">
      <c r="A115" s="34">
        <v>99801386</v>
      </c>
      <c r="B115" s="35" t="s">
        <v>220</v>
      </c>
      <c r="C115" s="36">
        <v>18.5</v>
      </c>
      <c r="D115" s="36">
        <v>4</v>
      </c>
      <c r="E115" s="36">
        <v>99051550</v>
      </c>
      <c r="F115" s="36" t="s">
        <v>749</v>
      </c>
      <c r="G115" s="36">
        <v>91338019</v>
      </c>
      <c r="H115" s="36" t="s">
        <v>733</v>
      </c>
      <c r="I115" s="36"/>
      <c r="J115" s="36" t="s">
        <v>2097</v>
      </c>
      <c r="K115" s="36">
        <v>4</v>
      </c>
      <c r="L115" s="25">
        <v>14736</v>
      </c>
      <c r="M115" s="25">
        <v>7368</v>
      </c>
      <c r="N115" s="39"/>
      <c r="O115" s="39"/>
      <c r="P115" s="25"/>
      <c r="Q115" s="25"/>
      <c r="R115" s="25">
        <v>741.99</v>
      </c>
      <c r="S115" s="40">
        <v>284.76</v>
      </c>
      <c r="T115" s="25">
        <v>170.3</v>
      </c>
      <c r="U115" s="25">
        <v>681.2</v>
      </c>
      <c r="V115" s="25">
        <v>668.94</v>
      </c>
      <c r="W115" s="25">
        <v>2675.76</v>
      </c>
      <c r="X115" s="25">
        <v>14736</v>
      </c>
      <c r="Y115" s="25">
        <v>7368</v>
      </c>
      <c r="Z115" s="5">
        <v>8791.19</v>
      </c>
      <c r="AA115" s="21">
        <v>10787</v>
      </c>
    </row>
    <row r="116" spans="1:27">
      <c r="A116" s="34">
        <v>99796423</v>
      </c>
      <c r="B116" s="35" t="s">
        <v>204</v>
      </c>
      <c r="C116" s="36">
        <v>22</v>
      </c>
      <c r="D116" s="36">
        <v>2</v>
      </c>
      <c r="E116" s="36">
        <v>98327389</v>
      </c>
      <c r="F116" s="36" t="s">
        <v>2131</v>
      </c>
      <c r="G116" s="36">
        <v>91338018</v>
      </c>
      <c r="H116" s="36" t="s">
        <v>735</v>
      </c>
      <c r="I116" s="36">
        <v>93176762</v>
      </c>
      <c r="J116" s="36" t="s">
        <v>2096</v>
      </c>
      <c r="K116" s="36">
        <v>4</v>
      </c>
      <c r="L116" s="25">
        <v>10970</v>
      </c>
      <c r="M116" s="25">
        <v>5485</v>
      </c>
      <c r="N116" s="39"/>
      <c r="O116" s="39"/>
      <c r="P116" s="25"/>
      <c r="Q116" s="25"/>
      <c r="R116" s="25">
        <v>663.42</v>
      </c>
      <c r="S116" s="40">
        <v>284.76</v>
      </c>
      <c r="T116" s="25">
        <v>170.3</v>
      </c>
      <c r="U116" s="25">
        <v>681.2</v>
      </c>
      <c r="V116" s="25">
        <v>668.94</v>
      </c>
      <c r="W116" s="25">
        <v>2675.76</v>
      </c>
      <c r="X116" s="25">
        <v>10970</v>
      </c>
      <c r="Y116" s="25">
        <v>5485</v>
      </c>
      <c r="Z116" s="5">
        <v>6829.62</v>
      </c>
      <c r="AA116" s="21">
        <v>8380</v>
      </c>
    </row>
    <row r="117" spans="1:27">
      <c r="A117" s="34">
        <v>99801282</v>
      </c>
      <c r="B117" s="35" t="s">
        <v>105</v>
      </c>
      <c r="C117" s="36">
        <v>1.5</v>
      </c>
      <c r="D117" s="36">
        <v>4</v>
      </c>
      <c r="E117" s="36">
        <v>98336369</v>
      </c>
      <c r="F117" s="36" t="s">
        <v>2130</v>
      </c>
      <c r="G117" s="36">
        <v>92932672</v>
      </c>
      <c r="H117" s="36" t="s">
        <v>2047</v>
      </c>
      <c r="I117" s="36">
        <v>93176749</v>
      </c>
      <c r="J117" s="36" t="s">
        <v>2086</v>
      </c>
      <c r="K117" s="36">
        <v>4</v>
      </c>
      <c r="L117" s="25">
        <v>4758</v>
      </c>
      <c r="M117" s="25">
        <v>2379</v>
      </c>
      <c r="N117" s="39"/>
      <c r="O117" s="39"/>
      <c r="P117" s="25"/>
      <c r="Q117" s="25"/>
      <c r="R117" s="25">
        <v>565.52</v>
      </c>
      <c r="S117" s="40">
        <v>284.76</v>
      </c>
      <c r="T117" s="25">
        <v>59.52</v>
      </c>
      <c r="U117" s="25">
        <v>238.08</v>
      </c>
      <c r="V117" s="25">
        <v>288.58</v>
      </c>
      <c r="W117" s="25">
        <v>1154.32</v>
      </c>
      <c r="X117" s="25">
        <v>4758</v>
      </c>
      <c r="Y117" s="25">
        <v>2379</v>
      </c>
      <c r="Z117" s="5">
        <v>3182.6</v>
      </c>
      <c r="AA117" s="21">
        <v>3906</v>
      </c>
    </row>
    <row r="118" spans="1:27">
      <c r="A118" s="34">
        <v>99796420</v>
      </c>
      <c r="B118" s="35" t="s">
        <v>119</v>
      </c>
      <c r="C118" s="36">
        <v>18.5</v>
      </c>
      <c r="D118" s="36">
        <v>4</v>
      </c>
      <c r="E118" s="36">
        <v>92513065</v>
      </c>
      <c r="F118" s="36" t="s">
        <v>742</v>
      </c>
      <c r="G118" s="36">
        <v>91338016</v>
      </c>
      <c r="H118" s="36" t="s">
        <v>746</v>
      </c>
      <c r="I118" s="36">
        <v>93176760</v>
      </c>
      <c r="J118" s="36" t="s">
        <v>2088</v>
      </c>
      <c r="K118" s="36">
        <v>4</v>
      </c>
      <c r="L118" s="25">
        <v>8928</v>
      </c>
      <c r="M118" s="25">
        <v>4464</v>
      </c>
      <c r="N118" s="39"/>
      <c r="O118" s="39"/>
      <c r="P118" s="25"/>
      <c r="Q118" s="25"/>
      <c r="R118" s="25">
        <v>610.6</v>
      </c>
      <c r="S118" s="40">
        <v>284.76</v>
      </c>
      <c r="T118" s="25">
        <v>135.26</v>
      </c>
      <c r="U118" s="25">
        <v>541.04</v>
      </c>
      <c r="V118" s="25">
        <v>288.61</v>
      </c>
      <c r="W118" s="25">
        <v>1154.44</v>
      </c>
      <c r="X118" s="25">
        <v>8928</v>
      </c>
      <c r="Y118" s="25">
        <v>4464</v>
      </c>
      <c r="Z118" s="5">
        <v>5615.64</v>
      </c>
      <c r="AA118" s="21">
        <v>6891</v>
      </c>
    </row>
    <row r="119" spans="1:27">
      <c r="A119" s="34">
        <v>99796421</v>
      </c>
      <c r="B119" s="35" t="s">
        <v>184</v>
      </c>
      <c r="C119" s="36">
        <v>22</v>
      </c>
      <c r="D119" s="36">
        <v>2</v>
      </c>
      <c r="E119" s="36">
        <v>98327389</v>
      </c>
      <c r="F119" s="36" t="s">
        <v>2131</v>
      </c>
      <c r="G119" s="36">
        <v>91338018</v>
      </c>
      <c r="H119" s="36" t="s">
        <v>735</v>
      </c>
      <c r="I119" s="36">
        <v>93176762</v>
      </c>
      <c r="J119" s="36" t="s">
        <v>2096</v>
      </c>
      <c r="K119" s="36">
        <v>4</v>
      </c>
      <c r="L119" s="25">
        <v>9253</v>
      </c>
      <c r="M119" s="25">
        <v>4626.5</v>
      </c>
      <c r="N119" s="25"/>
      <c r="O119" s="39"/>
      <c r="P119" s="25"/>
      <c r="Q119" s="25"/>
      <c r="R119" s="25">
        <v>663.42</v>
      </c>
      <c r="S119" s="40">
        <v>284.76</v>
      </c>
      <c r="T119" s="25">
        <v>170.3</v>
      </c>
      <c r="U119" s="25">
        <v>681.2</v>
      </c>
      <c r="V119" s="25">
        <v>668.94</v>
      </c>
      <c r="W119" s="25">
        <v>2675.76</v>
      </c>
      <c r="X119" s="25">
        <v>9253</v>
      </c>
      <c r="Y119" s="25">
        <v>4626.5</v>
      </c>
      <c r="Z119" s="5">
        <v>5971.12</v>
      </c>
      <c r="AA119" s="21">
        <v>7327</v>
      </c>
    </row>
    <row r="120" spans="1:27">
      <c r="A120" s="34">
        <v>99801083</v>
      </c>
      <c r="B120" s="35" t="s">
        <v>151</v>
      </c>
      <c r="C120" s="36">
        <v>11</v>
      </c>
      <c r="D120" s="36">
        <v>2</v>
      </c>
      <c r="E120" s="36">
        <v>92513065</v>
      </c>
      <c r="F120" s="36" t="s">
        <v>742</v>
      </c>
      <c r="G120" s="36">
        <v>91338157</v>
      </c>
      <c r="H120" s="36" t="s">
        <v>744</v>
      </c>
      <c r="I120" s="36">
        <v>93176761</v>
      </c>
      <c r="J120" s="36" t="s">
        <v>2087</v>
      </c>
      <c r="K120" s="36">
        <v>4</v>
      </c>
      <c r="L120" s="25">
        <v>7519</v>
      </c>
      <c r="M120" s="25">
        <v>3759.5</v>
      </c>
      <c r="N120" s="39"/>
      <c r="O120" s="39"/>
      <c r="P120" s="25"/>
      <c r="Q120" s="25"/>
      <c r="R120" s="25">
        <v>610.6</v>
      </c>
      <c r="S120" s="40">
        <v>284.76</v>
      </c>
      <c r="T120" s="25">
        <v>59.52</v>
      </c>
      <c r="U120" s="25">
        <v>238.08</v>
      </c>
      <c r="V120" s="25">
        <v>288.58999999999997</v>
      </c>
      <c r="W120" s="25">
        <v>1154.3599999999999</v>
      </c>
      <c r="X120" s="25">
        <v>7519</v>
      </c>
      <c r="Y120" s="25">
        <v>3759.5</v>
      </c>
      <c r="Z120" s="5">
        <v>4608.18</v>
      </c>
      <c r="AA120" s="21">
        <v>5655</v>
      </c>
    </row>
    <row r="121" spans="1:27">
      <c r="A121" s="34">
        <v>99801284</v>
      </c>
      <c r="B121" s="35" t="s">
        <v>127</v>
      </c>
      <c r="C121" s="36">
        <v>3</v>
      </c>
      <c r="D121" s="36">
        <v>4</v>
      </c>
      <c r="E121" s="36">
        <v>92513065</v>
      </c>
      <c r="F121" s="36" t="s">
        <v>742</v>
      </c>
      <c r="G121" s="36">
        <v>91338157</v>
      </c>
      <c r="H121" s="36" t="s">
        <v>744</v>
      </c>
      <c r="I121" s="36">
        <v>93176761</v>
      </c>
      <c r="J121" s="36" t="s">
        <v>2087</v>
      </c>
      <c r="K121" s="36">
        <v>4</v>
      </c>
      <c r="L121" s="25">
        <v>5139</v>
      </c>
      <c r="M121" s="25">
        <v>2569.5</v>
      </c>
      <c r="N121" s="39"/>
      <c r="O121" s="39"/>
      <c r="P121" s="25"/>
      <c r="Q121" s="25"/>
      <c r="R121" s="25">
        <v>610.6</v>
      </c>
      <c r="S121" s="40">
        <v>284.76</v>
      </c>
      <c r="T121" s="25">
        <v>59.52</v>
      </c>
      <c r="U121" s="25">
        <v>238.08</v>
      </c>
      <c r="V121" s="25">
        <v>288.58999999999997</v>
      </c>
      <c r="W121" s="25">
        <v>1154.3599999999999</v>
      </c>
      <c r="X121" s="25">
        <v>5139</v>
      </c>
      <c r="Y121" s="25">
        <v>2569.5</v>
      </c>
      <c r="Z121" s="5">
        <v>3418.18</v>
      </c>
      <c r="AA121" s="21">
        <v>4195</v>
      </c>
    </row>
    <row r="122" spans="1:27">
      <c r="A122" s="34">
        <v>99796415</v>
      </c>
      <c r="B122" s="35" t="s">
        <v>136</v>
      </c>
      <c r="C122" s="36">
        <v>7.5</v>
      </c>
      <c r="D122" s="36">
        <v>2</v>
      </c>
      <c r="E122" s="36">
        <v>98327382</v>
      </c>
      <c r="F122" s="36" t="s">
        <v>2134</v>
      </c>
      <c r="G122" s="36">
        <v>91338157</v>
      </c>
      <c r="H122" s="36" t="s">
        <v>744</v>
      </c>
      <c r="I122" s="36">
        <v>93176761</v>
      </c>
      <c r="J122" s="36" t="s">
        <v>2087</v>
      </c>
      <c r="K122" s="36">
        <v>4</v>
      </c>
      <c r="L122" s="25">
        <v>5489</v>
      </c>
      <c r="M122" s="25">
        <v>2744.5</v>
      </c>
      <c r="N122" s="39"/>
      <c r="O122" s="39"/>
      <c r="P122" s="25"/>
      <c r="Q122" s="25"/>
      <c r="R122" s="25">
        <v>532.03</v>
      </c>
      <c r="S122" s="40">
        <v>284.76</v>
      </c>
      <c r="T122" s="25">
        <v>59.52</v>
      </c>
      <c r="U122" s="25">
        <v>238.08</v>
      </c>
      <c r="V122" s="25">
        <v>288.58999999999997</v>
      </c>
      <c r="W122" s="25">
        <v>1154.3599999999999</v>
      </c>
      <c r="X122" s="25">
        <v>5489</v>
      </c>
      <c r="Y122" s="25">
        <v>2744.5</v>
      </c>
      <c r="Z122" s="5">
        <v>3514.61</v>
      </c>
      <c r="AA122" s="21">
        <v>4313</v>
      </c>
    </row>
    <row r="123" spans="1:27">
      <c r="A123" s="34">
        <v>99801301</v>
      </c>
      <c r="B123" s="35" t="s">
        <v>186</v>
      </c>
      <c r="C123" s="36">
        <v>11</v>
      </c>
      <c r="D123" s="36">
        <v>4</v>
      </c>
      <c r="E123" s="36">
        <v>98327389</v>
      </c>
      <c r="F123" s="36" t="s">
        <v>2131</v>
      </c>
      <c r="G123" s="36">
        <v>91338018</v>
      </c>
      <c r="H123" s="36" t="s">
        <v>735</v>
      </c>
      <c r="I123" s="36">
        <v>93176762</v>
      </c>
      <c r="J123" s="36" t="s">
        <v>2096</v>
      </c>
      <c r="K123" s="36">
        <v>4</v>
      </c>
      <c r="L123" s="25">
        <v>9803</v>
      </c>
      <c r="M123" s="25">
        <v>4901.5</v>
      </c>
      <c r="N123" s="39"/>
      <c r="O123" s="39"/>
      <c r="P123" s="25"/>
      <c r="Q123" s="25"/>
      <c r="R123" s="25">
        <v>663.42</v>
      </c>
      <c r="S123" s="40">
        <v>284.76</v>
      </c>
      <c r="T123" s="25">
        <v>170.3</v>
      </c>
      <c r="U123" s="25">
        <v>681.2</v>
      </c>
      <c r="V123" s="25">
        <v>668.94</v>
      </c>
      <c r="W123" s="25">
        <v>2675.76</v>
      </c>
      <c r="X123" s="25">
        <v>9803</v>
      </c>
      <c r="Y123" s="25">
        <v>4901.5</v>
      </c>
      <c r="Z123" s="5">
        <v>6246.12</v>
      </c>
      <c r="AA123" s="21">
        <v>7664</v>
      </c>
    </row>
    <row r="124" spans="1:27">
      <c r="A124" s="34">
        <v>99801377</v>
      </c>
      <c r="B124" s="35" t="s">
        <v>252</v>
      </c>
      <c r="C124" s="36">
        <v>45</v>
      </c>
      <c r="D124" s="36">
        <v>4</v>
      </c>
      <c r="E124" s="36">
        <v>98299752</v>
      </c>
      <c r="F124" s="36" t="s">
        <v>2132</v>
      </c>
      <c r="G124" s="36">
        <v>91338021</v>
      </c>
      <c r="H124" s="36" t="s">
        <v>718</v>
      </c>
      <c r="I124" s="36"/>
      <c r="J124" s="36" t="s">
        <v>2101</v>
      </c>
      <c r="K124" s="36">
        <v>4</v>
      </c>
      <c r="L124" s="25">
        <v>18724</v>
      </c>
      <c r="M124" s="25">
        <v>9362</v>
      </c>
      <c r="N124" s="39"/>
      <c r="O124" s="39"/>
      <c r="P124" s="25"/>
      <c r="Q124" s="25"/>
      <c r="R124" s="25">
        <v>824.44</v>
      </c>
      <c r="S124" s="40">
        <v>284.76</v>
      </c>
      <c r="T124" s="25">
        <v>170.3</v>
      </c>
      <c r="U124" s="25">
        <v>681.2</v>
      </c>
      <c r="V124" s="25">
        <v>717.41</v>
      </c>
      <c r="W124" s="25">
        <v>2869.64</v>
      </c>
      <c r="X124" s="25">
        <v>18724</v>
      </c>
      <c r="Y124" s="25">
        <v>9362</v>
      </c>
      <c r="Z124" s="5">
        <v>10867.64</v>
      </c>
      <c r="AA124" s="21">
        <v>13335</v>
      </c>
    </row>
    <row r="125" spans="1:27">
      <c r="A125" s="34">
        <v>99801389</v>
      </c>
      <c r="B125" s="35" t="s">
        <v>249</v>
      </c>
      <c r="C125" s="36">
        <v>37</v>
      </c>
      <c r="D125" s="36">
        <v>4</v>
      </c>
      <c r="E125" s="36">
        <v>98299752</v>
      </c>
      <c r="F125" s="36" t="s">
        <v>2132</v>
      </c>
      <c r="G125" s="36">
        <v>91338021</v>
      </c>
      <c r="H125" s="36" t="s">
        <v>718</v>
      </c>
      <c r="I125" s="36"/>
      <c r="J125" s="36" t="s">
        <v>2101</v>
      </c>
      <c r="K125" s="36">
        <v>4</v>
      </c>
      <c r="L125" s="25">
        <v>19675</v>
      </c>
      <c r="M125" s="25">
        <v>9837.5</v>
      </c>
      <c r="N125" s="39"/>
      <c r="O125" s="39"/>
      <c r="P125" s="25"/>
      <c r="Q125" s="25"/>
      <c r="R125" s="25">
        <v>824.44</v>
      </c>
      <c r="S125" s="40">
        <v>284.76</v>
      </c>
      <c r="T125" s="25">
        <v>170.3</v>
      </c>
      <c r="U125" s="25">
        <v>681.2</v>
      </c>
      <c r="V125" s="25">
        <v>717.41</v>
      </c>
      <c r="W125" s="25">
        <v>2869.64</v>
      </c>
      <c r="X125" s="25">
        <v>19675</v>
      </c>
      <c r="Y125" s="25">
        <v>9837.5</v>
      </c>
      <c r="Z125" s="5">
        <v>11343.14</v>
      </c>
      <c r="AA125" s="21">
        <v>13918</v>
      </c>
    </row>
    <row r="126" spans="1:27">
      <c r="A126" s="34">
        <v>99801368</v>
      </c>
      <c r="B126" s="35" t="s">
        <v>202</v>
      </c>
      <c r="C126" s="36">
        <v>11</v>
      </c>
      <c r="D126" s="36">
        <v>4</v>
      </c>
      <c r="E126" s="36">
        <v>98327389</v>
      </c>
      <c r="F126" s="36" t="s">
        <v>2131</v>
      </c>
      <c r="G126" s="36">
        <v>91338018</v>
      </c>
      <c r="H126" s="36" t="s">
        <v>735</v>
      </c>
      <c r="I126" s="36">
        <v>93176762</v>
      </c>
      <c r="J126" s="36" t="s">
        <v>2096</v>
      </c>
      <c r="K126" s="36">
        <v>4</v>
      </c>
      <c r="L126" s="25">
        <v>9962</v>
      </c>
      <c r="M126" s="25">
        <v>4981</v>
      </c>
      <c r="N126" s="39"/>
      <c r="O126" s="39"/>
      <c r="P126" s="25"/>
      <c r="Q126" s="25"/>
      <c r="R126" s="25">
        <v>663.42</v>
      </c>
      <c r="S126" s="40">
        <v>284.76</v>
      </c>
      <c r="T126" s="25">
        <v>170.3</v>
      </c>
      <c r="U126" s="25">
        <v>681.2</v>
      </c>
      <c r="V126" s="25">
        <v>668.94</v>
      </c>
      <c r="W126" s="25">
        <v>2675.76</v>
      </c>
      <c r="X126" s="25">
        <v>9962</v>
      </c>
      <c r="Y126" s="25">
        <v>4981</v>
      </c>
      <c r="Z126" s="5">
        <v>6325.62</v>
      </c>
      <c r="AA126" s="21">
        <v>7762</v>
      </c>
    </row>
    <row r="127" spans="1:27">
      <c r="A127" s="34">
        <v>99801379</v>
      </c>
      <c r="B127" s="35" t="s">
        <v>262</v>
      </c>
      <c r="C127" s="36">
        <v>45</v>
      </c>
      <c r="D127" s="36">
        <v>4</v>
      </c>
      <c r="E127" s="36" t="s">
        <v>720</v>
      </c>
      <c r="F127" s="36" t="s">
        <v>2133</v>
      </c>
      <c r="G127" s="36">
        <v>91338020</v>
      </c>
      <c r="H127" s="36" t="s">
        <v>737</v>
      </c>
      <c r="I127" s="36"/>
      <c r="J127" s="36" t="s">
        <v>2099</v>
      </c>
      <c r="K127" s="36">
        <v>6</v>
      </c>
      <c r="L127" s="25">
        <v>20815</v>
      </c>
      <c r="M127" s="25">
        <v>10407.5</v>
      </c>
      <c r="N127" s="39"/>
      <c r="O127" s="39"/>
      <c r="P127" s="42"/>
      <c r="Q127" s="42"/>
      <c r="R127" s="42">
        <v>1100</v>
      </c>
      <c r="S127" s="40">
        <v>427.14</v>
      </c>
      <c r="T127" s="25">
        <v>170.3</v>
      </c>
      <c r="U127" s="25">
        <v>1021.8</v>
      </c>
      <c r="V127" s="25">
        <v>717.41</v>
      </c>
      <c r="W127" s="25">
        <v>4304.46</v>
      </c>
      <c r="X127" s="25">
        <v>20815</v>
      </c>
      <c r="Y127" s="25">
        <v>10407.5</v>
      </c>
      <c r="Z127" s="5">
        <v>12529.3</v>
      </c>
      <c r="AA127" s="21">
        <v>15374</v>
      </c>
    </row>
    <row r="128" spans="1:27">
      <c r="A128" s="34">
        <v>99801378</v>
      </c>
      <c r="B128" s="35" t="s">
        <v>256</v>
      </c>
      <c r="C128" s="36">
        <v>37</v>
      </c>
      <c r="D128" s="36">
        <v>4</v>
      </c>
      <c r="E128" s="36" t="s">
        <v>720</v>
      </c>
      <c r="F128" s="36" t="s">
        <v>2133</v>
      </c>
      <c r="G128" s="36">
        <v>91338020</v>
      </c>
      <c r="H128" s="36" t="s">
        <v>737</v>
      </c>
      <c r="I128" s="36"/>
      <c r="J128" s="36" t="s">
        <v>2099</v>
      </c>
      <c r="K128" s="36">
        <v>6</v>
      </c>
      <c r="L128" s="25">
        <v>19170</v>
      </c>
      <c r="M128" s="25">
        <v>9585</v>
      </c>
      <c r="N128" s="39"/>
      <c r="O128" s="39"/>
      <c r="P128" s="25"/>
      <c r="Q128" s="25"/>
      <c r="R128" s="25"/>
      <c r="S128" s="40">
        <v>427.14</v>
      </c>
      <c r="T128" s="25">
        <v>170.3</v>
      </c>
      <c r="U128" s="25">
        <v>1021.8</v>
      </c>
      <c r="V128" s="25">
        <v>717.41</v>
      </c>
      <c r="W128" s="25">
        <v>4304.46</v>
      </c>
      <c r="X128" s="25">
        <v>19170</v>
      </c>
      <c r="Y128" s="25">
        <v>9585</v>
      </c>
      <c r="Z128" s="5">
        <v>10606.8</v>
      </c>
      <c r="AA128" s="21">
        <v>13015</v>
      </c>
    </row>
    <row r="129" spans="1:27">
      <c r="A129" s="34">
        <v>99801369</v>
      </c>
      <c r="B129" s="35" t="s">
        <v>199</v>
      </c>
      <c r="C129" s="36">
        <v>15</v>
      </c>
      <c r="D129" s="36">
        <v>4</v>
      </c>
      <c r="E129" s="36">
        <v>98327389</v>
      </c>
      <c r="F129" s="36" t="s">
        <v>2131</v>
      </c>
      <c r="G129" s="36">
        <v>91338018</v>
      </c>
      <c r="H129" s="36" t="s">
        <v>735</v>
      </c>
      <c r="I129" s="36">
        <v>93176762</v>
      </c>
      <c r="J129" s="36" t="s">
        <v>2096</v>
      </c>
      <c r="K129" s="36">
        <v>4</v>
      </c>
      <c r="L129" s="25">
        <v>10387</v>
      </c>
      <c r="M129" s="25">
        <v>5193.5</v>
      </c>
      <c r="N129" s="39"/>
      <c r="O129" s="39"/>
      <c r="P129" s="25"/>
      <c r="Q129" s="25"/>
      <c r="R129" s="25">
        <v>663.42</v>
      </c>
      <c r="S129" s="40">
        <v>284.76</v>
      </c>
      <c r="T129" s="25">
        <v>170.3</v>
      </c>
      <c r="U129" s="25">
        <v>681.2</v>
      </c>
      <c r="V129" s="25">
        <v>668.94</v>
      </c>
      <c r="W129" s="25">
        <v>2675.76</v>
      </c>
      <c r="X129" s="25">
        <v>10387</v>
      </c>
      <c r="Y129" s="25">
        <v>5193.5</v>
      </c>
      <c r="Z129" s="5">
        <v>6538.12</v>
      </c>
      <c r="AA129" s="21">
        <v>8023</v>
      </c>
    </row>
    <row r="130" spans="1:27">
      <c r="A130" s="34">
        <v>99801297</v>
      </c>
      <c r="B130" s="35" t="s">
        <v>143</v>
      </c>
      <c r="C130" s="36">
        <v>4</v>
      </c>
      <c r="D130" s="36">
        <v>4</v>
      </c>
      <c r="E130" s="36">
        <v>98327382</v>
      </c>
      <c r="F130" s="36" t="s">
        <v>2134</v>
      </c>
      <c r="G130" s="36">
        <v>91338157</v>
      </c>
      <c r="H130" s="36" t="s">
        <v>744</v>
      </c>
      <c r="I130" s="36">
        <v>93176761</v>
      </c>
      <c r="J130" s="36" t="s">
        <v>2087</v>
      </c>
      <c r="K130" s="36">
        <v>4</v>
      </c>
      <c r="L130" s="25">
        <v>5385</v>
      </c>
      <c r="M130" s="25">
        <v>2692.5</v>
      </c>
      <c r="N130" s="39"/>
      <c r="O130" s="39"/>
      <c r="P130" s="25"/>
      <c r="Q130" s="25"/>
      <c r="R130" s="25">
        <v>532.03</v>
      </c>
      <c r="S130" s="40">
        <v>284.76</v>
      </c>
      <c r="T130" s="25">
        <v>59.52</v>
      </c>
      <c r="U130" s="25">
        <v>238.08</v>
      </c>
      <c r="V130" s="25">
        <v>288.58999999999997</v>
      </c>
      <c r="W130" s="25">
        <v>1154.3599999999999</v>
      </c>
      <c r="X130" s="25">
        <v>5385</v>
      </c>
      <c r="Y130" s="25">
        <v>2692.5</v>
      </c>
      <c r="Z130" s="5">
        <v>3462.61</v>
      </c>
      <c r="AA130" s="21">
        <v>4249</v>
      </c>
    </row>
    <row r="131" spans="1:27">
      <c r="A131" s="34">
        <v>99796412</v>
      </c>
      <c r="B131" s="35" t="s">
        <v>135</v>
      </c>
      <c r="C131" s="36">
        <v>7.5</v>
      </c>
      <c r="D131" s="36">
        <v>2</v>
      </c>
      <c r="E131" s="36">
        <v>98327382</v>
      </c>
      <c r="F131" s="36" t="s">
        <v>2134</v>
      </c>
      <c r="G131" s="36">
        <v>91338157</v>
      </c>
      <c r="H131" s="36" t="s">
        <v>744</v>
      </c>
      <c r="I131" s="36">
        <v>93176761</v>
      </c>
      <c r="J131" s="36" t="s">
        <v>2087</v>
      </c>
      <c r="K131" s="36">
        <v>4</v>
      </c>
      <c r="L131" s="25">
        <v>5275</v>
      </c>
      <c r="M131" s="25">
        <v>2637.5</v>
      </c>
      <c r="N131" s="39"/>
      <c r="O131" s="39"/>
      <c r="P131" s="25"/>
      <c r="Q131" s="25"/>
      <c r="R131" s="25">
        <v>532.03</v>
      </c>
      <c r="S131" s="40">
        <v>284.76</v>
      </c>
      <c r="T131" s="25">
        <v>59.52</v>
      </c>
      <c r="U131" s="25">
        <v>238.08</v>
      </c>
      <c r="V131" s="25">
        <v>288.58999999999997</v>
      </c>
      <c r="W131" s="25">
        <v>1154.3599999999999</v>
      </c>
      <c r="X131" s="25">
        <v>5275</v>
      </c>
      <c r="Y131" s="25">
        <v>2637.5</v>
      </c>
      <c r="Z131" s="5">
        <v>3407.61</v>
      </c>
      <c r="AA131" s="21">
        <v>4182</v>
      </c>
    </row>
    <row r="132" spans="1:27">
      <c r="A132" s="34">
        <v>99817788</v>
      </c>
      <c r="B132" s="35" t="s">
        <v>115</v>
      </c>
      <c r="C132" s="36">
        <v>18.5</v>
      </c>
      <c r="D132" s="44">
        <v>2</v>
      </c>
      <c r="E132" s="36">
        <v>92513065</v>
      </c>
      <c r="F132" s="36" t="s">
        <v>742</v>
      </c>
      <c r="G132" s="36">
        <v>91338016</v>
      </c>
      <c r="H132" s="36" t="s">
        <v>746</v>
      </c>
      <c r="I132" s="36">
        <v>93176760</v>
      </c>
      <c r="J132" s="36" t="s">
        <v>2088</v>
      </c>
      <c r="K132" s="36">
        <v>4</v>
      </c>
      <c r="L132" s="25">
        <v>7946</v>
      </c>
      <c r="M132" s="25">
        <v>3973</v>
      </c>
      <c r="N132" s="39"/>
      <c r="O132" s="39"/>
      <c r="P132" s="25"/>
      <c r="Q132" s="25"/>
      <c r="R132" s="25">
        <v>610.6</v>
      </c>
      <c r="S132" s="40">
        <v>284.76</v>
      </c>
      <c r="T132" s="25">
        <v>135.26</v>
      </c>
      <c r="U132" s="25">
        <v>541.04</v>
      </c>
      <c r="V132" s="25">
        <v>288.61</v>
      </c>
      <c r="W132" s="25">
        <v>1154.44</v>
      </c>
      <c r="X132" s="25">
        <v>7946</v>
      </c>
      <c r="Y132" s="25">
        <v>3973</v>
      </c>
      <c r="Z132" s="5">
        <v>5124.6400000000003</v>
      </c>
      <c r="AA132" s="21">
        <v>6288</v>
      </c>
    </row>
    <row r="133" spans="1:27">
      <c r="A133" s="34">
        <v>99801114</v>
      </c>
      <c r="B133" s="35" t="s">
        <v>269</v>
      </c>
      <c r="C133" s="36">
        <v>75</v>
      </c>
      <c r="D133" s="36">
        <v>2</v>
      </c>
      <c r="E133" s="36" t="s">
        <v>720</v>
      </c>
      <c r="F133" s="36" t="s">
        <v>2133</v>
      </c>
      <c r="G133" s="36">
        <v>91338020</v>
      </c>
      <c r="H133" s="36" t="s">
        <v>737</v>
      </c>
      <c r="I133" s="36"/>
      <c r="J133" s="36" t="s">
        <v>2099</v>
      </c>
      <c r="K133" s="36">
        <v>6</v>
      </c>
      <c r="L133" s="25">
        <v>22196</v>
      </c>
      <c r="M133" s="25">
        <v>11098</v>
      </c>
      <c r="N133" s="39"/>
      <c r="O133" s="39"/>
      <c r="P133" s="42"/>
      <c r="Q133" s="42"/>
      <c r="R133" s="42">
        <v>1100</v>
      </c>
      <c r="S133" s="40">
        <v>427.14</v>
      </c>
      <c r="T133" s="25">
        <v>170.3</v>
      </c>
      <c r="U133" s="25">
        <v>1021.8</v>
      </c>
      <c r="V133" s="25">
        <v>717.41</v>
      </c>
      <c r="W133" s="25">
        <v>4304.46</v>
      </c>
      <c r="X133" s="25">
        <v>22196</v>
      </c>
      <c r="Y133" s="25">
        <v>11098</v>
      </c>
      <c r="Z133" s="5">
        <v>13219.8</v>
      </c>
      <c r="AA133" s="21">
        <v>16221</v>
      </c>
    </row>
    <row r="134" spans="1:27">
      <c r="A134" s="34">
        <v>99817787</v>
      </c>
      <c r="B134" s="35" t="s">
        <v>205</v>
      </c>
      <c r="C134" s="36">
        <v>30</v>
      </c>
      <c r="D134" s="36">
        <v>2</v>
      </c>
      <c r="E134" s="36">
        <v>99051550</v>
      </c>
      <c r="F134" s="36" t="s">
        <v>749</v>
      </c>
      <c r="G134" s="36">
        <v>91338019</v>
      </c>
      <c r="H134" s="36" t="s">
        <v>733</v>
      </c>
      <c r="I134" s="36"/>
      <c r="J134" s="36" t="s">
        <v>2097</v>
      </c>
      <c r="K134" s="36">
        <v>4</v>
      </c>
      <c r="L134" s="25">
        <v>11040</v>
      </c>
      <c r="M134" s="25">
        <v>5520</v>
      </c>
      <c r="N134" s="39">
        <v>2302.83</v>
      </c>
      <c r="O134" s="39">
        <v>1151.42</v>
      </c>
      <c r="P134" s="25">
        <v>5829.61</v>
      </c>
      <c r="Q134" s="25">
        <v>2914.81</v>
      </c>
      <c r="R134" s="25">
        <v>741.99</v>
      </c>
      <c r="S134" s="40">
        <v>284.76</v>
      </c>
      <c r="T134" s="25">
        <v>170.3</v>
      </c>
      <c r="U134" s="25">
        <v>681.2</v>
      </c>
      <c r="V134" s="25">
        <v>668.94</v>
      </c>
      <c r="W134" s="25">
        <v>2675.76</v>
      </c>
      <c r="X134" s="25">
        <v>11040</v>
      </c>
      <c r="Y134" s="25">
        <v>5520</v>
      </c>
      <c r="Z134" s="5">
        <v>6943.19</v>
      </c>
      <c r="AA134" s="21">
        <v>8520</v>
      </c>
    </row>
    <row r="135" spans="1:27">
      <c r="A135" s="34">
        <v>99801118</v>
      </c>
      <c r="B135" s="35" t="s">
        <v>164</v>
      </c>
      <c r="C135" s="36">
        <v>15</v>
      </c>
      <c r="D135" s="36">
        <v>2</v>
      </c>
      <c r="E135" s="36">
        <v>92513065</v>
      </c>
      <c r="F135" s="36" t="s">
        <v>742</v>
      </c>
      <c r="G135" s="36">
        <v>91338157</v>
      </c>
      <c r="H135" s="36" t="s">
        <v>744</v>
      </c>
      <c r="I135" s="36">
        <v>93176761</v>
      </c>
      <c r="J135" s="36" t="s">
        <v>2087</v>
      </c>
      <c r="K135" s="36">
        <v>4</v>
      </c>
      <c r="L135" s="25">
        <v>7839</v>
      </c>
      <c r="M135" s="25">
        <v>3919.5</v>
      </c>
      <c r="N135" s="43"/>
      <c r="O135" s="43"/>
      <c r="P135" s="25"/>
      <c r="Q135" s="40">
        <v>650</v>
      </c>
      <c r="R135" s="25">
        <v>610.6</v>
      </c>
      <c r="S135" s="40">
        <v>284.76</v>
      </c>
      <c r="T135" s="25">
        <v>59.52</v>
      </c>
      <c r="U135" s="25">
        <v>238.08</v>
      </c>
      <c r="V135" s="25">
        <v>288.58999999999997</v>
      </c>
      <c r="W135" s="25">
        <v>1154.3599999999999</v>
      </c>
      <c r="X135" s="25">
        <v>7839</v>
      </c>
      <c r="Y135" s="25">
        <v>3919.5</v>
      </c>
      <c r="Z135" s="5">
        <v>4768.18</v>
      </c>
      <c r="AA135" s="21">
        <v>5851</v>
      </c>
    </row>
    <row r="136" spans="1:27">
      <c r="A136" s="34">
        <v>99801316</v>
      </c>
      <c r="B136" s="35" t="s">
        <v>176</v>
      </c>
      <c r="C136" s="36">
        <v>7.5</v>
      </c>
      <c r="D136" s="36">
        <v>4</v>
      </c>
      <c r="E136" s="36">
        <v>92513065</v>
      </c>
      <c r="F136" s="36" t="s">
        <v>742</v>
      </c>
      <c r="G136" s="36">
        <v>91338016</v>
      </c>
      <c r="H136" s="36" t="s">
        <v>746</v>
      </c>
      <c r="I136" s="36">
        <v>93176760</v>
      </c>
      <c r="J136" s="36" t="s">
        <v>2088</v>
      </c>
      <c r="K136" s="36">
        <v>4</v>
      </c>
      <c r="L136" s="25">
        <v>8263</v>
      </c>
      <c r="M136" s="25">
        <v>4131.5</v>
      </c>
      <c r="N136" s="39">
        <v>499.28</v>
      </c>
      <c r="O136" s="39">
        <v>249.64</v>
      </c>
      <c r="P136" s="25"/>
      <c r="Q136" s="25"/>
      <c r="R136" s="25">
        <v>610.6</v>
      </c>
      <c r="S136" s="40">
        <v>284.76</v>
      </c>
      <c r="T136" s="25">
        <v>135.26</v>
      </c>
      <c r="U136" s="25">
        <v>541.04</v>
      </c>
      <c r="V136" s="25">
        <v>288.61</v>
      </c>
      <c r="W136" s="25">
        <v>1154.44</v>
      </c>
      <c r="X136" s="25">
        <v>8263</v>
      </c>
      <c r="Y136" s="25">
        <v>4131.5</v>
      </c>
      <c r="Z136" s="5">
        <v>5283.14</v>
      </c>
      <c r="AA136" s="21">
        <v>6483</v>
      </c>
    </row>
    <row r="137" spans="1:27">
      <c r="A137" s="34">
        <v>99801141</v>
      </c>
      <c r="B137" s="35" t="s">
        <v>194</v>
      </c>
      <c r="C137" s="36">
        <v>75</v>
      </c>
      <c r="D137" s="36">
        <v>4</v>
      </c>
      <c r="E137" s="36" t="s">
        <v>720</v>
      </c>
      <c r="F137" s="36" t="s">
        <v>2133</v>
      </c>
      <c r="G137" s="36">
        <v>91338020</v>
      </c>
      <c r="H137" s="36" t="s">
        <v>737</v>
      </c>
      <c r="I137" s="36"/>
      <c r="J137" s="36" t="s">
        <v>2099</v>
      </c>
      <c r="K137" s="36">
        <v>6</v>
      </c>
      <c r="L137" s="25">
        <v>19986</v>
      </c>
      <c r="M137" s="25">
        <v>9993</v>
      </c>
      <c r="N137" s="39"/>
      <c r="O137" s="39"/>
      <c r="P137" s="42"/>
      <c r="Q137" s="42"/>
      <c r="R137" s="42">
        <v>1100</v>
      </c>
      <c r="S137" s="40">
        <v>427.14</v>
      </c>
      <c r="T137" s="25">
        <v>170.3</v>
      </c>
      <c r="U137" s="25">
        <v>1021.8</v>
      </c>
      <c r="V137" s="25">
        <v>717.41</v>
      </c>
      <c r="W137" s="25">
        <v>4304.46</v>
      </c>
      <c r="X137" s="25">
        <v>19986</v>
      </c>
      <c r="Y137" s="25">
        <v>9993</v>
      </c>
      <c r="Z137" s="5">
        <v>12114.8</v>
      </c>
      <c r="AA137" s="21">
        <v>14865</v>
      </c>
    </row>
    <row r="138" spans="1:27">
      <c r="A138" s="34">
        <v>99801091</v>
      </c>
      <c r="B138" s="35" t="s">
        <v>185</v>
      </c>
      <c r="C138" s="36">
        <v>22</v>
      </c>
      <c r="D138" s="36">
        <v>2</v>
      </c>
      <c r="E138" s="36">
        <v>98327389</v>
      </c>
      <c r="F138" s="36" t="s">
        <v>2131</v>
      </c>
      <c r="G138" s="36">
        <v>91338018</v>
      </c>
      <c r="H138" s="36" t="s">
        <v>735</v>
      </c>
      <c r="I138" s="36">
        <v>93176762</v>
      </c>
      <c r="J138" s="36" t="s">
        <v>2096</v>
      </c>
      <c r="K138" s="36">
        <v>4</v>
      </c>
      <c r="L138" s="25">
        <v>9651</v>
      </c>
      <c r="M138" s="25">
        <v>4825.5</v>
      </c>
      <c r="N138" s="39"/>
      <c r="O138" s="39"/>
      <c r="P138" s="25"/>
      <c r="Q138" s="25"/>
      <c r="R138" s="25">
        <v>663.42</v>
      </c>
      <c r="S138" s="40">
        <v>284.76</v>
      </c>
      <c r="T138" s="25">
        <v>170.3</v>
      </c>
      <c r="U138" s="25">
        <v>681.2</v>
      </c>
      <c r="V138" s="25">
        <v>668.94</v>
      </c>
      <c r="W138" s="25">
        <v>2675.76</v>
      </c>
      <c r="X138" s="25">
        <v>9651</v>
      </c>
      <c r="Y138" s="25">
        <v>4825.5</v>
      </c>
      <c r="Z138" s="5">
        <v>6170.12</v>
      </c>
      <c r="AA138" s="21">
        <v>7571</v>
      </c>
    </row>
    <row r="139" spans="1:27">
      <c r="A139" s="34">
        <v>99801090</v>
      </c>
      <c r="B139" s="35" t="s">
        <v>180</v>
      </c>
      <c r="C139" s="36">
        <v>18.5</v>
      </c>
      <c r="D139" s="36">
        <v>2</v>
      </c>
      <c r="E139" s="36">
        <v>98327389</v>
      </c>
      <c r="F139" s="36" t="s">
        <v>2131</v>
      </c>
      <c r="G139" s="36">
        <v>91338018</v>
      </c>
      <c r="H139" s="36" t="s">
        <v>735</v>
      </c>
      <c r="I139" s="36">
        <v>93176762</v>
      </c>
      <c r="J139" s="36" t="s">
        <v>2096</v>
      </c>
      <c r="K139" s="36">
        <v>4</v>
      </c>
      <c r="L139" s="25">
        <v>9316</v>
      </c>
      <c r="M139" s="25">
        <v>4658</v>
      </c>
      <c r="N139" s="39"/>
      <c r="O139" s="39"/>
      <c r="P139" s="25"/>
      <c r="Q139" s="25"/>
      <c r="R139" s="25">
        <v>663.42</v>
      </c>
      <c r="S139" s="40">
        <v>284.76</v>
      </c>
      <c r="T139" s="25">
        <v>170.3</v>
      </c>
      <c r="U139" s="25">
        <v>681.2</v>
      </c>
      <c r="V139" s="25">
        <v>668.94</v>
      </c>
      <c r="W139" s="25">
        <v>2675.76</v>
      </c>
      <c r="X139" s="25">
        <v>9316</v>
      </c>
      <c r="Y139" s="25">
        <v>4658</v>
      </c>
      <c r="Z139" s="5">
        <v>6002.62</v>
      </c>
      <c r="AA139" s="21">
        <v>7366</v>
      </c>
    </row>
    <row r="140" spans="1:27">
      <c r="A140" s="34">
        <v>99801151</v>
      </c>
      <c r="B140" s="35" t="s">
        <v>283</v>
      </c>
      <c r="C140" s="36">
        <v>90</v>
      </c>
      <c r="D140" s="36">
        <v>2</v>
      </c>
      <c r="E140" s="36"/>
      <c r="F140" s="36" t="e">
        <v>#N/A</v>
      </c>
      <c r="G140" s="36">
        <v>91338019</v>
      </c>
      <c r="H140" s="36" t="s">
        <v>733</v>
      </c>
      <c r="I140" s="36"/>
      <c r="J140" s="36" t="s">
        <v>2097</v>
      </c>
      <c r="K140" s="36">
        <v>4</v>
      </c>
      <c r="L140" s="25">
        <v>25361</v>
      </c>
      <c r="M140" s="25">
        <v>12680.5</v>
      </c>
      <c r="N140" s="39"/>
      <c r="O140" s="39"/>
      <c r="P140" s="25"/>
      <c r="Q140" s="25"/>
      <c r="R140" s="25" t="e">
        <v>#N/A</v>
      </c>
      <c r="S140" s="40">
        <v>284.76</v>
      </c>
      <c r="T140" s="25">
        <v>170.3</v>
      </c>
      <c r="U140" s="25">
        <v>681.2</v>
      </c>
      <c r="V140" s="25">
        <v>668.94</v>
      </c>
      <c r="W140" s="25">
        <v>2675.76</v>
      </c>
      <c r="X140" s="25">
        <v>25361</v>
      </c>
      <c r="Y140" s="25">
        <v>12680.5</v>
      </c>
      <c r="Z140" s="7">
        <v>1</v>
      </c>
      <c r="AA140" s="21">
        <v>2</v>
      </c>
    </row>
    <row r="141" spans="1:27">
      <c r="A141" s="34">
        <v>99801296</v>
      </c>
      <c r="B141" s="35" t="s">
        <v>117</v>
      </c>
      <c r="C141" s="36">
        <v>3</v>
      </c>
      <c r="D141" s="36">
        <v>4</v>
      </c>
      <c r="E141" s="36">
        <v>98327382</v>
      </c>
      <c r="F141" s="36" t="s">
        <v>2134</v>
      </c>
      <c r="G141" s="36">
        <v>92932673</v>
      </c>
      <c r="H141" s="36" t="s">
        <v>741</v>
      </c>
      <c r="I141" s="36">
        <v>93176761</v>
      </c>
      <c r="J141" s="36" t="s">
        <v>2087</v>
      </c>
      <c r="K141" s="36">
        <v>4</v>
      </c>
      <c r="L141" s="25">
        <v>5101</v>
      </c>
      <c r="M141" s="25">
        <v>2550.5</v>
      </c>
      <c r="N141" s="39"/>
      <c r="O141" s="39"/>
      <c r="P141" s="25">
        <v>199.22</v>
      </c>
      <c r="Q141" s="25">
        <v>99.61</v>
      </c>
      <c r="R141" s="25">
        <v>532.03</v>
      </c>
      <c r="S141" s="40">
        <v>284.76</v>
      </c>
      <c r="T141" s="25">
        <v>59.52</v>
      </c>
      <c r="U141" s="25">
        <v>238.08</v>
      </c>
      <c r="V141" s="25">
        <v>288.58999999999997</v>
      </c>
      <c r="W141" s="25">
        <v>1154.3599999999999</v>
      </c>
      <c r="X141" s="25">
        <v>5101</v>
      </c>
      <c r="Y141" s="25">
        <v>2550.5</v>
      </c>
      <c r="Z141" s="5">
        <v>3320.61</v>
      </c>
      <c r="AA141" s="21">
        <v>4075</v>
      </c>
    </row>
    <row r="142" spans="1:27">
      <c r="A142" s="34">
        <v>99801393</v>
      </c>
      <c r="B142" s="35" t="s">
        <v>274</v>
      </c>
      <c r="C142" s="36">
        <v>55</v>
      </c>
      <c r="D142" s="36">
        <v>4</v>
      </c>
      <c r="E142" s="36" t="s">
        <v>720</v>
      </c>
      <c r="F142" s="36" t="s">
        <v>2133</v>
      </c>
      <c r="G142" s="36">
        <v>91338020</v>
      </c>
      <c r="H142" s="36" t="s">
        <v>737</v>
      </c>
      <c r="I142" s="36"/>
      <c r="J142" s="36" t="s">
        <v>2099</v>
      </c>
      <c r="K142" s="36">
        <v>6</v>
      </c>
      <c r="L142" s="25">
        <v>25632</v>
      </c>
      <c r="M142" s="25">
        <v>12816</v>
      </c>
      <c r="N142" s="39">
        <v>1237</v>
      </c>
      <c r="O142" s="43">
        <v>618.5</v>
      </c>
      <c r="P142" s="42"/>
      <c r="Q142" s="42"/>
      <c r="R142" s="42">
        <v>1100</v>
      </c>
      <c r="S142" s="40">
        <v>427.14</v>
      </c>
      <c r="T142" s="25">
        <v>170.3</v>
      </c>
      <c r="U142" s="25">
        <v>1021.8</v>
      </c>
      <c r="V142" s="25">
        <v>717.41</v>
      </c>
      <c r="W142" s="25">
        <v>4304.46</v>
      </c>
      <c r="X142" s="25">
        <v>25632</v>
      </c>
      <c r="Y142" s="25">
        <v>12816</v>
      </c>
      <c r="Z142" s="5">
        <v>14937.8</v>
      </c>
      <c r="AA142" s="21">
        <v>18329</v>
      </c>
    </row>
    <row r="143" spans="1:27">
      <c r="A143" s="34">
        <v>99801285</v>
      </c>
      <c r="B143" s="35" t="s">
        <v>142</v>
      </c>
      <c r="C143" s="36">
        <v>3</v>
      </c>
      <c r="D143" s="36">
        <v>4</v>
      </c>
      <c r="E143" s="36">
        <v>98327382</v>
      </c>
      <c r="F143" s="36" t="s">
        <v>2134</v>
      </c>
      <c r="G143" s="36">
        <v>91338157</v>
      </c>
      <c r="H143" s="36" t="s">
        <v>744</v>
      </c>
      <c r="I143" s="36">
        <v>93176761</v>
      </c>
      <c r="J143" s="36" t="s">
        <v>2087</v>
      </c>
      <c r="K143" s="36">
        <v>4</v>
      </c>
      <c r="L143" s="25">
        <v>6544</v>
      </c>
      <c r="M143" s="25">
        <v>3272</v>
      </c>
      <c r="N143" s="39"/>
      <c r="O143" s="39"/>
      <c r="P143" s="25"/>
      <c r="Q143" s="25"/>
      <c r="R143" s="25">
        <v>532.03</v>
      </c>
      <c r="S143" s="40">
        <v>284.76</v>
      </c>
      <c r="T143" s="25">
        <v>59.52</v>
      </c>
      <c r="U143" s="25">
        <v>238.08</v>
      </c>
      <c r="V143" s="25">
        <v>288.58999999999997</v>
      </c>
      <c r="W143" s="25">
        <v>1154.3599999999999</v>
      </c>
      <c r="X143" s="25">
        <v>6544</v>
      </c>
      <c r="Y143" s="25">
        <v>3272</v>
      </c>
      <c r="Z143" s="5">
        <v>4042.11</v>
      </c>
      <c r="AA143" s="21">
        <v>4960</v>
      </c>
    </row>
    <row r="144" spans="1:27">
      <c r="A144" s="34">
        <v>99801362</v>
      </c>
      <c r="B144" s="35" t="s">
        <v>257</v>
      </c>
      <c r="C144" s="36">
        <v>45</v>
      </c>
      <c r="D144" s="36">
        <v>4</v>
      </c>
      <c r="E144" s="36" t="s">
        <v>720</v>
      </c>
      <c r="F144" s="36" t="s">
        <v>2133</v>
      </c>
      <c r="G144" s="36">
        <v>91338020</v>
      </c>
      <c r="H144" s="36" t="s">
        <v>737</v>
      </c>
      <c r="I144" s="36"/>
      <c r="J144" s="36" t="s">
        <v>2099</v>
      </c>
      <c r="K144" s="36">
        <v>6</v>
      </c>
      <c r="L144" s="25">
        <v>21494</v>
      </c>
      <c r="M144" s="25">
        <v>10747</v>
      </c>
      <c r="N144" s="39"/>
      <c r="O144" s="39"/>
      <c r="P144" s="25"/>
      <c r="Q144" s="25"/>
      <c r="R144" s="40">
        <v>1500</v>
      </c>
      <c r="S144" s="40">
        <v>427.14</v>
      </c>
      <c r="T144" s="25">
        <v>170.3</v>
      </c>
      <c r="U144" s="25">
        <v>1021.8</v>
      </c>
      <c r="V144" s="25">
        <v>717.41</v>
      </c>
      <c r="W144" s="25">
        <v>4304.46</v>
      </c>
      <c r="X144" s="25">
        <v>21494</v>
      </c>
      <c r="Y144" s="25">
        <v>10747</v>
      </c>
      <c r="Z144" s="5">
        <v>13268.8</v>
      </c>
      <c r="AA144" s="21">
        <v>16281</v>
      </c>
    </row>
    <row r="145" spans="1:27">
      <c r="A145" s="34">
        <v>99801397</v>
      </c>
      <c r="B145" s="35" t="s">
        <v>285</v>
      </c>
      <c r="C145" s="36">
        <v>90</v>
      </c>
      <c r="D145" s="36">
        <v>4</v>
      </c>
      <c r="E145" s="44" t="s">
        <v>720</v>
      </c>
      <c r="F145" s="44" t="s">
        <v>721</v>
      </c>
      <c r="G145" s="36">
        <v>91338021</v>
      </c>
      <c r="H145" s="36" t="s">
        <v>718</v>
      </c>
      <c r="I145" s="36"/>
      <c r="J145" s="36" t="s">
        <v>2101</v>
      </c>
      <c r="K145" s="44">
        <v>6</v>
      </c>
      <c r="L145" s="25">
        <v>34940</v>
      </c>
      <c r="M145" s="25">
        <v>17470</v>
      </c>
      <c r="N145" s="39"/>
      <c r="O145" s="39"/>
      <c r="P145" s="25"/>
      <c r="Q145" s="25"/>
      <c r="R145" s="40">
        <v>1500</v>
      </c>
      <c r="S145" s="40">
        <v>427.14</v>
      </c>
      <c r="T145" s="25">
        <v>170.3</v>
      </c>
      <c r="U145" s="41">
        <v>1021.8</v>
      </c>
      <c r="V145" s="25">
        <v>717.41</v>
      </c>
      <c r="W145" s="25">
        <v>4304.46</v>
      </c>
      <c r="X145" s="25">
        <v>34940</v>
      </c>
      <c r="Y145" s="25">
        <v>17470</v>
      </c>
      <c r="Z145" s="5">
        <v>19991.8</v>
      </c>
      <c r="AA145" s="21">
        <v>24530</v>
      </c>
    </row>
    <row r="146" spans="1:27">
      <c r="A146" s="34">
        <v>99801295</v>
      </c>
      <c r="B146" s="35" t="s">
        <v>107</v>
      </c>
      <c r="C146" s="36">
        <v>2.2000000000000002</v>
      </c>
      <c r="D146" s="36">
        <v>4</v>
      </c>
      <c r="E146" s="36">
        <v>98336369</v>
      </c>
      <c r="F146" s="36" t="s">
        <v>2130</v>
      </c>
      <c r="G146" s="36">
        <v>92932672</v>
      </c>
      <c r="H146" s="36" t="s">
        <v>2047</v>
      </c>
      <c r="I146" s="36">
        <v>93176749</v>
      </c>
      <c r="J146" s="36" t="s">
        <v>2086</v>
      </c>
      <c r="K146" s="36">
        <v>4</v>
      </c>
      <c r="L146" s="25">
        <v>4986</v>
      </c>
      <c r="M146" s="25">
        <v>2493</v>
      </c>
      <c r="N146" s="39"/>
      <c r="O146" s="39"/>
      <c r="P146" s="25"/>
      <c r="Q146" s="25"/>
      <c r="R146" s="25">
        <v>565.52</v>
      </c>
      <c r="S146" s="40">
        <v>284.76</v>
      </c>
      <c r="T146" s="25">
        <v>59.52</v>
      </c>
      <c r="U146" s="25">
        <v>238.08</v>
      </c>
      <c r="V146" s="25">
        <v>288.58</v>
      </c>
      <c r="W146" s="25">
        <v>1154.32</v>
      </c>
      <c r="X146" s="25">
        <v>4986</v>
      </c>
      <c r="Y146" s="25">
        <v>2493</v>
      </c>
      <c r="Z146" s="5">
        <v>3296.6</v>
      </c>
      <c r="AA146" s="21">
        <v>4045</v>
      </c>
    </row>
    <row r="147" spans="1:27">
      <c r="A147" s="34">
        <v>99801363</v>
      </c>
      <c r="B147" s="35" t="s">
        <v>271</v>
      </c>
      <c r="C147" s="36">
        <v>55</v>
      </c>
      <c r="D147" s="36">
        <v>4</v>
      </c>
      <c r="E147" s="36" t="s">
        <v>720</v>
      </c>
      <c r="F147" s="36" t="s">
        <v>2133</v>
      </c>
      <c r="G147" s="36">
        <v>91338020</v>
      </c>
      <c r="H147" s="36" t="s">
        <v>737</v>
      </c>
      <c r="I147" s="36"/>
      <c r="J147" s="36" t="s">
        <v>2099</v>
      </c>
      <c r="K147" s="36">
        <v>6</v>
      </c>
      <c r="L147" s="25">
        <v>24034</v>
      </c>
      <c r="M147" s="25">
        <v>12017</v>
      </c>
      <c r="N147" s="39">
        <v>1016</v>
      </c>
      <c r="O147" s="43">
        <v>508</v>
      </c>
      <c r="P147" s="42"/>
      <c r="Q147" s="42"/>
      <c r="R147" s="42">
        <v>1100</v>
      </c>
      <c r="S147" s="40">
        <v>427.14</v>
      </c>
      <c r="T147" s="25">
        <v>170.3</v>
      </c>
      <c r="U147" s="25">
        <v>1021.8</v>
      </c>
      <c r="V147" s="25">
        <v>717.41</v>
      </c>
      <c r="W147" s="25">
        <v>4304.46</v>
      </c>
      <c r="X147" s="25">
        <v>24034</v>
      </c>
      <c r="Y147" s="25">
        <v>12017</v>
      </c>
      <c r="Z147" s="5">
        <v>14138.8</v>
      </c>
      <c r="AA147" s="21">
        <v>17349</v>
      </c>
    </row>
    <row r="148" spans="1:27">
      <c r="A148" s="34">
        <v>99817807</v>
      </c>
      <c r="B148" s="35" t="s">
        <v>233</v>
      </c>
      <c r="C148" s="36">
        <v>30</v>
      </c>
      <c r="D148" s="36">
        <v>4</v>
      </c>
      <c r="E148" s="36">
        <v>99051550</v>
      </c>
      <c r="F148" s="36" t="s">
        <v>749</v>
      </c>
      <c r="G148" s="36">
        <v>91338019</v>
      </c>
      <c r="H148" s="36" t="s">
        <v>733</v>
      </c>
      <c r="I148" s="36"/>
      <c r="J148" s="36" t="s">
        <v>2097</v>
      </c>
      <c r="K148" s="36">
        <v>4</v>
      </c>
      <c r="L148" s="25">
        <v>14757</v>
      </c>
      <c r="M148" s="25">
        <v>7378.5</v>
      </c>
      <c r="N148" s="39">
        <v>798</v>
      </c>
      <c r="O148" s="43">
        <v>399</v>
      </c>
      <c r="P148" s="25"/>
      <c r="Q148" s="25"/>
      <c r="R148" s="25">
        <v>741.99</v>
      </c>
      <c r="S148" s="40">
        <v>284.76</v>
      </c>
      <c r="T148" s="25">
        <v>170.3</v>
      </c>
      <c r="U148" s="25">
        <v>681.2</v>
      </c>
      <c r="V148" s="25">
        <v>668.94</v>
      </c>
      <c r="W148" s="25">
        <v>2675.76</v>
      </c>
      <c r="X148" s="25">
        <v>14757</v>
      </c>
      <c r="Y148" s="25">
        <v>7378.5</v>
      </c>
      <c r="Z148" s="5">
        <v>8801.69</v>
      </c>
      <c r="AA148" s="21">
        <v>10800</v>
      </c>
    </row>
    <row r="149" spans="1:27">
      <c r="A149" s="34">
        <v>99801089</v>
      </c>
      <c r="B149" s="35" t="s">
        <v>177</v>
      </c>
      <c r="C149" s="36">
        <v>15</v>
      </c>
      <c r="D149" s="36">
        <v>2</v>
      </c>
      <c r="E149" s="36">
        <v>92513065</v>
      </c>
      <c r="F149" s="36" t="s">
        <v>742</v>
      </c>
      <c r="G149" s="36">
        <v>91338016</v>
      </c>
      <c r="H149" s="36" t="s">
        <v>746</v>
      </c>
      <c r="I149" s="36">
        <v>93176760</v>
      </c>
      <c r="J149" s="36" t="s">
        <v>2088</v>
      </c>
      <c r="K149" s="36">
        <v>4</v>
      </c>
      <c r="L149" s="25">
        <v>8860</v>
      </c>
      <c r="M149" s="25">
        <v>4430</v>
      </c>
      <c r="N149" s="39"/>
      <c r="O149" s="39"/>
      <c r="P149" s="25"/>
      <c r="Q149" s="25"/>
      <c r="R149" s="25">
        <v>610.6</v>
      </c>
      <c r="S149" s="40">
        <v>284.76</v>
      </c>
      <c r="T149" s="25">
        <v>135.26</v>
      </c>
      <c r="U149" s="25">
        <v>541.04</v>
      </c>
      <c r="V149" s="25">
        <v>288.61</v>
      </c>
      <c r="W149" s="25">
        <v>1154.44</v>
      </c>
      <c r="X149" s="25">
        <v>8860</v>
      </c>
      <c r="Y149" s="25">
        <v>4430</v>
      </c>
      <c r="Z149" s="5">
        <v>5581.64</v>
      </c>
      <c r="AA149" s="21">
        <v>6849</v>
      </c>
    </row>
    <row r="150" spans="1:27">
      <c r="A150" s="34">
        <v>99801394</v>
      </c>
      <c r="B150" s="35" t="s">
        <v>276</v>
      </c>
      <c r="C150" s="36">
        <v>75</v>
      </c>
      <c r="D150" s="36">
        <v>4</v>
      </c>
      <c r="E150" s="36" t="s">
        <v>720</v>
      </c>
      <c r="F150" s="36" t="s">
        <v>2133</v>
      </c>
      <c r="G150" s="36">
        <v>91338020</v>
      </c>
      <c r="H150" s="36" t="s">
        <v>737</v>
      </c>
      <c r="I150" s="36"/>
      <c r="J150" s="36" t="s">
        <v>2099</v>
      </c>
      <c r="K150" s="36">
        <v>6</v>
      </c>
      <c r="L150" s="25">
        <v>28791</v>
      </c>
      <c r="M150" s="25">
        <v>14395.5</v>
      </c>
      <c r="N150" s="39"/>
      <c r="O150" s="39"/>
      <c r="P150" s="42"/>
      <c r="Q150" s="42"/>
      <c r="R150" s="42">
        <v>1100</v>
      </c>
      <c r="S150" s="40">
        <v>427.14</v>
      </c>
      <c r="T150" s="25">
        <v>170.3</v>
      </c>
      <c r="U150" s="25">
        <v>1021.8</v>
      </c>
      <c r="V150" s="25">
        <v>717.41</v>
      </c>
      <c r="W150" s="25">
        <v>4304.46</v>
      </c>
      <c r="X150" s="25">
        <v>28791</v>
      </c>
      <c r="Y150" s="25">
        <v>14395.5</v>
      </c>
      <c r="Z150" s="5">
        <v>16517.3</v>
      </c>
      <c r="AA150" s="21">
        <v>20267</v>
      </c>
    </row>
    <row r="151" spans="1:27">
      <c r="A151" s="34">
        <v>99801138</v>
      </c>
      <c r="B151" s="35" t="s">
        <v>212</v>
      </c>
      <c r="C151" s="36">
        <v>30</v>
      </c>
      <c r="D151" s="36">
        <v>2</v>
      </c>
      <c r="E151" s="36">
        <v>99051550</v>
      </c>
      <c r="F151" s="36" t="s">
        <v>749</v>
      </c>
      <c r="G151" s="36">
        <v>91338019</v>
      </c>
      <c r="H151" s="36" t="s">
        <v>733</v>
      </c>
      <c r="I151" s="36"/>
      <c r="J151" s="36" t="s">
        <v>2097</v>
      </c>
      <c r="K151" s="36">
        <v>4</v>
      </c>
      <c r="L151" s="25">
        <v>11683</v>
      </c>
      <c r="M151" s="25">
        <v>5841.5</v>
      </c>
      <c r="N151" s="39"/>
      <c r="O151" s="39"/>
      <c r="P151" s="25"/>
      <c r="Q151" s="25"/>
      <c r="R151" s="25">
        <v>741.99</v>
      </c>
      <c r="S151" s="40">
        <v>284.76</v>
      </c>
      <c r="T151" s="25">
        <v>170.3</v>
      </c>
      <c r="U151" s="25">
        <v>681.2</v>
      </c>
      <c r="V151" s="25">
        <v>668.94</v>
      </c>
      <c r="W151" s="25">
        <v>2675.76</v>
      </c>
      <c r="X151" s="25">
        <v>11683</v>
      </c>
      <c r="Y151" s="25">
        <v>5841.5</v>
      </c>
      <c r="Z151" s="5">
        <v>7264.69</v>
      </c>
      <c r="AA151" s="21">
        <v>8914</v>
      </c>
    </row>
    <row r="152" spans="1:27">
      <c r="A152" s="34">
        <v>99801337</v>
      </c>
      <c r="B152" s="35" t="s">
        <v>201</v>
      </c>
      <c r="C152" s="36">
        <v>11</v>
      </c>
      <c r="D152" s="36">
        <v>4</v>
      </c>
      <c r="E152" s="36">
        <v>92513065</v>
      </c>
      <c r="F152" s="36" t="s">
        <v>742</v>
      </c>
      <c r="G152" s="36">
        <v>91338016</v>
      </c>
      <c r="H152" s="36" t="s">
        <v>746</v>
      </c>
      <c r="I152" s="36">
        <v>93176760</v>
      </c>
      <c r="J152" s="36" t="s">
        <v>2088</v>
      </c>
      <c r="K152" s="36">
        <v>4</v>
      </c>
      <c r="L152" s="25">
        <v>9159</v>
      </c>
      <c r="M152" s="25">
        <v>4579.5</v>
      </c>
      <c r="N152" s="39"/>
      <c r="O152" s="39"/>
      <c r="P152" s="25"/>
      <c r="Q152" s="25"/>
      <c r="R152" s="25">
        <v>610.6</v>
      </c>
      <c r="S152" s="40">
        <v>284.76</v>
      </c>
      <c r="T152" s="25">
        <v>135.26</v>
      </c>
      <c r="U152" s="25">
        <v>541.04</v>
      </c>
      <c r="V152" s="25">
        <v>288.61</v>
      </c>
      <c r="W152" s="25">
        <v>1154.44</v>
      </c>
      <c r="X152" s="25">
        <v>9159</v>
      </c>
      <c r="Y152" s="25">
        <v>4579.5</v>
      </c>
      <c r="Z152" s="5">
        <v>5731.14</v>
      </c>
      <c r="AA152" s="21">
        <v>7033</v>
      </c>
    </row>
    <row r="153" spans="1:27">
      <c r="A153" s="34">
        <v>99796411</v>
      </c>
      <c r="B153" s="35" t="s">
        <v>128</v>
      </c>
      <c r="C153" s="36">
        <v>5.5</v>
      </c>
      <c r="D153" s="36">
        <v>2</v>
      </c>
      <c r="E153" s="36">
        <v>98327382</v>
      </c>
      <c r="F153" s="36" t="s">
        <v>2134</v>
      </c>
      <c r="G153" s="36">
        <v>91338157</v>
      </c>
      <c r="H153" s="36" t="s">
        <v>744</v>
      </c>
      <c r="I153" s="36">
        <v>93176761</v>
      </c>
      <c r="J153" s="36" t="s">
        <v>2087</v>
      </c>
      <c r="K153" s="36">
        <v>4</v>
      </c>
      <c r="L153" s="25">
        <v>5008</v>
      </c>
      <c r="M153" s="25">
        <v>2504</v>
      </c>
      <c r="N153" s="39"/>
      <c r="O153" s="39"/>
      <c r="P153" s="25"/>
      <c r="Q153" s="25"/>
      <c r="R153" s="25">
        <v>532.03</v>
      </c>
      <c r="S153" s="40">
        <v>284.76</v>
      </c>
      <c r="T153" s="25">
        <v>59.52</v>
      </c>
      <c r="U153" s="25">
        <v>238.08</v>
      </c>
      <c r="V153" s="25">
        <v>288.58999999999997</v>
      </c>
      <c r="W153" s="25">
        <v>1154.3599999999999</v>
      </c>
      <c r="X153" s="25">
        <v>5008</v>
      </c>
      <c r="Y153" s="25">
        <v>2504</v>
      </c>
      <c r="Z153" s="5">
        <v>3274.11</v>
      </c>
      <c r="AA153" s="21">
        <v>4018</v>
      </c>
    </row>
    <row r="154" spans="1:27">
      <c r="A154" s="34">
        <v>99801150</v>
      </c>
      <c r="B154" s="35" t="s">
        <v>273</v>
      </c>
      <c r="C154" s="36">
        <v>75</v>
      </c>
      <c r="D154" s="36">
        <v>2</v>
      </c>
      <c r="E154" s="36" t="s">
        <v>720</v>
      </c>
      <c r="F154" s="36" t="s">
        <v>2133</v>
      </c>
      <c r="G154" s="36">
        <v>91338020</v>
      </c>
      <c r="H154" s="36" t="s">
        <v>737</v>
      </c>
      <c r="I154" s="36"/>
      <c r="J154" s="36" t="s">
        <v>2099</v>
      </c>
      <c r="K154" s="36">
        <v>6</v>
      </c>
      <c r="L154" s="25">
        <v>23464</v>
      </c>
      <c r="M154" s="25">
        <v>11732</v>
      </c>
      <c r="N154" s="39"/>
      <c r="O154" s="39"/>
      <c r="P154" s="42"/>
      <c r="Q154" s="42"/>
      <c r="R154" s="42">
        <v>1100</v>
      </c>
      <c r="S154" s="40">
        <v>427.14</v>
      </c>
      <c r="T154" s="25">
        <v>170.3</v>
      </c>
      <c r="U154" s="25">
        <v>1021.8</v>
      </c>
      <c r="V154" s="25">
        <v>717.41</v>
      </c>
      <c r="W154" s="25">
        <v>4304.46</v>
      </c>
      <c r="X154" s="25">
        <v>23464</v>
      </c>
      <c r="Y154" s="25">
        <v>11732</v>
      </c>
      <c r="Z154" s="5">
        <v>13853.8</v>
      </c>
      <c r="AA154" s="21">
        <v>16999</v>
      </c>
    </row>
    <row r="155" spans="1:27">
      <c r="A155" s="34">
        <v>99801130</v>
      </c>
      <c r="B155" s="35" t="s">
        <v>259</v>
      </c>
      <c r="C155" s="36">
        <v>55</v>
      </c>
      <c r="D155" s="36">
        <v>2</v>
      </c>
      <c r="E155" s="36" t="s">
        <v>720</v>
      </c>
      <c r="F155" s="36" t="s">
        <v>2133</v>
      </c>
      <c r="G155" s="36">
        <v>91338020</v>
      </c>
      <c r="H155" s="36" t="s">
        <v>737</v>
      </c>
      <c r="I155" s="36"/>
      <c r="J155" s="36" t="s">
        <v>2099</v>
      </c>
      <c r="K155" s="36">
        <v>6</v>
      </c>
      <c r="L155" s="25">
        <v>17422</v>
      </c>
      <c r="M155" s="25">
        <v>8711</v>
      </c>
      <c r="N155" s="39"/>
      <c r="O155" s="39"/>
      <c r="P155" s="25"/>
      <c r="Q155" s="25"/>
      <c r="R155" s="25"/>
      <c r="S155" s="40">
        <v>427.14</v>
      </c>
      <c r="T155" s="25">
        <v>170.3</v>
      </c>
      <c r="U155" s="25">
        <v>1021.8</v>
      </c>
      <c r="V155" s="25">
        <v>717.41</v>
      </c>
      <c r="W155" s="25">
        <v>4304.46</v>
      </c>
      <c r="X155" s="25">
        <v>17422</v>
      </c>
      <c r="Y155" s="25">
        <v>8711</v>
      </c>
      <c r="Z155" s="5">
        <v>9732.7999999999993</v>
      </c>
      <c r="AA155" s="21">
        <v>11943</v>
      </c>
    </row>
    <row r="156" spans="1:27">
      <c r="A156" s="34">
        <v>99801388</v>
      </c>
      <c r="B156" s="35" t="s">
        <v>237</v>
      </c>
      <c r="C156" s="36">
        <v>30</v>
      </c>
      <c r="D156" s="36">
        <v>4</v>
      </c>
      <c r="E156" s="36">
        <v>98299752</v>
      </c>
      <c r="F156" s="36" t="s">
        <v>2132</v>
      </c>
      <c r="G156" s="36">
        <v>91338020</v>
      </c>
      <c r="H156" s="36" t="s">
        <v>737</v>
      </c>
      <c r="I156" s="36"/>
      <c r="J156" s="36" t="s">
        <v>2099</v>
      </c>
      <c r="K156" s="36">
        <v>4</v>
      </c>
      <c r="L156" s="25">
        <v>18366</v>
      </c>
      <c r="M156" s="25">
        <v>9183</v>
      </c>
      <c r="N156" s="39"/>
      <c r="O156" s="39"/>
      <c r="P156" s="25"/>
      <c r="Q156" s="25"/>
      <c r="R156" s="25">
        <v>824.44</v>
      </c>
      <c r="S156" s="40">
        <v>284.76</v>
      </c>
      <c r="T156" s="25">
        <v>170.3</v>
      </c>
      <c r="U156" s="25">
        <v>681.2</v>
      </c>
      <c r="V156" s="25">
        <v>717.41</v>
      </c>
      <c r="W156" s="25">
        <v>2869.64</v>
      </c>
      <c r="X156" s="25">
        <v>18366</v>
      </c>
      <c r="Y156" s="25">
        <v>9183</v>
      </c>
      <c r="Z156" s="5">
        <v>10688.64</v>
      </c>
      <c r="AA156" s="21">
        <v>13115</v>
      </c>
    </row>
    <row r="157" spans="1:27">
      <c r="A157" s="34">
        <v>99817789</v>
      </c>
      <c r="B157" s="35" t="s">
        <v>254</v>
      </c>
      <c r="C157" s="36">
        <v>55</v>
      </c>
      <c r="D157" s="36">
        <v>2</v>
      </c>
      <c r="E157" s="36" t="s">
        <v>720</v>
      </c>
      <c r="F157" s="36" t="s">
        <v>2133</v>
      </c>
      <c r="G157" s="36">
        <v>91338020</v>
      </c>
      <c r="H157" s="36" t="s">
        <v>737</v>
      </c>
      <c r="I157" s="36"/>
      <c r="J157" s="36" t="s">
        <v>2099</v>
      </c>
      <c r="K157" s="36">
        <v>6</v>
      </c>
      <c r="L157" s="25">
        <v>17204</v>
      </c>
      <c r="M157" s="25">
        <v>8602</v>
      </c>
      <c r="N157" s="39"/>
      <c r="O157" s="39"/>
      <c r="P157" s="25"/>
      <c r="Q157" s="25"/>
      <c r="R157" s="25"/>
      <c r="S157" s="40">
        <v>427.14</v>
      </c>
      <c r="T157" s="25">
        <v>170.3</v>
      </c>
      <c r="U157" s="25">
        <v>1021.8</v>
      </c>
      <c r="V157" s="25">
        <v>717.41</v>
      </c>
      <c r="W157" s="25">
        <v>4304.46</v>
      </c>
      <c r="X157" s="25">
        <v>17204</v>
      </c>
      <c r="Y157" s="25">
        <v>8602</v>
      </c>
      <c r="Z157" s="5">
        <v>9623.7999999999993</v>
      </c>
      <c r="AA157" s="21">
        <v>11809</v>
      </c>
    </row>
    <row r="158" spans="1:27">
      <c r="A158" s="34">
        <v>99801359</v>
      </c>
      <c r="B158" s="35" t="s">
        <v>231</v>
      </c>
      <c r="C158" s="36">
        <v>22</v>
      </c>
      <c r="D158" s="36">
        <v>4</v>
      </c>
      <c r="E158" s="36">
        <v>99051550</v>
      </c>
      <c r="F158" s="36" t="s">
        <v>749</v>
      </c>
      <c r="G158" s="36">
        <v>91338019</v>
      </c>
      <c r="H158" s="36" t="s">
        <v>733</v>
      </c>
      <c r="I158" s="36"/>
      <c r="J158" s="36" t="s">
        <v>2097</v>
      </c>
      <c r="K158" s="36">
        <v>4</v>
      </c>
      <c r="L158" s="25">
        <v>15918</v>
      </c>
      <c r="M158" s="25">
        <v>7959</v>
      </c>
      <c r="N158" s="39"/>
      <c r="O158" s="39"/>
      <c r="P158" s="25"/>
      <c r="Q158" s="25"/>
      <c r="R158" s="25">
        <v>741.99</v>
      </c>
      <c r="S158" s="40">
        <v>284.76</v>
      </c>
      <c r="T158" s="25">
        <v>170.3</v>
      </c>
      <c r="U158" s="25">
        <v>681.2</v>
      </c>
      <c r="V158" s="25">
        <v>668.94</v>
      </c>
      <c r="W158" s="25">
        <v>2675.76</v>
      </c>
      <c r="X158" s="25">
        <v>15918</v>
      </c>
      <c r="Y158" s="25">
        <v>7959</v>
      </c>
      <c r="Z158" s="5">
        <v>9382.19</v>
      </c>
      <c r="AA158" s="21">
        <v>11512</v>
      </c>
    </row>
    <row r="159" spans="1:27">
      <c r="A159" s="34">
        <v>99801098</v>
      </c>
      <c r="B159" s="35" t="s">
        <v>130</v>
      </c>
      <c r="C159" s="36">
        <v>5.5</v>
      </c>
      <c r="D159" s="36">
        <v>2</v>
      </c>
      <c r="E159" s="36">
        <v>98327382</v>
      </c>
      <c r="F159" s="36" t="s">
        <v>2134</v>
      </c>
      <c r="G159" s="36">
        <v>91338157</v>
      </c>
      <c r="H159" s="36" t="s">
        <v>744</v>
      </c>
      <c r="I159" s="36">
        <v>93176761</v>
      </c>
      <c r="J159" s="36" t="s">
        <v>2087</v>
      </c>
      <c r="K159" s="36">
        <v>4</v>
      </c>
      <c r="L159" s="25">
        <v>5156</v>
      </c>
      <c r="M159" s="25">
        <v>2578</v>
      </c>
      <c r="N159" s="39"/>
      <c r="O159" s="39"/>
      <c r="P159" s="25"/>
      <c r="Q159" s="25"/>
      <c r="R159" s="25">
        <v>532.03</v>
      </c>
      <c r="S159" s="40">
        <v>284.76</v>
      </c>
      <c r="T159" s="25">
        <v>59.52</v>
      </c>
      <c r="U159" s="25">
        <v>238.08</v>
      </c>
      <c r="V159" s="25">
        <v>288.58999999999997</v>
      </c>
      <c r="W159" s="25">
        <v>1154.3599999999999</v>
      </c>
      <c r="X159" s="25">
        <v>5156</v>
      </c>
      <c r="Y159" s="25">
        <v>2578</v>
      </c>
      <c r="Z159" s="5">
        <v>3348.11</v>
      </c>
      <c r="AA159" s="21">
        <v>4109</v>
      </c>
    </row>
    <row r="160" spans="1:27">
      <c r="A160" s="34">
        <v>99801087</v>
      </c>
      <c r="B160" s="35" t="s">
        <v>111</v>
      </c>
      <c r="C160" s="36">
        <v>18.5</v>
      </c>
      <c r="D160" s="36">
        <v>4</v>
      </c>
      <c r="E160" s="36">
        <v>92513065</v>
      </c>
      <c r="F160" s="36" t="s">
        <v>742</v>
      </c>
      <c r="G160" s="36">
        <v>91338016</v>
      </c>
      <c r="H160" s="36" t="s">
        <v>746</v>
      </c>
      <c r="I160" s="36">
        <v>93176760</v>
      </c>
      <c r="J160" s="36" t="s">
        <v>2088</v>
      </c>
      <c r="K160" s="36">
        <v>4</v>
      </c>
      <c r="L160" s="25">
        <v>8332</v>
      </c>
      <c r="M160" s="25">
        <v>4166</v>
      </c>
      <c r="N160" s="43">
        <v>1322</v>
      </c>
      <c r="O160" s="39">
        <v>661</v>
      </c>
      <c r="P160" s="25"/>
      <c r="Q160" s="25"/>
      <c r="R160" s="25">
        <v>610.6</v>
      </c>
      <c r="S160" s="40">
        <v>284.76</v>
      </c>
      <c r="T160" s="25">
        <v>135.26</v>
      </c>
      <c r="U160" s="25">
        <v>541.04</v>
      </c>
      <c r="V160" s="25">
        <v>288.61</v>
      </c>
      <c r="W160" s="25">
        <v>1154.44</v>
      </c>
      <c r="X160" s="25">
        <v>8332</v>
      </c>
      <c r="Y160" s="25">
        <v>4166</v>
      </c>
      <c r="Z160" s="5">
        <v>5317.64</v>
      </c>
      <c r="AA160" s="21">
        <v>6525</v>
      </c>
    </row>
    <row r="161" spans="1:27">
      <c r="A161" s="34">
        <v>99801099</v>
      </c>
      <c r="B161" s="35" t="s">
        <v>137</v>
      </c>
      <c r="C161" s="36">
        <v>7.5</v>
      </c>
      <c r="D161" s="36">
        <v>2</v>
      </c>
      <c r="E161" s="36">
        <v>98327382</v>
      </c>
      <c r="F161" s="36" t="s">
        <v>2134</v>
      </c>
      <c r="G161" s="36">
        <v>91338157</v>
      </c>
      <c r="H161" s="36" t="s">
        <v>744</v>
      </c>
      <c r="I161" s="36">
        <v>93176761</v>
      </c>
      <c r="J161" s="36" t="s">
        <v>2087</v>
      </c>
      <c r="K161" s="36">
        <v>4</v>
      </c>
      <c r="L161" s="25">
        <v>5480</v>
      </c>
      <c r="M161" s="25">
        <v>2740</v>
      </c>
      <c r="N161" s="39">
        <v>800</v>
      </c>
      <c r="O161" s="39">
        <v>400</v>
      </c>
      <c r="P161" s="39">
        <v>380</v>
      </c>
      <c r="Q161" s="39">
        <v>190</v>
      </c>
      <c r="R161" s="25">
        <v>532.03</v>
      </c>
      <c r="S161" s="40">
        <v>284.76</v>
      </c>
      <c r="T161" s="25">
        <v>59.52</v>
      </c>
      <c r="U161" s="25">
        <v>238.08</v>
      </c>
      <c r="V161" s="25">
        <v>288.58999999999997</v>
      </c>
      <c r="W161" s="25">
        <v>1154.3599999999999</v>
      </c>
      <c r="X161" s="25">
        <v>5480</v>
      </c>
      <c r="Y161" s="25">
        <v>2740</v>
      </c>
      <c r="Z161" s="5">
        <v>3510.11</v>
      </c>
      <c r="AA161" s="21">
        <v>4307</v>
      </c>
    </row>
    <row r="162" spans="1:27">
      <c r="A162" s="34">
        <v>99801360</v>
      </c>
      <c r="B162" s="35" t="s">
        <v>239</v>
      </c>
      <c r="C162" s="36">
        <v>30</v>
      </c>
      <c r="D162" s="36">
        <v>4</v>
      </c>
      <c r="E162" s="36">
        <v>98299752</v>
      </c>
      <c r="F162" s="36" t="s">
        <v>2132</v>
      </c>
      <c r="G162" s="36">
        <v>91338020</v>
      </c>
      <c r="H162" s="36" t="s">
        <v>737</v>
      </c>
      <c r="I162" s="36"/>
      <c r="J162" s="36" t="s">
        <v>2099</v>
      </c>
      <c r="K162" s="36">
        <v>4</v>
      </c>
      <c r="L162" s="25">
        <v>18155</v>
      </c>
      <c r="M162" s="25">
        <v>9077.5</v>
      </c>
      <c r="N162" s="39"/>
      <c r="O162" s="39"/>
      <c r="P162" s="25"/>
      <c r="Q162" s="25"/>
      <c r="R162" s="25">
        <v>824.44</v>
      </c>
      <c r="S162" s="40">
        <v>284.76</v>
      </c>
      <c r="T162" s="25">
        <v>170.3</v>
      </c>
      <c r="U162" s="25">
        <v>681.2</v>
      </c>
      <c r="V162" s="25">
        <v>717.41</v>
      </c>
      <c r="W162" s="25">
        <v>2869.64</v>
      </c>
      <c r="X162" s="25">
        <v>18155</v>
      </c>
      <c r="Y162" s="25">
        <v>9077.5</v>
      </c>
      <c r="Z162" s="5">
        <v>10583.14</v>
      </c>
      <c r="AA162" s="21">
        <v>12986</v>
      </c>
    </row>
    <row r="163" spans="1:27">
      <c r="A163" s="34">
        <v>99801283</v>
      </c>
      <c r="B163" s="35" t="s">
        <v>119</v>
      </c>
      <c r="C163" s="36">
        <v>2.2000000000000002</v>
      </c>
      <c r="D163" s="36">
        <v>4</v>
      </c>
      <c r="E163" s="36">
        <v>92513065</v>
      </c>
      <c r="F163" s="36" t="s">
        <v>742</v>
      </c>
      <c r="G163" s="36">
        <v>92932673</v>
      </c>
      <c r="H163" s="36" t="s">
        <v>741</v>
      </c>
      <c r="I163" s="36">
        <v>93176761</v>
      </c>
      <c r="J163" s="36" t="s">
        <v>2087</v>
      </c>
      <c r="K163" s="36">
        <v>4</v>
      </c>
      <c r="L163" s="25">
        <v>5045</v>
      </c>
      <c r="M163" s="25">
        <v>2522.5</v>
      </c>
      <c r="N163" s="39"/>
      <c r="O163" s="39"/>
      <c r="P163" s="25">
        <v>119.08</v>
      </c>
      <c r="Q163" s="25">
        <v>59.54</v>
      </c>
      <c r="R163" s="25">
        <v>610.6</v>
      </c>
      <c r="S163" s="40">
        <v>284.76</v>
      </c>
      <c r="T163" s="25">
        <v>59.52</v>
      </c>
      <c r="U163" s="25">
        <v>238.08</v>
      </c>
      <c r="V163" s="25">
        <v>288.58999999999997</v>
      </c>
      <c r="W163" s="25">
        <v>1154.3599999999999</v>
      </c>
      <c r="X163" s="25">
        <v>5045</v>
      </c>
      <c r="Y163" s="25">
        <v>2522.5</v>
      </c>
      <c r="Z163" s="5">
        <v>3371.18</v>
      </c>
      <c r="AA163" s="21">
        <v>4137</v>
      </c>
    </row>
    <row r="164" spans="1:27">
      <c r="A164" s="34">
        <v>99801351</v>
      </c>
      <c r="B164" s="35" t="s">
        <v>156</v>
      </c>
      <c r="C164" s="36">
        <v>7.5</v>
      </c>
      <c r="D164" s="36">
        <v>4</v>
      </c>
      <c r="E164" s="36">
        <v>92513065</v>
      </c>
      <c r="F164" s="36" t="s">
        <v>742</v>
      </c>
      <c r="G164" s="36">
        <v>91338157</v>
      </c>
      <c r="H164" s="36" t="s">
        <v>744</v>
      </c>
      <c r="I164" s="36">
        <v>93176761</v>
      </c>
      <c r="J164" s="36" t="s">
        <v>2087</v>
      </c>
      <c r="K164" s="36">
        <v>4</v>
      </c>
      <c r="L164" s="25">
        <v>7291</v>
      </c>
      <c r="M164" s="25">
        <v>3645.5</v>
      </c>
      <c r="N164" s="39"/>
      <c r="O164" s="39"/>
      <c r="P164" s="25"/>
      <c r="Q164" s="25"/>
      <c r="R164" s="25">
        <v>610.6</v>
      </c>
      <c r="S164" s="40">
        <v>284.76</v>
      </c>
      <c r="T164" s="25">
        <v>59.52</v>
      </c>
      <c r="U164" s="25">
        <v>238.08</v>
      </c>
      <c r="V164" s="25">
        <v>288.58999999999997</v>
      </c>
      <c r="W164" s="25">
        <v>1154.3599999999999</v>
      </c>
      <c r="X164" s="25">
        <v>7291</v>
      </c>
      <c r="Y164" s="25">
        <v>3645.5</v>
      </c>
      <c r="Z164" s="5">
        <v>4494.18</v>
      </c>
      <c r="AA164" s="21">
        <v>5515</v>
      </c>
    </row>
    <row r="165" spans="1:27">
      <c r="A165" s="48">
        <v>99801139</v>
      </c>
      <c r="B165" s="35" t="s">
        <v>216</v>
      </c>
      <c r="C165" s="36">
        <v>37</v>
      </c>
      <c r="D165" s="36">
        <v>2</v>
      </c>
      <c r="E165" s="36">
        <v>99051550</v>
      </c>
      <c r="F165" s="36" t="s">
        <v>749</v>
      </c>
      <c r="G165" s="36">
        <v>91338019</v>
      </c>
      <c r="H165" s="36" t="s">
        <v>733</v>
      </c>
      <c r="I165" s="36"/>
      <c r="J165" s="36" t="s">
        <v>2097</v>
      </c>
      <c r="K165" s="36">
        <v>4</v>
      </c>
      <c r="L165" s="25">
        <v>12250</v>
      </c>
      <c r="M165" s="25">
        <v>6125</v>
      </c>
      <c r="N165" s="39"/>
      <c r="O165" s="39"/>
      <c r="P165" s="25"/>
      <c r="Q165" s="25"/>
      <c r="R165" s="25">
        <v>741.99</v>
      </c>
      <c r="S165" s="40">
        <v>284.76</v>
      </c>
      <c r="T165" s="25">
        <v>170.3</v>
      </c>
      <c r="U165" s="25">
        <v>681.2</v>
      </c>
      <c r="V165" s="25">
        <v>668.94</v>
      </c>
      <c r="W165" s="25">
        <v>2675.76</v>
      </c>
      <c r="X165" s="25">
        <v>12250</v>
      </c>
      <c r="Y165" s="25">
        <v>6125</v>
      </c>
      <c r="Z165" s="5">
        <v>7548.19</v>
      </c>
      <c r="AA165" s="21">
        <v>9262</v>
      </c>
    </row>
    <row r="166" spans="1:27">
      <c r="A166" s="48">
        <v>99801374</v>
      </c>
      <c r="B166" s="35" t="s">
        <v>230</v>
      </c>
      <c r="C166" s="36">
        <v>22</v>
      </c>
      <c r="D166" s="36">
        <v>4</v>
      </c>
      <c r="E166" s="36">
        <v>99051550</v>
      </c>
      <c r="F166" s="36" t="s">
        <v>749</v>
      </c>
      <c r="G166" s="36">
        <v>91338019</v>
      </c>
      <c r="H166" s="36" t="s">
        <v>733</v>
      </c>
      <c r="I166" s="36"/>
      <c r="J166" s="36" t="s">
        <v>2097</v>
      </c>
      <c r="K166" s="36">
        <v>4</v>
      </c>
      <c r="L166" s="25">
        <v>13790</v>
      </c>
      <c r="M166" s="25">
        <v>6895</v>
      </c>
      <c r="N166" s="39"/>
      <c r="O166" s="39"/>
      <c r="P166" s="25"/>
      <c r="Q166" s="25"/>
      <c r="R166" s="25">
        <v>741.99</v>
      </c>
      <c r="S166" s="40">
        <v>284.76</v>
      </c>
      <c r="T166" s="25">
        <v>170.3</v>
      </c>
      <c r="U166" s="25">
        <v>681.2</v>
      </c>
      <c r="V166" s="25">
        <v>668.94</v>
      </c>
      <c r="W166" s="25">
        <v>2675.76</v>
      </c>
      <c r="X166" s="25">
        <v>13790</v>
      </c>
      <c r="Y166" s="25">
        <v>6895</v>
      </c>
      <c r="Z166" s="5">
        <v>8318.19</v>
      </c>
      <c r="AA166" s="21">
        <v>10207</v>
      </c>
    </row>
    <row r="167" spans="1:27">
      <c r="A167" s="48">
        <v>99801352</v>
      </c>
      <c r="B167" s="35" t="s">
        <v>194</v>
      </c>
      <c r="C167" s="36">
        <v>11</v>
      </c>
      <c r="D167" s="36">
        <v>4</v>
      </c>
      <c r="E167" s="36">
        <v>99051550</v>
      </c>
      <c r="F167" s="36" t="s">
        <v>749</v>
      </c>
      <c r="G167" s="36">
        <v>91338019</v>
      </c>
      <c r="H167" s="36" t="s">
        <v>733</v>
      </c>
      <c r="I167" s="36"/>
      <c r="J167" s="36" t="s">
        <v>2097</v>
      </c>
      <c r="K167" s="36">
        <v>4</v>
      </c>
      <c r="L167" s="25">
        <v>9102</v>
      </c>
      <c r="M167" s="25">
        <v>4551</v>
      </c>
      <c r="N167" s="39"/>
      <c r="O167" s="39"/>
      <c r="P167" s="25"/>
      <c r="Q167" s="25"/>
      <c r="R167" s="25">
        <v>741.99</v>
      </c>
      <c r="S167" s="40">
        <v>284.76</v>
      </c>
      <c r="T167" s="25">
        <v>170.3</v>
      </c>
      <c r="U167" s="25">
        <v>681.2</v>
      </c>
      <c r="V167" s="25">
        <v>668.94</v>
      </c>
      <c r="W167" s="25">
        <v>2675.76</v>
      </c>
      <c r="X167" s="25">
        <v>9102</v>
      </c>
      <c r="Y167" s="25">
        <v>4551</v>
      </c>
      <c r="Z167" s="5">
        <v>5974.19</v>
      </c>
      <c r="AA167" s="21">
        <v>7331</v>
      </c>
    </row>
    <row r="168" spans="1:27">
      <c r="A168" s="48">
        <v>99801126</v>
      </c>
      <c r="B168" s="35" t="s">
        <v>214</v>
      </c>
      <c r="C168" s="36">
        <v>37</v>
      </c>
      <c r="D168" s="36">
        <v>2</v>
      </c>
      <c r="E168" s="36">
        <v>99051550</v>
      </c>
      <c r="F168" s="36" t="s">
        <v>749</v>
      </c>
      <c r="G168" s="36">
        <v>91338019</v>
      </c>
      <c r="H168" s="36" t="s">
        <v>733</v>
      </c>
      <c r="I168" s="36"/>
      <c r="J168" s="36" t="s">
        <v>2097</v>
      </c>
      <c r="K168" s="36">
        <v>4</v>
      </c>
      <c r="L168" s="25">
        <v>12641</v>
      </c>
      <c r="M168" s="25">
        <v>6320.5</v>
      </c>
      <c r="N168" s="39"/>
      <c r="O168" s="39"/>
      <c r="P168" s="25"/>
      <c r="Q168" s="25"/>
      <c r="R168" s="25">
        <v>741.99</v>
      </c>
      <c r="S168" s="40">
        <v>284.76</v>
      </c>
      <c r="T168" s="25">
        <v>170.3</v>
      </c>
      <c r="U168" s="25">
        <v>681.2</v>
      </c>
      <c r="V168" s="25">
        <v>668.94</v>
      </c>
      <c r="W168" s="25">
        <v>2675.76</v>
      </c>
      <c r="X168" s="25">
        <v>12641</v>
      </c>
      <c r="Y168" s="25">
        <v>6320.5</v>
      </c>
      <c r="Z168" s="5">
        <v>7743.69</v>
      </c>
      <c r="AA168" s="21">
        <v>9502</v>
      </c>
    </row>
    <row r="169" spans="1:27">
      <c r="A169" s="34">
        <v>99801286</v>
      </c>
      <c r="B169" s="35" t="s">
        <v>145</v>
      </c>
      <c r="C169" s="36">
        <v>4</v>
      </c>
      <c r="D169" s="36">
        <v>4</v>
      </c>
      <c r="E169" s="36">
        <v>98327382</v>
      </c>
      <c r="F169" s="36" t="s">
        <v>2134</v>
      </c>
      <c r="G169" s="36">
        <v>91338157</v>
      </c>
      <c r="H169" s="36" t="s">
        <v>744</v>
      </c>
      <c r="I169" s="36">
        <v>93176761</v>
      </c>
      <c r="J169" s="36" t="s">
        <v>2087</v>
      </c>
      <c r="K169" s="36">
        <v>4</v>
      </c>
      <c r="L169" s="25">
        <v>6861</v>
      </c>
      <c r="M169" s="25">
        <v>3430.5</v>
      </c>
      <c r="N169" s="39"/>
      <c r="O169" s="39"/>
      <c r="P169" s="25"/>
      <c r="Q169" s="25"/>
      <c r="R169" s="25">
        <v>532.03</v>
      </c>
      <c r="S169" s="40">
        <v>284.76</v>
      </c>
      <c r="T169" s="25">
        <v>59.52</v>
      </c>
      <c r="U169" s="25">
        <v>238.08</v>
      </c>
      <c r="V169" s="25">
        <v>288.58999999999997</v>
      </c>
      <c r="W169" s="25">
        <v>1154.3599999999999</v>
      </c>
      <c r="X169" s="25">
        <v>6861</v>
      </c>
      <c r="Y169" s="25">
        <v>3430.5</v>
      </c>
      <c r="Z169" s="5">
        <v>4200.6099999999997</v>
      </c>
      <c r="AA169" s="21">
        <v>5155</v>
      </c>
    </row>
    <row r="170" spans="1:27">
      <c r="A170" s="34">
        <v>99801380</v>
      </c>
      <c r="B170" s="35" t="s">
        <v>272</v>
      </c>
      <c r="C170" s="36">
        <v>55</v>
      </c>
      <c r="D170" s="36">
        <v>4</v>
      </c>
      <c r="E170" s="36" t="s">
        <v>720</v>
      </c>
      <c r="F170" s="36" t="s">
        <v>2133</v>
      </c>
      <c r="G170" s="36">
        <v>91338020</v>
      </c>
      <c r="H170" s="36" t="s">
        <v>737</v>
      </c>
      <c r="I170" s="36"/>
      <c r="J170" s="36" t="s">
        <v>2099</v>
      </c>
      <c r="K170" s="36">
        <v>6</v>
      </c>
      <c r="L170" s="25">
        <v>22694</v>
      </c>
      <c r="M170" s="25">
        <v>11347</v>
      </c>
      <c r="N170" s="39"/>
      <c r="O170" s="39"/>
      <c r="P170" s="42"/>
      <c r="Q170" s="42"/>
      <c r="R170" s="42">
        <v>1100</v>
      </c>
      <c r="S170" s="40">
        <v>427.14</v>
      </c>
      <c r="T170" s="25">
        <v>170.3</v>
      </c>
      <c r="U170" s="25">
        <v>1021.8</v>
      </c>
      <c r="V170" s="25">
        <v>717.41</v>
      </c>
      <c r="W170" s="25">
        <v>4304.46</v>
      </c>
      <c r="X170" s="25">
        <v>22694</v>
      </c>
      <c r="Y170" s="25">
        <v>11347</v>
      </c>
      <c r="Z170" s="5">
        <v>13468.8</v>
      </c>
      <c r="AA170" s="21">
        <v>16527</v>
      </c>
    </row>
    <row r="171" spans="1:27">
      <c r="A171" s="34">
        <v>99801082</v>
      </c>
      <c r="B171" s="35" t="s">
        <v>132</v>
      </c>
      <c r="C171" s="36">
        <v>7.5</v>
      </c>
      <c r="D171" s="36">
        <v>2</v>
      </c>
      <c r="E171" s="36">
        <v>98327382</v>
      </c>
      <c r="F171" s="36" t="s">
        <v>2134</v>
      </c>
      <c r="G171" s="36">
        <v>91338157</v>
      </c>
      <c r="H171" s="36" t="s">
        <v>744</v>
      </c>
      <c r="I171" s="36">
        <v>93176761</v>
      </c>
      <c r="J171" s="36" t="s">
        <v>2087</v>
      </c>
      <c r="K171" s="36">
        <v>4</v>
      </c>
      <c r="L171" s="25">
        <v>5457</v>
      </c>
      <c r="M171" s="25">
        <v>2728.5</v>
      </c>
      <c r="N171" s="39">
        <v>816</v>
      </c>
      <c r="O171" s="43">
        <v>408</v>
      </c>
      <c r="P171" s="40">
        <v>380</v>
      </c>
      <c r="Q171" s="40">
        <v>190</v>
      </c>
      <c r="R171" s="25">
        <v>532.03</v>
      </c>
      <c r="S171" s="40">
        <v>284.76</v>
      </c>
      <c r="T171" s="25">
        <v>59.52</v>
      </c>
      <c r="U171" s="25">
        <v>238.08</v>
      </c>
      <c r="V171" s="25">
        <v>288.58999999999997</v>
      </c>
      <c r="W171" s="25">
        <v>1154.3599999999999</v>
      </c>
      <c r="X171" s="25">
        <v>5457</v>
      </c>
      <c r="Y171" s="25">
        <v>2728.5</v>
      </c>
      <c r="Z171" s="5">
        <v>3498.61</v>
      </c>
      <c r="AA171" s="21">
        <v>4293</v>
      </c>
    </row>
    <row r="172" spans="1:27">
      <c r="A172" s="46">
        <v>99801110</v>
      </c>
      <c r="B172" s="35" t="s">
        <v>242</v>
      </c>
      <c r="C172" s="36">
        <v>45</v>
      </c>
      <c r="D172" s="36">
        <v>2</v>
      </c>
      <c r="E172" s="36">
        <v>98299752</v>
      </c>
      <c r="F172" s="36" t="s">
        <v>2132</v>
      </c>
      <c r="G172" s="36">
        <v>91338020</v>
      </c>
      <c r="H172" s="36" t="s">
        <v>737</v>
      </c>
      <c r="I172" s="36"/>
      <c r="J172" s="36" t="s">
        <v>2099</v>
      </c>
      <c r="K172" s="36">
        <v>4</v>
      </c>
      <c r="L172" s="25">
        <v>15263</v>
      </c>
      <c r="M172" s="25">
        <v>7631.5</v>
      </c>
      <c r="N172" s="39"/>
      <c r="O172" s="39"/>
      <c r="P172" s="25"/>
      <c r="Q172" s="25"/>
      <c r="R172" s="25">
        <v>824.44</v>
      </c>
      <c r="S172" s="40">
        <v>284.76</v>
      </c>
      <c r="T172" s="25">
        <v>170.3</v>
      </c>
      <c r="U172" s="25">
        <v>681.2</v>
      </c>
      <c r="V172" s="25">
        <v>717.41</v>
      </c>
      <c r="W172" s="25">
        <v>2869.64</v>
      </c>
      <c r="X172" s="25">
        <v>15263</v>
      </c>
      <c r="Y172" s="25">
        <v>7631.5</v>
      </c>
      <c r="Z172" s="5">
        <v>9137.14</v>
      </c>
      <c r="AA172" s="21">
        <v>11212</v>
      </c>
    </row>
    <row r="173" spans="1:27">
      <c r="A173" s="34">
        <v>99801108</v>
      </c>
      <c r="B173" s="35" t="s">
        <v>213</v>
      </c>
      <c r="C173" s="36">
        <v>30</v>
      </c>
      <c r="D173" s="36">
        <v>2</v>
      </c>
      <c r="E173" s="36">
        <v>99051550</v>
      </c>
      <c r="F173" s="36" t="s">
        <v>749</v>
      </c>
      <c r="G173" s="36">
        <v>91338019</v>
      </c>
      <c r="H173" s="36" t="s">
        <v>733</v>
      </c>
      <c r="I173" s="36"/>
      <c r="J173" s="36" t="s">
        <v>2097</v>
      </c>
      <c r="K173" s="36">
        <v>4</v>
      </c>
      <c r="L173" s="25">
        <v>11715</v>
      </c>
      <c r="M173" s="25">
        <v>5857.5</v>
      </c>
      <c r="N173" s="39"/>
      <c r="O173" s="39"/>
      <c r="P173" s="25"/>
      <c r="Q173" s="25"/>
      <c r="R173" s="25">
        <v>741.99</v>
      </c>
      <c r="S173" s="40">
        <v>284.76</v>
      </c>
      <c r="T173" s="25">
        <v>170.3</v>
      </c>
      <c r="U173" s="25">
        <v>681.2</v>
      </c>
      <c r="V173" s="25">
        <v>668.94</v>
      </c>
      <c r="W173" s="25">
        <v>2675.76</v>
      </c>
      <c r="X173" s="25">
        <v>11715</v>
      </c>
      <c r="Y173" s="25">
        <v>5857.5</v>
      </c>
      <c r="Z173" s="5">
        <v>7280.69</v>
      </c>
      <c r="AA173" s="21">
        <v>8934</v>
      </c>
    </row>
    <row r="174" spans="1:27">
      <c r="A174" s="34">
        <v>99801383</v>
      </c>
      <c r="B174" s="35" t="s">
        <v>286</v>
      </c>
      <c r="C174" s="36">
        <v>7.5</v>
      </c>
      <c r="D174" s="36">
        <v>4</v>
      </c>
      <c r="E174" s="36">
        <v>98327389</v>
      </c>
      <c r="F174" s="36" t="s">
        <v>2131</v>
      </c>
      <c r="G174" s="36">
        <v>91338018</v>
      </c>
      <c r="H174" s="36" t="s">
        <v>735</v>
      </c>
      <c r="I174" s="36">
        <v>93176762</v>
      </c>
      <c r="J174" s="36" t="s">
        <v>2096</v>
      </c>
      <c r="K174" s="36">
        <v>4</v>
      </c>
      <c r="L174" s="25">
        <v>10975</v>
      </c>
      <c r="M174" s="25">
        <v>5487.5</v>
      </c>
      <c r="N174" s="39"/>
      <c r="O174" s="39"/>
      <c r="P174" s="25"/>
      <c r="Q174" s="25"/>
      <c r="R174" s="25">
        <v>663.42</v>
      </c>
      <c r="S174" s="40">
        <v>284.76</v>
      </c>
      <c r="T174" s="25">
        <v>170.3</v>
      </c>
      <c r="U174" s="25">
        <v>681.2</v>
      </c>
      <c r="V174" s="25">
        <v>668.94</v>
      </c>
      <c r="W174" s="25">
        <v>2675.76</v>
      </c>
      <c r="X174" s="25">
        <v>10975</v>
      </c>
      <c r="Y174" s="25">
        <v>5487.5</v>
      </c>
      <c r="Z174" s="5">
        <v>6832.12</v>
      </c>
      <c r="AA174" s="21">
        <v>8383</v>
      </c>
    </row>
    <row r="175" spans="1:27">
      <c r="A175" s="34">
        <v>99801385</v>
      </c>
      <c r="B175" s="35" t="s">
        <v>206</v>
      </c>
      <c r="C175" s="36">
        <v>15</v>
      </c>
      <c r="D175" s="36">
        <v>4</v>
      </c>
      <c r="E175" s="36">
        <v>99051550</v>
      </c>
      <c r="F175" s="36" t="s">
        <v>749</v>
      </c>
      <c r="G175" s="36">
        <v>91338019</v>
      </c>
      <c r="H175" s="36" t="s">
        <v>733</v>
      </c>
      <c r="I175" s="36"/>
      <c r="J175" s="36" t="s">
        <v>2097</v>
      </c>
      <c r="K175" s="36">
        <v>4</v>
      </c>
      <c r="L175" s="25">
        <v>14722</v>
      </c>
      <c r="M175" s="25">
        <v>7361</v>
      </c>
      <c r="N175" s="39"/>
      <c r="O175" s="39"/>
      <c r="P175" s="25"/>
      <c r="Q175" s="25"/>
      <c r="R175" s="25">
        <v>741.99</v>
      </c>
      <c r="S175" s="40">
        <v>284.76</v>
      </c>
      <c r="T175" s="25">
        <v>170.3</v>
      </c>
      <c r="U175" s="25">
        <v>681.2</v>
      </c>
      <c r="V175" s="25">
        <v>668.94</v>
      </c>
      <c r="W175" s="25">
        <v>2675.76</v>
      </c>
      <c r="X175" s="25">
        <v>14722</v>
      </c>
      <c r="Y175" s="25">
        <v>7361</v>
      </c>
      <c r="Z175" s="5">
        <v>8784.19</v>
      </c>
      <c r="AA175" s="21">
        <v>10779</v>
      </c>
    </row>
    <row r="176" spans="1:27">
      <c r="A176" s="34">
        <v>99801373</v>
      </c>
      <c r="B176" s="35" t="s">
        <v>221</v>
      </c>
      <c r="C176" s="36">
        <v>18.5</v>
      </c>
      <c r="D176" s="36">
        <v>4</v>
      </c>
      <c r="E176" s="36">
        <v>99051550</v>
      </c>
      <c r="F176" s="36" t="s">
        <v>749</v>
      </c>
      <c r="G176" s="36">
        <v>91338019</v>
      </c>
      <c r="H176" s="36" t="s">
        <v>733</v>
      </c>
      <c r="I176" s="36"/>
      <c r="J176" s="36" t="s">
        <v>2097</v>
      </c>
      <c r="K176" s="36">
        <v>4</v>
      </c>
      <c r="L176" s="25">
        <v>13351</v>
      </c>
      <c r="M176" s="25">
        <v>6675.5</v>
      </c>
      <c r="N176" s="39"/>
      <c r="O176" s="39"/>
      <c r="P176" s="25"/>
      <c r="Q176" s="25"/>
      <c r="R176" s="25">
        <v>741.99</v>
      </c>
      <c r="S176" s="40">
        <v>284.76</v>
      </c>
      <c r="T176" s="25">
        <v>170.3</v>
      </c>
      <c r="U176" s="25">
        <v>681.2</v>
      </c>
      <c r="V176" s="25">
        <v>668.94</v>
      </c>
      <c r="W176" s="25">
        <v>2675.76</v>
      </c>
      <c r="X176" s="25">
        <v>13351</v>
      </c>
      <c r="Y176" s="25">
        <v>6675.5</v>
      </c>
      <c r="Z176" s="5">
        <v>8098.69</v>
      </c>
      <c r="AA176" s="21">
        <v>9938</v>
      </c>
    </row>
    <row r="177" spans="1:27">
      <c r="A177" s="34">
        <v>99796419</v>
      </c>
      <c r="B177" s="35" t="s">
        <v>172</v>
      </c>
      <c r="C177" s="36">
        <v>15</v>
      </c>
      <c r="D177" s="36">
        <v>2</v>
      </c>
      <c r="E177" s="36">
        <v>92513065</v>
      </c>
      <c r="F177" s="36" t="s">
        <v>742</v>
      </c>
      <c r="G177" s="36">
        <v>91338016</v>
      </c>
      <c r="H177" s="36" t="s">
        <v>746</v>
      </c>
      <c r="I177" s="36">
        <v>93176760</v>
      </c>
      <c r="J177" s="36" t="s">
        <v>2088</v>
      </c>
      <c r="K177" s="36">
        <v>4</v>
      </c>
      <c r="L177" s="25">
        <v>8477</v>
      </c>
      <c r="M177" s="25">
        <v>4238.5</v>
      </c>
      <c r="N177" s="49">
        <v>788</v>
      </c>
      <c r="O177" s="49">
        <v>394</v>
      </c>
      <c r="P177" s="25"/>
      <c r="Q177" s="25"/>
      <c r="R177" s="25">
        <v>610.6</v>
      </c>
      <c r="S177" s="40">
        <v>284.76</v>
      </c>
      <c r="T177" s="25">
        <v>135.26</v>
      </c>
      <c r="U177" s="25">
        <v>541.04</v>
      </c>
      <c r="V177" s="25">
        <v>288.61</v>
      </c>
      <c r="W177" s="25">
        <v>1154.44</v>
      </c>
      <c r="X177" s="25">
        <v>8477</v>
      </c>
      <c r="Y177" s="25">
        <v>4238.5</v>
      </c>
      <c r="Z177" s="5">
        <v>5390.14</v>
      </c>
      <c r="AA177" s="21">
        <v>6614</v>
      </c>
    </row>
    <row r="178" spans="1:27">
      <c r="A178" s="48">
        <v>99801081</v>
      </c>
      <c r="B178" s="35" t="s">
        <v>126</v>
      </c>
      <c r="C178" s="36">
        <v>5.5</v>
      </c>
      <c r="D178" s="36">
        <v>2</v>
      </c>
      <c r="E178" s="36">
        <v>98327382</v>
      </c>
      <c r="F178" s="36" t="s">
        <v>2134</v>
      </c>
      <c r="G178" s="36">
        <v>92932673</v>
      </c>
      <c r="H178" s="36" t="s">
        <v>741</v>
      </c>
      <c r="I178" s="36">
        <v>93176761</v>
      </c>
      <c r="J178" s="36" t="s">
        <v>2087</v>
      </c>
      <c r="K178" s="36">
        <v>4</v>
      </c>
      <c r="L178" s="25">
        <v>5142</v>
      </c>
      <c r="M178" s="25">
        <v>2571</v>
      </c>
      <c r="N178" s="39">
        <v>494.3</v>
      </c>
      <c r="O178" s="39">
        <v>247.15</v>
      </c>
      <c r="P178" s="49">
        <v>5297</v>
      </c>
      <c r="Q178" s="49">
        <v>2649</v>
      </c>
      <c r="R178" s="25">
        <v>532.03</v>
      </c>
      <c r="S178" s="40">
        <v>284.76</v>
      </c>
      <c r="T178" s="25">
        <v>59.52</v>
      </c>
      <c r="U178" s="25">
        <v>238.08</v>
      </c>
      <c r="V178" s="25">
        <v>288.58999999999997</v>
      </c>
      <c r="W178" s="25">
        <v>1154.3599999999999</v>
      </c>
      <c r="X178" s="25">
        <v>5142</v>
      </c>
      <c r="Y178" s="25">
        <v>2571</v>
      </c>
      <c r="Z178" s="5">
        <v>3341.11</v>
      </c>
      <c r="AA178" s="21">
        <v>4100</v>
      </c>
    </row>
    <row r="179" spans="1:27">
      <c r="A179" s="34">
        <v>99801117</v>
      </c>
      <c r="B179" s="35" t="s">
        <v>159</v>
      </c>
      <c r="C179" s="36">
        <v>11</v>
      </c>
      <c r="D179" s="36">
        <v>2</v>
      </c>
      <c r="E179" s="36">
        <v>92513065</v>
      </c>
      <c r="F179" s="36" t="s">
        <v>742</v>
      </c>
      <c r="G179" s="36">
        <v>91338157</v>
      </c>
      <c r="H179" s="36" t="s">
        <v>744</v>
      </c>
      <c r="I179" s="36">
        <v>93176761</v>
      </c>
      <c r="J179" s="36" t="s">
        <v>2087</v>
      </c>
      <c r="K179" s="36">
        <v>4</v>
      </c>
      <c r="L179" s="25">
        <v>7548</v>
      </c>
      <c r="M179" s="25">
        <v>3774</v>
      </c>
      <c r="N179" s="45">
        <v>1394</v>
      </c>
      <c r="O179" s="45">
        <v>697</v>
      </c>
      <c r="P179" s="25"/>
      <c r="Q179" s="25"/>
      <c r="R179" s="25">
        <v>610.6</v>
      </c>
      <c r="S179" s="40">
        <v>284.76</v>
      </c>
      <c r="T179" s="25">
        <v>59.52</v>
      </c>
      <c r="U179" s="25">
        <v>238.08</v>
      </c>
      <c r="V179" s="25">
        <v>288.58999999999997</v>
      </c>
      <c r="W179" s="25">
        <v>1154.3599999999999</v>
      </c>
      <c r="X179" s="25">
        <v>7548</v>
      </c>
      <c r="Y179" s="25">
        <v>3774</v>
      </c>
      <c r="Z179" s="5">
        <v>4622.68</v>
      </c>
      <c r="AA179" s="21">
        <v>5672</v>
      </c>
    </row>
    <row r="180" spans="1:27">
      <c r="A180" s="34">
        <v>99801317</v>
      </c>
      <c r="B180" s="35" t="s">
        <v>190</v>
      </c>
      <c r="C180" s="36">
        <v>11</v>
      </c>
      <c r="D180" s="36">
        <v>4</v>
      </c>
      <c r="E180" s="36">
        <v>98327389</v>
      </c>
      <c r="F180" s="36" t="s">
        <v>2131</v>
      </c>
      <c r="G180" s="36">
        <v>91338018</v>
      </c>
      <c r="H180" s="36" t="s">
        <v>735</v>
      </c>
      <c r="I180" s="36">
        <v>93176762</v>
      </c>
      <c r="J180" s="36" t="s">
        <v>2096</v>
      </c>
      <c r="K180" s="36">
        <v>4</v>
      </c>
      <c r="L180" s="25">
        <v>9986</v>
      </c>
      <c r="M180" s="25">
        <v>4993</v>
      </c>
      <c r="N180" s="39">
        <v>466.74</v>
      </c>
      <c r="O180" s="39">
        <v>233.37</v>
      </c>
      <c r="P180" s="25"/>
      <c r="Q180" s="25"/>
      <c r="R180" s="25">
        <v>663.42</v>
      </c>
      <c r="S180" s="40">
        <v>284.76</v>
      </c>
      <c r="T180" s="25">
        <v>170.3</v>
      </c>
      <c r="U180" s="25">
        <v>681.2</v>
      </c>
      <c r="V180" s="25">
        <v>668.94</v>
      </c>
      <c r="W180" s="25">
        <v>2675.76</v>
      </c>
      <c r="X180" s="25">
        <v>9986</v>
      </c>
      <c r="Y180" s="25">
        <v>4993</v>
      </c>
      <c r="Z180" s="5">
        <v>6337.62</v>
      </c>
      <c r="AA180" s="21">
        <v>7777</v>
      </c>
    </row>
    <row r="181" spans="1:27">
      <c r="A181" s="34">
        <v>99796418</v>
      </c>
      <c r="B181" s="35" t="s">
        <v>168</v>
      </c>
      <c r="C181" s="36">
        <v>11</v>
      </c>
      <c r="D181" s="36">
        <v>2</v>
      </c>
      <c r="E181" s="36">
        <v>92513065</v>
      </c>
      <c r="F181" s="36" t="s">
        <v>742</v>
      </c>
      <c r="G181" s="36">
        <v>91338157</v>
      </c>
      <c r="H181" s="36" t="s">
        <v>744</v>
      </c>
      <c r="I181" s="36">
        <v>93176761</v>
      </c>
      <c r="J181" s="36" t="s">
        <v>2087</v>
      </c>
      <c r="K181" s="36">
        <v>4</v>
      </c>
      <c r="L181" s="25">
        <v>7982</v>
      </c>
      <c r="M181" s="25">
        <v>3991</v>
      </c>
      <c r="N181" s="39"/>
      <c r="O181" s="39"/>
      <c r="P181" s="25"/>
      <c r="Q181" s="25"/>
      <c r="R181" s="25">
        <v>610.6</v>
      </c>
      <c r="S181" s="40">
        <v>284.76</v>
      </c>
      <c r="T181" s="25">
        <v>59.52</v>
      </c>
      <c r="U181" s="25">
        <v>238.08</v>
      </c>
      <c r="V181" s="25">
        <v>288.58999999999997</v>
      </c>
      <c r="W181" s="25">
        <v>1154.3599999999999</v>
      </c>
      <c r="X181" s="25">
        <v>7982</v>
      </c>
      <c r="Y181" s="25">
        <v>3991</v>
      </c>
      <c r="Z181" s="5">
        <v>4839.68</v>
      </c>
      <c r="AA181" s="21">
        <v>5939</v>
      </c>
    </row>
    <row r="182" spans="1:27">
      <c r="A182" s="34">
        <v>99801103</v>
      </c>
      <c r="B182" s="35" t="s">
        <v>170</v>
      </c>
      <c r="C182" s="36">
        <v>15</v>
      </c>
      <c r="D182" s="36">
        <v>2</v>
      </c>
      <c r="E182" s="36">
        <v>92513065</v>
      </c>
      <c r="F182" s="36" t="s">
        <v>742</v>
      </c>
      <c r="G182" s="36">
        <v>91338016</v>
      </c>
      <c r="H182" s="36" t="s">
        <v>746</v>
      </c>
      <c r="I182" s="36">
        <v>93176760</v>
      </c>
      <c r="J182" s="36" t="s">
        <v>2088</v>
      </c>
      <c r="K182" s="36">
        <v>4</v>
      </c>
      <c r="L182" s="25">
        <v>8136</v>
      </c>
      <c r="M182" s="25">
        <v>4068</v>
      </c>
      <c r="N182" s="39"/>
      <c r="O182" s="39"/>
      <c r="P182" s="25"/>
      <c r="Q182" s="25"/>
      <c r="R182" s="25">
        <v>610.6</v>
      </c>
      <c r="S182" s="40">
        <v>284.76</v>
      </c>
      <c r="T182" s="25">
        <v>135.26</v>
      </c>
      <c r="U182" s="25">
        <v>541.04</v>
      </c>
      <c r="V182" s="25">
        <v>288.61</v>
      </c>
      <c r="W182" s="25">
        <v>1154.44</v>
      </c>
      <c r="X182" s="25">
        <v>8136</v>
      </c>
      <c r="Y182" s="25">
        <v>4068</v>
      </c>
      <c r="Z182" s="5">
        <v>5219.6400000000003</v>
      </c>
      <c r="AA182" s="21">
        <v>6405</v>
      </c>
    </row>
    <row r="183" spans="1:27">
      <c r="A183" s="34">
        <v>99801109</v>
      </c>
      <c r="B183" s="35" t="s">
        <v>218</v>
      </c>
      <c r="C183" s="36">
        <v>37</v>
      </c>
      <c r="D183" s="36">
        <v>2</v>
      </c>
      <c r="E183" s="36">
        <v>99051550</v>
      </c>
      <c r="F183" s="36" t="s">
        <v>749</v>
      </c>
      <c r="G183" s="36">
        <v>91338019</v>
      </c>
      <c r="H183" s="36" t="s">
        <v>733</v>
      </c>
      <c r="I183" s="36"/>
      <c r="J183" s="36" t="s">
        <v>2097</v>
      </c>
      <c r="K183" s="36">
        <v>4</v>
      </c>
      <c r="L183" s="25">
        <v>12805</v>
      </c>
      <c r="M183" s="25">
        <v>6402.5</v>
      </c>
      <c r="N183" s="39"/>
      <c r="O183" s="39"/>
      <c r="P183" s="25"/>
      <c r="Q183" s="25"/>
      <c r="R183" s="25">
        <v>741.99</v>
      </c>
      <c r="S183" s="40">
        <v>284.76</v>
      </c>
      <c r="T183" s="25">
        <v>170.3</v>
      </c>
      <c r="U183" s="25">
        <v>681.2</v>
      </c>
      <c r="V183" s="25">
        <v>668.94</v>
      </c>
      <c r="W183" s="25">
        <v>2675.76</v>
      </c>
      <c r="X183" s="25">
        <v>12805</v>
      </c>
      <c r="Y183" s="25">
        <v>6402.5</v>
      </c>
      <c r="Z183" s="5">
        <v>7825.69</v>
      </c>
      <c r="AA183" s="21">
        <v>9603</v>
      </c>
    </row>
    <row r="184" spans="1:27">
      <c r="A184" s="34">
        <v>99801298</v>
      </c>
      <c r="B184" s="35" t="s">
        <v>147</v>
      </c>
      <c r="C184" s="36">
        <v>4</v>
      </c>
      <c r="D184" s="36">
        <v>4</v>
      </c>
      <c r="E184" s="36">
        <v>92513065</v>
      </c>
      <c r="F184" s="36" t="s">
        <v>742</v>
      </c>
      <c r="G184" s="36">
        <v>91338157</v>
      </c>
      <c r="H184" s="36" t="s">
        <v>744</v>
      </c>
      <c r="I184" s="36">
        <v>93176761</v>
      </c>
      <c r="J184" s="36" t="s">
        <v>2087</v>
      </c>
      <c r="K184" s="36">
        <v>4</v>
      </c>
      <c r="L184" s="25">
        <v>7215</v>
      </c>
      <c r="M184" s="25">
        <v>3607.5</v>
      </c>
      <c r="N184" s="39"/>
      <c r="O184" s="39"/>
      <c r="P184" s="25"/>
      <c r="Q184" s="25"/>
      <c r="R184" s="25">
        <v>610.6</v>
      </c>
      <c r="S184" s="40">
        <v>284.76</v>
      </c>
      <c r="T184" s="25">
        <v>59.52</v>
      </c>
      <c r="U184" s="25">
        <v>238.08</v>
      </c>
      <c r="V184" s="25">
        <v>288.58999999999997</v>
      </c>
      <c r="W184" s="25">
        <v>1154.3599999999999</v>
      </c>
      <c r="X184" s="25">
        <v>7215</v>
      </c>
      <c r="Y184" s="25">
        <v>3607.5</v>
      </c>
      <c r="Z184" s="5">
        <v>4456.18</v>
      </c>
      <c r="AA184" s="21">
        <v>5468</v>
      </c>
    </row>
    <row r="185" spans="1:27">
      <c r="A185" s="34">
        <v>99801376</v>
      </c>
      <c r="B185" s="35" t="s">
        <v>248</v>
      </c>
      <c r="C185" s="36">
        <v>37</v>
      </c>
      <c r="D185" s="36">
        <v>4</v>
      </c>
      <c r="E185" s="36">
        <v>98299752</v>
      </c>
      <c r="F185" s="36" t="s">
        <v>2132</v>
      </c>
      <c r="G185" s="36">
        <v>91338021</v>
      </c>
      <c r="H185" s="36" t="s">
        <v>718</v>
      </c>
      <c r="I185" s="36"/>
      <c r="J185" s="36" t="s">
        <v>2101</v>
      </c>
      <c r="K185" s="36">
        <v>4</v>
      </c>
      <c r="L185" s="25">
        <v>17078</v>
      </c>
      <c r="M185" s="25">
        <v>8539</v>
      </c>
      <c r="N185" s="39"/>
      <c r="O185" s="39"/>
      <c r="P185" s="25"/>
      <c r="Q185" s="25"/>
      <c r="R185" s="50">
        <v>824.44</v>
      </c>
      <c r="S185" s="40">
        <v>284.76</v>
      </c>
      <c r="T185" s="25">
        <v>170.3</v>
      </c>
      <c r="U185" s="25">
        <v>681.2</v>
      </c>
      <c r="V185" s="25">
        <v>717.41</v>
      </c>
      <c r="W185" s="25">
        <v>2869.64</v>
      </c>
      <c r="X185" s="25">
        <v>17078</v>
      </c>
      <c r="Y185" s="25">
        <v>8539</v>
      </c>
      <c r="Z185" s="5">
        <v>10044.64</v>
      </c>
      <c r="AA185" s="21">
        <v>12325</v>
      </c>
    </row>
    <row r="186" spans="1:27">
      <c r="A186" s="34">
        <v>99801092</v>
      </c>
      <c r="B186" s="35" t="s">
        <v>208</v>
      </c>
      <c r="C186" s="36">
        <v>30</v>
      </c>
      <c r="D186" s="36">
        <v>2</v>
      </c>
      <c r="E186" s="36">
        <v>99051550</v>
      </c>
      <c r="F186" s="36" t="s">
        <v>749</v>
      </c>
      <c r="G186" s="36">
        <v>91338019</v>
      </c>
      <c r="H186" s="36" t="s">
        <v>733</v>
      </c>
      <c r="I186" s="36"/>
      <c r="J186" s="36" t="s">
        <v>2097</v>
      </c>
      <c r="K186" s="36">
        <v>4</v>
      </c>
      <c r="L186" s="25">
        <v>11995</v>
      </c>
      <c r="M186" s="25">
        <v>5997.5</v>
      </c>
      <c r="N186" s="39"/>
      <c r="O186" s="39"/>
      <c r="P186" s="25"/>
      <c r="Q186" s="25"/>
      <c r="R186" s="25">
        <v>741.99</v>
      </c>
      <c r="S186" s="40">
        <v>284.76</v>
      </c>
      <c r="T186" s="25">
        <v>170.3</v>
      </c>
      <c r="U186" s="25">
        <v>681.2</v>
      </c>
      <c r="V186" s="25">
        <v>668.94</v>
      </c>
      <c r="W186" s="25">
        <v>2675.76</v>
      </c>
      <c r="X186" s="25">
        <v>11995</v>
      </c>
      <c r="Y186" s="25">
        <v>5997.5</v>
      </c>
      <c r="Z186" s="5">
        <v>7420.69</v>
      </c>
      <c r="AA186" s="21">
        <v>9106</v>
      </c>
    </row>
    <row r="187" spans="1:27">
      <c r="A187" s="34">
        <v>99801125</v>
      </c>
      <c r="B187" s="35" t="s">
        <v>209</v>
      </c>
      <c r="C187" s="36">
        <v>30</v>
      </c>
      <c r="D187" s="36">
        <v>2</v>
      </c>
      <c r="E187" s="36">
        <v>99051550</v>
      </c>
      <c r="F187" s="36" t="s">
        <v>749</v>
      </c>
      <c r="G187" s="36">
        <v>91338019</v>
      </c>
      <c r="H187" s="36" t="s">
        <v>733</v>
      </c>
      <c r="I187" s="36"/>
      <c r="J187" s="36" t="s">
        <v>2097</v>
      </c>
      <c r="K187" s="36">
        <v>4</v>
      </c>
      <c r="L187" s="25">
        <v>11787</v>
      </c>
      <c r="M187" s="25">
        <v>5893.5</v>
      </c>
      <c r="N187" s="39"/>
      <c r="O187" s="39"/>
      <c r="P187" s="25"/>
      <c r="Q187" s="25"/>
      <c r="R187" s="50">
        <v>741.99</v>
      </c>
      <c r="S187" s="40">
        <v>284.76</v>
      </c>
      <c r="T187" s="25">
        <v>170.3</v>
      </c>
      <c r="U187" s="25">
        <v>681.2</v>
      </c>
      <c r="V187" s="25">
        <v>668.94</v>
      </c>
      <c r="W187" s="25">
        <v>2675.76</v>
      </c>
      <c r="X187" s="25">
        <v>11787</v>
      </c>
      <c r="Y187" s="25">
        <v>5893.5</v>
      </c>
      <c r="Z187" s="5">
        <v>7316.69</v>
      </c>
      <c r="AA187" s="21">
        <v>8978</v>
      </c>
    </row>
    <row r="188" spans="1:27">
      <c r="A188" s="34">
        <v>99801102</v>
      </c>
      <c r="B188" s="35" t="s">
        <v>167</v>
      </c>
      <c r="C188" s="36">
        <v>11</v>
      </c>
      <c r="D188" s="36">
        <v>2</v>
      </c>
      <c r="E188" s="36">
        <v>92513065</v>
      </c>
      <c r="F188" s="36" t="s">
        <v>742</v>
      </c>
      <c r="G188" s="36">
        <v>91338157</v>
      </c>
      <c r="H188" s="36" t="s">
        <v>744</v>
      </c>
      <c r="I188" s="36">
        <v>93176761</v>
      </c>
      <c r="J188" s="36" t="s">
        <v>2087</v>
      </c>
      <c r="K188" s="36">
        <v>4</v>
      </c>
      <c r="L188" s="25">
        <v>7772</v>
      </c>
      <c r="M188" s="25">
        <v>3886</v>
      </c>
      <c r="N188" s="39"/>
      <c r="O188" s="39"/>
      <c r="P188" s="25"/>
      <c r="Q188" s="25"/>
      <c r="R188" s="50">
        <v>610.6</v>
      </c>
      <c r="S188" s="40">
        <v>284.76</v>
      </c>
      <c r="T188" s="25">
        <v>59.52</v>
      </c>
      <c r="U188" s="25">
        <v>238.08</v>
      </c>
      <c r="V188" s="25">
        <v>288.58999999999997</v>
      </c>
      <c r="W188" s="25">
        <v>1154.3599999999999</v>
      </c>
      <c r="X188" s="25">
        <v>7772</v>
      </c>
      <c r="Y188" s="25">
        <v>3886</v>
      </c>
      <c r="Z188" s="5">
        <v>4734.68</v>
      </c>
      <c r="AA188" s="21">
        <v>5810</v>
      </c>
    </row>
    <row r="189" spans="1:27">
      <c r="A189" s="34">
        <v>99801318</v>
      </c>
      <c r="B189" s="35" t="s">
        <v>187</v>
      </c>
      <c r="C189" s="36">
        <v>15</v>
      </c>
      <c r="D189" s="36">
        <v>4</v>
      </c>
      <c r="E189" s="36">
        <v>98327389</v>
      </c>
      <c r="F189" s="36" t="s">
        <v>2131</v>
      </c>
      <c r="G189" s="36">
        <v>91338018</v>
      </c>
      <c r="H189" s="36" t="s">
        <v>735</v>
      </c>
      <c r="I189" s="36">
        <v>93176762</v>
      </c>
      <c r="J189" s="36" t="s">
        <v>2096</v>
      </c>
      <c r="K189" s="36">
        <v>4</v>
      </c>
      <c r="L189" s="25">
        <v>10633</v>
      </c>
      <c r="M189" s="25">
        <v>5316.5</v>
      </c>
      <c r="N189" s="39"/>
      <c r="O189" s="39"/>
      <c r="P189" s="25"/>
      <c r="Q189" s="25"/>
      <c r="R189" s="50">
        <v>663.42</v>
      </c>
      <c r="S189" s="40">
        <v>284.76</v>
      </c>
      <c r="T189" s="25">
        <v>170.3</v>
      </c>
      <c r="U189" s="25">
        <v>681.2</v>
      </c>
      <c r="V189" s="25">
        <v>668.94</v>
      </c>
      <c r="W189" s="25">
        <v>2675.76</v>
      </c>
      <c r="X189" s="25">
        <v>10633</v>
      </c>
      <c r="Y189" s="25">
        <v>5316.5</v>
      </c>
      <c r="Z189" s="5">
        <v>6661.12</v>
      </c>
      <c r="AA189" s="21">
        <v>8174</v>
      </c>
    </row>
    <row r="190" spans="1:27">
      <c r="A190" s="34">
        <v>99801112</v>
      </c>
      <c r="B190" s="35" t="s">
        <v>161</v>
      </c>
      <c r="C190" s="36">
        <v>75</v>
      </c>
      <c r="D190" s="36">
        <v>4</v>
      </c>
      <c r="E190" s="36" t="s">
        <v>720</v>
      </c>
      <c r="F190" s="36" t="s">
        <v>2133</v>
      </c>
      <c r="G190" s="36">
        <v>91338020</v>
      </c>
      <c r="H190" s="36" t="s">
        <v>737</v>
      </c>
      <c r="I190" s="36"/>
      <c r="J190" s="36" t="s">
        <v>2099</v>
      </c>
      <c r="K190" s="36">
        <v>6</v>
      </c>
      <c r="L190" s="25">
        <v>21412</v>
      </c>
      <c r="M190" s="25">
        <v>10706</v>
      </c>
      <c r="N190" s="39"/>
      <c r="O190" s="39"/>
      <c r="P190" s="42"/>
      <c r="Q190" s="42"/>
      <c r="R190" s="51">
        <v>1100</v>
      </c>
      <c r="S190" s="40">
        <v>427.14</v>
      </c>
      <c r="T190" s="25">
        <v>170.3</v>
      </c>
      <c r="U190" s="25">
        <v>1021.8</v>
      </c>
      <c r="V190" s="25">
        <v>717.41</v>
      </c>
      <c r="W190" s="25">
        <v>4304.46</v>
      </c>
      <c r="X190" s="25">
        <v>21412</v>
      </c>
      <c r="Y190" s="25">
        <v>10706</v>
      </c>
      <c r="Z190" s="5">
        <v>12827.8</v>
      </c>
      <c r="AA190" s="21">
        <v>15740</v>
      </c>
    </row>
    <row r="191" spans="1:27">
      <c r="A191" s="46">
        <v>99801127</v>
      </c>
      <c r="B191" s="35" t="s">
        <v>240</v>
      </c>
      <c r="C191" s="36">
        <v>45</v>
      </c>
      <c r="D191" s="36">
        <v>2</v>
      </c>
      <c r="E191" s="36">
        <v>98299752</v>
      </c>
      <c r="F191" s="36" t="s">
        <v>2132</v>
      </c>
      <c r="G191" s="36">
        <v>91338020</v>
      </c>
      <c r="H191" s="36" t="s">
        <v>737</v>
      </c>
      <c r="I191" s="36"/>
      <c r="J191" s="36" t="s">
        <v>2099</v>
      </c>
      <c r="K191" s="36">
        <v>4</v>
      </c>
      <c r="L191" s="25">
        <v>14765</v>
      </c>
      <c r="M191" s="25">
        <v>7382.5</v>
      </c>
      <c r="N191" s="39"/>
      <c r="O191" s="39"/>
      <c r="P191" s="25"/>
      <c r="Q191" s="25"/>
      <c r="R191" s="50">
        <v>824.44</v>
      </c>
      <c r="S191" s="40">
        <v>284.76</v>
      </c>
      <c r="T191" s="25">
        <v>170.3</v>
      </c>
      <c r="U191" s="25">
        <v>681.2</v>
      </c>
      <c r="V191" s="25">
        <v>717.41</v>
      </c>
      <c r="W191" s="25">
        <v>2869.64</v>
      </c>
      <c r="X191" s="25">
        <v>14765</v>
      </c>
      <c r="Y191" s="25">
        <v>7382.5</v>
      </c>
      <c r="Z191" s="5">
        <v>8888.14</v>
      </c>
      <c r="AA191" s="21">
        <v>10906</v>
      </c>
    </row>
    <row r="192" spans="1:27">
      <c r="A192" s="34">
        <v>99801111</v>
      </c>
      <c r="B192" s="35" t="s">
        <v>258</v>
      </c>
      <c r="C192" s="36">
        <v>55</v>
      </c>
      <c r="D192" s="36">
        <v>2</v>
      </c>
      <c r="E192" s="36" t="s">
        <v>720</v>
      </c>
      <c r="F192" s="36" t="s">
        <v>2133</v>
      </c>
      <c r="G192" s="36">
        <v>91338020</v>
      </c>
      <c r="H192" s="36" t="s">
        <v>737</v>
      </c>
      <c r="I192" s="36"/>
      <c r="J192" s="36" t="s">
        <v>2099</v>
      </c>
      <c r="K192" s="36">
        <v>6</v>
      </c>
      <c r="L192" s="25">
        <v>17758</v>
      </c>
      <c r="M192" s="25">
        <v>8879</v>
      </c>
      <c r="N192" s="39"/>
      <c r="O192" s="39"/>
      <c r="P192" s="25"/>
      <c r="Q192" s="25"/>
      <c r="R192" s="50"/>
      <c r="S192" s="40">
        <v>427.14</v>
      </c>
      <c r="T192" s="25">
        <v>170.3</v>
      </c>
      <c r="U192" s="25">
        <v>1021.8</v>
      </c>
      <c r="V192" s="25">
        <v>717.41</v>
      </c>
      <c r="W192" s="25">
        <v>4304.46</v>
      </c>
      <c r="X192" s="25">
        <v>17758</v>
      </c>
      <c r="Y192" s="25">
        <v>8879</v>
      </c>
      <c r="Z192" s="5">
        <v>9900.7999999999993</v>
      </c>
      <c r="AA192" s="21">
        <v>12149</v>
      </c>
    </row>
    <row r="193" spans="1:27">
      <c r="A193" s="34">
        <v>99801313</v>
      </c>
      <c r="B193" s="35" t="s">
        <v>152</v>
      </c>
      <c r="C193" s="36">
        <v>5.5</v>
      </c>
      <c r="D193" s="36">
        <v>4</v>
      </c>
      <c r="E193" s="36">
        <v>92513065</v>
      </c>
      <c r="F193" s="36" t="s">
        <v>742</v>
      </c>
      <c r="G193" s="36">
        <v>91338157</v>
      </c>
      <c r="H193" s="36" t="s">
        <v>744</v>
      </c>
      <c r="I193" s="36">
        <v>93176761</v>
      </c>
      <c r="J193" s="36" t="s">
        <v>2087</v>
      </c>
      <c r="K193" s="36">
        <v>4</v>
      </c>
      <c r="L193" s="25">
        <v>6602</v>
      </c>
      <c r="M193" s="25">
        <v>3301</v>
      </c>
      <c r="N193" s="39"/>
      <c r="O193" s="39"/>
      <c r="P193" s="40">
        <v>380</v>
      </c>
      <c r="Q193" s="40">
        <v>190</v>
      </c>
      <c r="R193" s="50">
        <v>610.6</v>
      </c>
      <c r="S193" s="40">
        <v>284.76</v>
      </c>
      <c r="T193" s="25">
        <v>59.52</v>
      </c>
      <c r="U193" s="25">
        <v>238.08</v>
      </c>
      <c r="V193" s="25">
        <v>288.58999999999997</v>
      </c>
      <c r="W193" s="25">
        <v>1154.3599999999999</v>
      </c>
      <c r="X193" s="25">
        <v>6602</v>
      </c>
      <c r="Y193" s="25">
        <v>3301</v>
      </c>
      <c r="Z193" s="5">
        <v>4149.68</v>
      </c>
      <c r="AA193" s="21">
        <v>5092</v>
      </c>
    </row>
    <row r="194" spans="1:27">
      <c r="A194" s="34">
        <v>99801287</v>
      </c>
      <c r="B194" s="35" t="s">
        <v>158</v>
      </c>
      <c r="C194" s="36">
        <v>5.5</v>
      </c>
      <c r="D194" s="36">
        <v>4</v>
      </c>
      <c r="E194" s="36">
        <v>92513065</v>
      </c>
      <c r="F194" s="36" t="s">
        <v>742</v>
      </c>
      <c r="G194" s="36">
        <v>91338157</v>
      </c>
      <c r="H194" s="36" t="s">
        <v>744</v>
      </c>
      <c r="I194" s="36">
        <v>93176761</v>
      </c>
      <c r="J194" s="36" t="s">
        <v>2087</v>
      </c>
      <c r="K194" s="36">
        <v>4</v>
      </c>
      <c r="L194" s="25">
        <v>7491</v>
      </c>
      <c r="M194" s="25">
        <v>3745.5</v>
      </c>
      <c r="N194" s="39"/>
      <c r="O194" s="39"/>
      <c r="P194" s="25"/>
      <c r="Q194" s="25"/>
      <c r="R194" s="50">
        <v>610.6</v>
      </c>
      <c r="S194" s="40">
        <v>284.76</v>
      </c>
      <c r="T194" s="25">
        <v>59.52</v>
      </c>
      <c r="U194" s="25">
        <v>238.08</v>
      </c>
      <c r="V194" s="25">
        <v>288.58999999999997</v>
      </c>
      <c r="W194" s="25">
        <v>1154.3599999999999</v>
      </c>
      <c r="X194" s="25">
        <v>7491</v>
      </c>
      <c r="Y194" s="25">
        <v>3745.5</v>
      </c>
      <c r="Z194" s="5">
        <v>4594.18</v>
      </c>
      <c r="AA194" s="21">
        <v>5638</v>
      </c>
    </row>
    <row r="195" spans="1:27">
      <c r="A195" s="34">
        <v>99796409</v>
      </c>
      <c r="B195" s="35" t="s">
        <v>124</v>
      </c>
      <c r="C195" s="36">
        <v>5.5</v>
      </c>
      <c r="D195" s="36">
        <v>2</v>
      </c>
      <c r="E195" s="36">
        <v>98327382</v>
      </c>
      <c r="F195" s="36" t="s">
        <v>2134</v>
      </c>
      <c r="G195" s="36">
        <v>92932673</v>
      </c>
      <c r="H195" s="36" t="s">
        <v>741</v>
      </c>
      <c r="I195" s="36">
        <v>93176761</v>
      </c>
      <c r="J195" s="36" t="s">
        <v>2087</v>
      </c>
      <c r="K195" s="36">
        <v>4</v>
      </c>
      <c r="L195" s="25">
        <v>5009</v>
      </c>
      <c r="M195" s="25">
        <v>2504.5</v>
      </c>
      <c r="N195" s="49"/>
      <c r="O195" s="52"/>
      <c r="P195" s="25">
        <v>1953.02</v>
      </c>
      <c r="Q195" s="25">
        <v>976.51</v>
      </c>
      <c r="R195" s="50">
        <v>532.03</v>
      </c>
      <c r="S195" s="40">
        <v>284.76</v>
      </c>
      <c r="T195" s="25">
        <v>59.52</v>
      </c>
      <c r="U195" s="25">
        <v>238.08</v>
      </c>
      <c r="V195" s="25">
        <v>288.58999999999997</v>
      </c>
      <c r="W195" s="25">
        <v>1154.3599999999999</v>
      </c>
      <c r="X195" s="25">
        <v>5009</v>
      </c>
      <c r="Y195" s="25">
        <v>2504.5</v>
      </c>
      <c r="Z195" s="5">
        <v>3274.61</v>
      </c>
      <c r="AA195" s="21">
        <v>4018</v>
      </c>
    </row>
    <row r="196" spans="1:27">
      <c r="A196" s="34">
        <v>99796424</v>
      </c>
      <c r="B196" s="35" t="s">
        <v>215</v>
      </c>
      <c r="C196" s="36">
        <v>30</v>
      </c>
      <c r="D196" s="36">
        <v>2</v>
      </c>
      <c r="E196" s="36">
        <v>99051550</v>
      </c>
      <c r="F196" s="36" t="s">
        <v>749</v>
      </c>
      <c r="G196" s="36">
        <v>91338019</v>
      </c>
      <c r="H196" s="36" t="s">
        <v>733</v>
      </c>
      <c r="I196" s="36"/>
      <c r="J196" s="36" t="s">
        <v>2097</v>
      </c>
      <c r="K196" s="36">
        <v>4</v>
      </c>
      <c r="L196" s="25">
        <v>13286</v>
      </c>
      <c r="M196" s="25">
        <v>6643</v>
      </c>
      <c r="N196" s="39"/>
      <c r="O196" s="39"/>
      <c r="P196" s="25"/>
      <c r="Q196" s="25"/>
      <c r="R196" s="50">
        <v>741.99</v>
      </c>
      <c r="S196" s="40">
        <v>284.76</v>
      </c>
      <c r="T196" s="25">
        <v>170.3</v>
      </c>
      <c r="U196" s="25">
        <v>681.2</v>
      </c>
      <c r="V196" s="25">
        <v>668.94</v>
      </c>
      <c r="W196" s="25">
        <v>2675.76</v>
      </c>
      <c r="X196" s="25">
        <v>13286</v>
      </c>
      <c r="Y196" s="25">
        <v>6643</v>
      </c>
      <c r="Z196" s="5">
        <v>8066.19</v>
      </c>
      <c r="AA196" s="21">
        <v>9898</v>
      </c>
    </row>
    <row r="197" spans="1:27">
      <c r="A197" s="34">
        <v>99796416</v>
      </c>
      <c r="B197" s="35" t="s">
        <v>155</v>
      </c>
      <c r="C197" s="36">
        <v>11</v>
      </c>
      <c r="D197" s="36">
        <v>2</v>
      </c>
      <c r="E197" s="36">
        <v>92513065</v>
      </c>
      <c r="F197" s="36" t="s">
        <v>742</v>
      </c>
      <c r="G197" s="36">
        <v>91338157</v>
      </c>
      <c r="H197" s="36" t="s">
        <v>744</v>
      </c>
      <c r="I197" s="36">
        <v>93176761</v>
      </c>
      <c r="J197" s="36" t="s">
        <v>2087</v>
      </c>
      <c r="K197" s="36">
        <v>4</v>
      </c>
      <c r="L197" s="25">
        <v>7383</v>
      </c>
      <c r="M197" s="25">
        <v>3691.5</v>
      </c>
      <c r="N197" s="39"/>
      <c r="O197" s="39"/>
      <c r="P197" s="25"/>
      <c r="Q197" s="25"/>
      <c r="R197" s="50">
        <v>610.6</v>
      </c>
      <c r="S197" s="40">
        <v>284.76</v>
      </c>
      <c r="T197" s="25">
        <v>59.52</v>
      </c>
      <c r="U197" s="25">
        <v>238.08</v>
      </c>
      <c r="V197" s="25">
        <v>288.58999999999997</v>
      </c>
      <c r="W197" s="25">
        <v>1154.3599999999999</v>
      </c>
      <c r="X197" s="25">
        <v>7383</v>
      </c>
      <c r="Y197" s="25">
        <v>3691.5</v>
      </c>
      <c r="Z197" s="5">
        <v>4540.18</v>
      </c>
      <c r="AA197" s="21">
        <v>5571</v>
      </c>
    </row>
    <row r="198" spans="1:27">
      <c r="A198" s="34">
        <v>99801088</v>
      </c>
      <c r="B198" s="35" t="s">
        <v>118</v>
      </c>
      <c r="C198" s="36">
        <v>22</v>
      </c>
      <c r="D198" s="36">
        <v>4</v>
      </c>
      <c r="E198" s="36">
        <v>98327389</v>
      </c>
      <c r="F198" s="36" t="s">
        <v>2131</v>
      </c>
      <c r="G198" s="36">
        <v>91338018</v>
      </c>
      <c r="H198" s="36" t="s">
        <v>735</v>
      </c>
      <c r="I198" s="36">
        <v>93176762</v>
      </c>
      <c r="J198" s="36" t="s">
        <v>2096</v>
      </c>
      <c r="K198" s="36">
        <v>4</v>
      </c>
      <c r="L198" s="25">
        <v>9361</v>
      </c>
      <c r="M198" s="25">
        <v>4680.5</v>
      </c>
      <c r="N198" s="39">
        <v>2000.96</v>
      </c>
      <c r="O198" s="39">
        <v>1000.48</v>
      </c>
      <c r="P198" s="25">
        <v>4337.3100000000004</v>
      </c>
      <c r="Q198" s="25">
        <v>2168.66</v>
      </c>
      <c r="R198" s="50">
        <v>663.42</v>
      </c>
      <c r="S198" s="40">
        <v>284.76</v>
      </c>
      <c r="T198" s="25">
        <v>170.3</v>
      </c>
      <c r="U198" s="25">
        <v>681.2</v>
      </c>
      <c r="V198" s="25">
        <v>668.94</v>
      </c>
      <c r="W198" s="25">
        <v>2675.76</v>
      </c>
      <c r="X198" s="25">
        <v>9361</v>
      </c>
      <c r="Y198" s="25">
        <v>4680.5</v>
      </c>
      <c r="Z198" s="5">
        <v>6025.12</v>
      </c>
      <c r="AA198" s="21">
        <v>7393</v>
      </c>
    </row>
    <row r="199" spans="1:27">
      <c r="A199" s="34">
        <v>99801314</v>
      </c>
      <c r="B199" s="35" t="s">
        <v>161</v>
      </c>
      <c r="C199" s="36">
        <v>7.5</v>
      </c>
      <c r="D199" s="36">
        <v>4</v>
      </c>
      <c r="E199" s="36">
        <v>92513065</v>
      </c>
      <c r="F199" s="36" t="s">
        <v>742</v>
      </c>
      <c r="G199" s="36">
        <v>91338157</v>
      </c>
      <c r="H199" s="36" t="s">
        <v>744</v>
      </c>
      <c r="I199" s="36">
        <v>93176761</v>
      </c>
      <c r="J199" s="36" t="s">
        <v>2087</v>
      </c>
      <c r="K199" s="36">
        <v>4</v>
      </c>
      <c r="L199" s="25">
        <v>7189</v>
      </c>
      <c r="M199" s="25">
        <v>3594.5</v>
      </c>
      <c r="N199" s="39">
        <v>1755.91</v>
      </c>
      <c r="O199" s="39">
        <v>877.96</v>
      </c>
      <c r="P199" s="25">
        <v>2127.9</v>
      </c>
      <c r="Q199" s="25">
        <v>1063.95</v>
      </c>
      <c r="R199" s="50">
        <v>610.6</v>
      </c>
      <c r="S199" s="40">
        <v>284.76</v>
      </c>
      <c r="T199" s="25">
        <v>59.52</v>
      </c>
      <c r="U199" s="25">
        <v>238.08</v>
      </c>
      <c r="V199" s="25">
        <v>288.58999999999997</v>
      </c>
      <c r="W199" s="25">
        <v>1154.3599999999999</v>
      </c>
      <c r="X199" s="25">
        <v>7189</v>
      </c>
      <c r="Y199" s="25">
        <v>3594.5</v>
      </c>
      <c r="Z199" s="5">
        <v>4443.18</v>
      </c>
      <c r="AA199" s="21">
        <v>5452</v>
      </c>
    </row>
    <row r="200" spans="1:27">
      <c r="A200" s="34">
        <v>99796425</v>
      </c>
      <c r="B200" s="35" t="s">
        <v>222</v>
      </c>
      <c r="C200" s="36">
        <v>37</v>
      </c>
      <c r="D200" s="36">
        <v>2</v>
      </c>
      <c r="E200" s="36">
        <v>99051550</v>
      </c>
      <c r="F200" s="36" t="s">
        <v>749</v>
      </c>
      <c r="G200" s="36">
        <v>91338019</v>
      </c>
      <c r="H200" s="36" t="s">
        <v>733</v>
      </c>
      <c r="I200" s="36"/>
      <c r="J200" s="36" t="s">
        <v>2097</v>
      </c>
      <c r="K200" s="36">
        <v>4</v>
      </c>
      <c r="L200" s="25">
        <v>14566</v>
      </c>
      <c r="M200" s="25">
        <v>7283</v>
      </c>
      <c r="N200" s="39"/>
      <c r="O200" s="39"/>
      <c r="P200" s="25"/>
      <c r="Q200" s="25"/>
      <c r="R200" s="50">
        <v>741.99</v>
      </c>
      <c r="S200" s="40">
        <v>284.76</v>
      </c>
      <c r="T200" s="25">
        <v>170.3</v>
      </c>
      <c r="U200" s="25">
        <v>681.2</v>
      </c>
      <c r="V200" s="25">
        <v>668.94</v>
      </c>
      <c r="W200" s="25">
        <v>2675.76</v>
      </c>
      <c r="X200" s="25">
        <v>14566</v>
      </c>
      <c r="Y200" s="25">
        <v>7283</v>
      </c>
      <c r="Z200" s="5">
        <v>8706.19</v>
      </c>
      <c r="AA200" s="21">
        <v>10683</v>
      </c>
    </row>
    <row r="201" spans="1:27">
      <c r="A201" s="34">
        <v>99801375</v>
      </c>
      <c r="B201" s="35" t="s">
        <v>234</v>
      </c>
      <c r="C201" s="36">
        <v>30</v>
      </c>
      <c r="D201" s="36">
        <v>4</v>
      </c>
      <c r="E201" s="36">
        <v>98299752</v>
      </c>
      <c r="F201" s="36" t="s">
        <v>2132</v>
      </c>
      <c r="G201" s="36">
        <v>91338020</v>
      </c>
      <c r="H201" s="36" t="s">
        <v>737</v>
      </c>
      <c r="I201" s="36"/>
      <c r="J201" s="36" t="s">
        <v>2099</v>
      </c>
      <c r="K201" s="36">
        <v>4</v>
      </c>
      <c r="L201" s="25">
        <v>16085</v>
      </c>
      <c r="M201" s="25">
        <v>8042.5</v>
      </c>
      <c r="N201" s="39"/>
      <c r="O201" s="39"/>
      <c r="P201" s="25"/>
      <c r="Q201" s="25"/>
      <c r="R201" s="50">
        <v>824.44</v>
      </c>
      <c r="S201" s="40">
        <v>284.76</v>
      </c>
      <c r="T201" s="25">
        <v>170.3</v>
      </c>
      <c r="U201" s="25">
        <v>681.2</v>
      </c>
      <c r="V201" s="25">
        <v>717.41</v>
      </c>
      <c r="W201" s="25">
        <v>2869.64</v>
      </c>
      <c r="X201" s="25">
        <v>16085</v>
      </c>
      <c r="Y201" s="25">
        <v>8042.5</v>
      </c>
      <c r="Z201" s="5">
        <v>9548.14</v>
      </c>
      <c r="AA201" s="21">
        <v>11716</v>
      </c>
    </row>
    <row r="202" spans="1:27">
      <c r="A202" s="34">
        <v>99796422</v>
      </c>
      <c r="B202" s="35" t="s">
        <v>127</v>
      </c>
      <c r="C202" s="36">
        <v>30</v>
      </c>
      <c r="D202" s="36">
        <v>4</v>
      </c>
      <c r="E202" s="36">
        <v>99051550</v>
      </c>
      <c r="F202" s="36" t="s">
        <v>749</v>
      </c>
      <c r="G202" s="36">
        <v>91338019</v>
      </c>
      <c r="H202" s="36" t="s">
        <v>733</v>
      </c>
      <c r="I202" s="36"/>
      <c r="J202" s="36" t="s">
        <v>2097</v>
      </c>
      <c r="K202" s="36">
        <v>4</v>
      </c>
      <c r="L202" s="25">
        <v>11900</v>
      </c>
      <c r="M202" s="25">
        <v>5950</v>
      </c>
      <c r="N202" s="39"/>
      <c r="O202" s="39"/>
      <c r="P202" s="25"/>
      <c r="Q202" s="25"/>
      <c r="R202" s="50">
        <v>741.99</v>
      </c>
      <c r="S202" s="40">
        <v>284.76</v>
      </c>
      <c r="T202" s="25">
        <v>170.3</v>
      </c>
      <c r="U202" s="25">
        <v>681.2</v>
      </c>
      <c r="V202" s="25">
        <v>668.94</v>
      </c>
      <c r="W202" s="25">
        <v>2675.76</v>
      </c>
      <c r="X202" s="25">
        <v>11900</v>
      </c>
      <c r="Y202" s="25">
        <v>5950</v>
      </c>
      <c r="Z202" s="5">
        <v>7373.19</v>
      </c>
      <c r="AA202" s="21">
        <v>9047</v>
      </c>
    </row>
    <row r="203" spans="1:27">
      <c r="A203" s="34">
        <v>99801086</v>
      </c>
      <c r="B203" s="35" t="s">
        <v>162</v>
      </c>
      <c r="C203" s="36">
        <v>15</v>
      </c>
      <c r="D203" s="36">
        <v>2</v>
      </c>
      <c r="E203" s="36">
        <v>92513065</v>
      </c>
      <c r="F203" s="36" t="s">
        <v>742</v>
      </c>
      <c r="G203" s="36">
        <v>91338157</v>
      </c>
      <c r="H203" s="36" t="s">
        <v>744</v>
      </c>
      <c r="I203" s="36">
        <v>93176761</v>
      </c>
      <c r="J203" s="36" t="s">
        <v>2087</v>
      </c>
      <c r="K203" s="36">
        <v>4</v>
      </c>
      <c r="L203" s="25">
        <v>8277</v>
      </c>
      <c r="M203" s="25">
        <v>4138.5</v>
      </c>
      <c r="N203" s="39"/>
      <c r="O203" s="39"/>
      <c r="P203" s="25"/>
      <c r="Q203" s="25"/>
      <c r="R203" s="50">
        <v>610.6</v>
      </c>
      <c r="S203" s="40">
        <v>284.76</v>
      </c>
      <c r="T203" s="25">
        <v>59.52</v>
      </c>
      <c r="U203" s="25">
        <v>238.08</v>
      </c>
      <c r="V203" s="25">
        <v>288.58999999999997</v>
      </c>
      <c r="W203" s="25">
        <v>1154.3599999999999</v>
      </c>
      <c r="X203" s="25">
        <v>8277</v>
      </c>
      <c r="Y203" s="25">
        <v>4138.5</v>
      </c>
      <c r="Z203" s="5">
        <v>4987.18</v>
      </c>
      <c r="AA203" s="21">
        <v>6120</v>
      </c>
    </row>
    <row r="204" spans="1:27">
      <c r="A204" s="34">
        <v>99796417</v>
      </c>
      <c r="B204" s="35" t="s">
        <v>108</v>
      </c>
      <c r="C204" s="36">
        <v>15</v>
      </c>
      <c r="D204" s="36">
        <v>4</v>
      </c>
      <c r="E204" s="36">
        <v>92513065</v>
      </c>
      <c r="F204" s="36" t="s">
        <v>742</v>
      </c>
      <c r="G204" s="36">
        <v>91338157</v>
      </c>
      <c r="H204" s="36" t="s">
        <v>744</v>
      </c>
      <c r="I204" s="36">
        <v>93176761</v>
      </c>
      <c r="J204" s="36" t="s">
        <v>2087</v>
      </c>
      <c r="K204" s="36">
        <v>4</v>
      </c>
      <c r="L204" s="25">
        <v>7852</v>
      </c>
      <c r="M204" s="25">
        <v>3926</v>
      </c>
      <c r="N204" s="39"/>
      <c r="O204" s="39"/>
      <c r="P204" s="25"/>
      <c r="Q204" s="25"/>
      <c r="R204" s="50">
        <v>610.6</v>
      </c>
      <c r="S204" s="40">
        <v>284.76</v>
      </c>
      <c r="T204" s="25">
        <v>59.52</v>
      </c>
      <c r="U204" s="25">
        <v>238.08</v>
      </c>
      <c r="V204" s="25">
        <v>288.58999999999997</v>
      </c>
      <c r="W204" s="25">
        <v>1154.3599999999999</v>
      </c>
      <c r="X204" s="25">
        <v>7852</v>
      </c>
      <c r="Y204" s="25">
        <v>3926</v>
      </c>
      <c r="Z204" s="5">
        <v>4774.68</v>
      </c>
      <c r="AA204" s="21">
        <v>5859</v>
      </c>
    </row>
    <row r="205" spans="1:27">
      <c r="A205" s="34">
        <v>99801107</v>
      </c>
      <c r="B205" s="35" t="s">
        <v>131</v>
      </c>
      <c r="C205" s="36">
        <v>37</v>
      </c>
      <c r="D205" s="36">
        <v>4</v>
      </c>
      <c r="E205" s="36">
        <v>99051550</v>
      </c>
      <c r="F205" s="36" t="s">
        <v>749</v>
      </c>
      <c r="G205" s="36">
        <v>91338019</v>
      </c>
      <c r="H205" s="36" t="s">
        <v>733</v>
      </c>
      <c r="I205" s="36"/>
      <c r="J205" s="36" t="s">
        <v>2097</v>
      </c>
      <c r="K205" s="36">
        <v>4</v>
      </c>
      <c r="L205" s="25">
        <v>13079</v>
      </c>
      <c r="M205" s="25">
        <v>6539.5</v>
      </c>
      <c r="N205" s="39"/>
      <c r="O205" s="39"/>
      <c r="P205" s="25"/>
      <c r="Q205" s="25"/>
      <c r="R205" s="50">
        <v>741.99</v>
      </c>
      <c r="S205" s="40">
        <v>284.76</v>
      </c>
      <c r="T205" s="25">
        <v>170.3</v>
      </c>
      <c r="U205" s="25">
        <v>681.2</v>
      </c>
      <c r="V205" s="25">
        <v>668.94</v>
      </c>
      <c r="W205" s="25">
        <v>2675.76</v>
      </c>
      <c r="X205" s="25">
        <v>13079</v>
      </c>
      <c r="Y205" s="25">
        <v>6539.5</v>
      </c>
      <c r="Z205" s="5">
        <v>7962.69</v>
      </c>
      <c r="AA205" s="21">
        <v>9771</v>
      </c>
    </row>
    <row r="206" spans="1:27">
      <c r="A206" s="34">
        <v>99796413</v>
      </c>
      <c r="B206" s="35" t="s">
        <v>89</v>
      </c>
      <c r="C206" s="36">
        <v>11</v>
      </c>
      <c r="D206" s="36">
        <v>4</v>
      </c>
      <c r="E206" s="36">
        <v>92513065</v>
      </c>
      <c r="F206" s="36" t="s">
        <v>742</v>
      </c>
      <c r="G206" s="36">
        <v>91338157</v>
      </c>
      <c r="H206" s="36" t="s">
        <v>744</v>
      </c>
      <c r="I206" s="36">
        <v>93176761</v>
      </c>
      <c r="J206" s="36" t="s">
        <v>2087</v>
      </c>
      <c r="K206" s="36">
        <v>4</v>
      </c>
      <c r="L206" s="25">
        <v>7281</v>
      </c>
      <c r="M206" s="25">
        <v>3640.5</v>
      </c>
      <c r="N206" s="39"/>
      <c r="O206" s="39"/>
      <c r="P206" s="25"/>
      <c r="Q206" s="25"/>
      <c r="R206" s="50">
        <v>610.6</v>
      </c>
      <c r="S206" s="40">
        <v>284.76</v>
      </c>
      <c r="T206" s="25">
        <v>59.52</v>
      </c>
      <c r="U206" s="25">
        <v>238.08</v>
      </c>
      <c r="V206" s="25">
        <v>288.58999999999997</v>
      </c>
      <c r="W206" s="25">
        <v>1154.3599999999999</v>
      </c>
      <c r="X206" s="25">
        <v>7281</v>
      </c>
      <c r="Y206" s="25">
        <v>3640.5</v>
      </c>
      <c r="Z206" s="5">
        <v>4489.18</v>
      </c>
      <c r="AA206" s="21">
        <v>5509</v>
      </c>
    </row>
    <row r="207" spans="1:27">
      <c r="A207" s="34">
        <v>99801299</v>
      </c>
      <c r="B207" s="35" t="s">
        <v>163</v>
      </c>
      <c r="C207" s="36">
        <v>5.5</v>
      </c>
      <c r="D207" s="36">
        <v>4</v>
      </c>
      <c r="E207" s="36">
        <v>92513065</v>
      </c>
      <c r="F207" s="36" t="s">
        <v>742</v>
      </c>
      <c r="G207" s="36">
        <v>91338157</v>
      </c>
      <c r="H207" s="36" t="s">
        <v>744</v>
      </c>
      <c r="I207" s="36">
        <v>93176761</v>
      </c>
      <c r="J207" s="36" t="s">
        <v>2087</v>
      </c>
      <c r="K207" s="36">
        <v>4</v>
      </c>
      <c r="L207" s="25">
        <v>7915</v>
      </c>
      <c r="M207" s="25">
        <v>3957.5</v>
      </c>
      <c r="N207" s="39"/>
      <c r="O207" s="39"/>
      <c r="P207" s="25"/>
      <c r="Q207" s="25"/>
      <c r="R207" s="50">
        <v>610.6</v>
      </c>
      <c r="S207" s="40">
        <v>284.76</v>
      </c>
      <c r="T207" s="25">
        <v>59.52</v>
      </c>
      <c r="U207" s="25">
        <v>238.08</v>
      </c>
      <c r="V207" s="25">
        <v>288.58999999999997</v>
      </c>
      <c r="W207" s="25">
        <v>1154.3599999999999</v>
      </c>
      <c r="X207" s="25">
        <v>7915</v>
      </c>
      <c r="Y207" s="25">
        <v>3957.5</v>
      </c>
      <c r="Z207" s="5">
        <v>4806.18</v>
      </c>
      <c r="AA207" s="21">
        <v>5898</v>
      </c>
    </row>
    <row r="208" spans="1:27">
      <c r="A208" s="34">
        <v>99801384</v>
      </c>
      <c r="B208" s="35" t="s">
        <v>223</v>
      </c>
      <c r="C208" s="36">
        <v>11</v>
      </c>
      <c r="D208" s="36">
        <v>4</v>
      </c>
      <c r="E208" s="36">
        <v>99051550</v>
      </c>
      <c r="F208" s="36" t="s">
        <v>749</v>
      </c>
      <c r="G208" s="36">
        <v>91338019</v>
      </c>
      <c r="H208" s="36" t="s">
        <v>733</v>
      </c>
      <c r="I208" s="36"/>
      <c r="J208" s="36" t="s">
        <v>2097</v>
      </c>
      <c r="K208" s="36">
        <v>4</v>
      </c>
      <c r="L208" s="25">
        <v>12706</v>
      </c>
      <c r="M208" s="25">
        <v>6353</v>
      </c>
      <c r="N208" s="39"/>
      <c r="O208" s="39"/>
      <c r="P208" s="25"/>
      <c r="Q208" s="25"/>
      <c r="R208" s="50">
        <v>741.99</v>
      </c>
      <c r="S208" s="40">
        <v>284.76</v>
      </c>
      <c r="T208" s="25">
        <v>170.3</v>
      </c>
      <c r="U208" s="25">
        <v>681.2</v>
      </c>
      <c r="V208" s="25">
        <v>668.94</v>
      </c>
      <c r="W208" s="25">
        <v>2675.76</v>
      </c>
      <c r="X208" s="25">
        <v>12706</v>
      </c>
      <c r="Y208" s="25">
        <v>6353</v>
      </c>
      <c r="Z208" s="5">
        <v>7776.19</v>
      </c>
      <c r="AA208" s="21">
        <v>9542</v>
      </c>
    </row>
    <row r="209" spans="1:27">
      <c r="A209" s="34">
        <v>99801101</v>
      </c>
      <c r="B209" s="35" t="s">
        <v>160</v>
      </c>
      <c r="C209" s="36">
        <v>15</v>
      </c>
      <c r="D209" s="36">
        <v>2</v>
      </c>
      <c r="E209" s="36">
        <v>92513065</v>
      </c>
      <c r="F209" s="36" t="s">
        <v>742</v>
      </c>
      <c r="G209" s="36">
        <v>91338157</v>
      </c>
      <c r="H209" s="36" t="s">
        <v>744</v>
      </c>
      <c r="I209" s="36">
        <v>93176761</v>
      </c>
      <c r="J209" s="36" t="s">
        <v>2087</v>
      </c>
      <c r="K209" s="36">
        <v>4</v>
      </c>
      <c r="L209" s="25">
        <v>7834</v>
      </c>
      <c r="M209" s="25">
        <v>3917</v>
      </c>
      <c r="N209" s="39"/>
      <c r="O209" s="39">
        <v>2070.75</v>
      </c>
      <c r="P209" s="25">
        <v>1339.47</v>
      </c>
      <c r="Q209" s="25">
        <v>669.74</v>
      </c>
      <c r="R209" s="50">
        <v>610.6</v>
      </c>
      <c r="S209" s="40">
        <v>284.76</v>
      </c>
      <c r="T209" s="25">
        <v>59.52</v>
      </c>
      <c r="U209" s="25">
        <v>238.08</v>
      </c>
      <c r="V209" s="25">
        <v>288.58999999999997</v>
      </c>
      <c r="W209" s="25">
        <v>1154.3599999999999</v>
      </c>
      <c r="X209" s="25">
        <v>7834</v>
      </c>
      <c r="Y209" s="25">
        <v>3917</v>
      </c>
      <c r="Z209" s="5">
        <v>4765.68</v>
      </c>
      <c r="AA209" s="21">
        <v>5848</v>
      </c>
    </row>
    <row r="210" spans="1:27">
      <c r="A210" s="34">
        <v>99801085</v>
      </c>
      <c r="B210" s="35" t="s">
        <v>157</v>
      </c>
      <c r="C210" s="36">
        <v>11</v>
      </c>
      <c r="D210" s="36">
        <v>2</v>
      </c>
      <c r="E210" s="36">
        <v>92513065</v>
      </c>
      <c r="F210" s="36" t="s">
        <v>742</v>
      </c>
      <c r="G210" s="36">
        <v>91338157</v>
      </c>
      <c r="H210" s="36" t="s">
        <v>744</v>
      </c>
      <c r="I210" s="36">
        <v>93176761</v>
      </c>
      <c r="J210" s="36" t="s">
        <v>2087</v>
      </c>
      <c r="K210" s="36">
        <v>4</v>
      </c>
      <c r="L210" s="25">
        <v>7898</v>
      </c>
      <c r="M210" s="25">
        <v>3949</v>
      </c>
      <c r="N210" s="39"/>
      <c r="O210" s="39"/>
      <c r="P210" s="25"/>
      <c r="Q210" s="25"/>
      <c r="R210" s="50">
        <v>610.6</v>
      </c>
      <c r="S210" s="40">
        <v>284.76</v>
      </c>
      <c r="T210" s="25">
        <v>59.52</v>
      </c>
      <c r="U210" s="25">
        <v>238.08</v>
      </c>
      <c r="V210" s="25">
        <v>288.58999999999997</v>
      </c>
      <c r="W210" s="25">
        <v>1154.3599999999999</v>
      </c>
      <c r="X210" s="25">
        <v>7898</v>
      </c>
      <c r="Y210" s="25">
        <v>3949</v>
      </c>
      <c r="Z210" s="5">
        <v>4797.68</v>
      </c>
      <c r="AA210" s="21">
        <v>5887</v>
      </c>
    </row>
    <row r="211" spans="1:27">
      <c r="A211" s="34">
        <v>99801100</v>
      </c>
      <c r="B211" s="35" t="s">
        <v>153</v>
      </c>
      <c r="C211" s="36">
        <v>11</v>
      </c>
      <c r="D211" s="36">
        <v>2</v>
      </c>
      <c r="E211" s="36">
        <v>92513065</v>
      </c>
      <c r="F211" s="36" t="s">
        <v>742</v>
      </c>
      <c r="G211" s="36">
        <v>91338157</v>
      </c>
      <c r="H211" s="36" t="s">
        <v>744</v>
      </c>
      <c r="I211" s="36">
        <v>93176761</v>
      </c>
      <c r="J211" s="36" t="s">
        <v>2087</v>
      </c>
      <c r="K211" s="36">
        <v>4</v>
      </c>
      <c r="L211" s="25">
        <v>7438</v>
      </c>
      <c r="M211" s="25">
        <v>3719</v>
      </c>
      <c r="N211" s="39">
        <v>445.28</v>
      </c>
      <c r="O211" s="39">
        <v>222.64</v>
      </c>
      <c r="P211" s="25">
        <v>1215.32</v>
      </c>
      <c r="Q211" s="25">
        <v>607.66</v>
      </c>
      <c r="R211" s="50">
        <v>610.6</v>
      </c>
      <c r="S211" s="40">
        <v>284.76</v>
      </c>
      <c r="T211" s="25">
        <v>59.52</v>
      </c>
      <c r="U211" s="25">
        <v>238.08</v>
      </c>
      <c r="V211" s="25">
        <v>288.58999999999997</v>
      </c>
      <c r="W211" s="25">
        <v>1154.3599999999999</v>
      </c>
      <c r="X211" s="25">
        <v>7438</v>
      </c>
      <c r="Y211" s="25">
        <v>3719</v>
      </c>
      <c r="Z211" s="5">
        <v>4567.68</v>
      </c>
      <c r="AA211" s="21">
        <v>5605</v>
      </c>
    </row>
    <row r="212" spans="1:27">
      <c r="A212" s="34">
        <v>99801093</v>
      </c>
      <c r="B212" s="35" t="s">
        <v>143</v>
      </c>
      <c r="C212" s="36">
        <v>37</v>
      </c>
      <c r="D212" s="36">
        <v>4</v>
      </c>
      <c r="E212" s="36">
        <v>99051550</v>
      </c>
      <c r="F212" s="36" t="s">
        <v>749</v>
      </c>
      <c r="G212" s="36">
        <v>91338019</v>
      </c>
      <c r="H212" s="36" t="s">
        <v>733</v>
      </c>
      <c r="I212" s="36"/>
      <c r="J212" s="36" t="s">
        <v>2097</v>
      </c>
      <c r="K212" s="36">
        <v>4</v>
      </c>
      <c r="L212" s="25">
        <v>14112</v>
      </c>
      <c r="M212" s="25">
        <v>7056</v>
      </c>
      <c r="N212" s="39"/>
      <c r="O212" s="39"/>
      <c r="P212" s="25"/>
      <c r="Q212" s="25"/>
      <c r="R212" s="25">
        <v>741.99</v>
      </c>
      <c r="S212" s="40">
        <v>284.76</v>
      </c>
      <c r="T212" s="25">
        <v>170.3</v>
      </c>
      <c r="U212" s="25">
        <v>681.2</v>
      </c>
      <c r="V212" s="25">
        <v>668.94</v>
      </c>
      <c r="W212" s="25">
        <v>2675.76</v>
      </c>
      <c r="X212" s="25">
        <v>14112</v>
      </c>
      <c r="Y212" s="25">
        <v>7056</v>
      </c>
      <c r="Z212" s="5">
        <v>8479.19</v>
      </c>
      <c r="AA212" s="21">
        <v>10404</v>
      </c>
    </row>
    <row r="213" spans="1:27">
      <c r="A213" s="34">
        <v>99801097</v>
      </c>
      <c r="B213" s="35" t="s">
        <v>260</v>
      </c>
      <c r="C213" s="36">
        <v>55</v>
      </c>
      <c r="D213" s="36">
        <v>2</v>
      </c>
      <c r="E213" s="36" t="s">
        <v>720</v>
      </c>
      <c r="F213" s="36" t="s">
        <v>2133</v>
      </c>
      <c r="G213" s="36">
        <v>91338020</v>
      </c>
      <c r="H213" s="36" t="s">
        <v>737</v>
      </c>
      <c r="I213" s="36"/>
      <c r="J213" s="36" t="s">
        <v>2099</v>
      </c>
      <c r="K213" s="36">
        <v>6</v>
      </c>
      <c r="L213" s="25">
        <v>20216</v>
      </c>
      <c r="M213" s="25">
        <v>10108</v>
      </c>
      <c r="N213" s="39"/>
      <c r="O213" s="39"/>
      <c r="P213" s="42"/>
      <c r="Q213" s="42"/>
      <c r="R213" s="42">
        <v>1100</v>
      </c>
      <c r="S213" s="40">
        <v>427.14</v>
      </c>
      <c r="T213" s="25">
        <v>170.3</v>
      </c>
      <c r="U213" s="25">
        <v>1021.8</v>
      </c>
      <c r="V213" s="25">
        <v>717.41</v>
      </c>
      <c r="W213" s="25">
        <v>4304.46</v>
      </c>
      <c r="X213" s="25">
        <v>20216</v>
      </c>
      <c r="Y213" s="25">
        <v>10108</v>
      </c>
      <c r="Z213" s="5">
        <v>12229.8</v>
      </c>
      <c r="AA213" s="21">
        <v>15006</v>
      </c>
    </row>
    <row r="214" spans="1:27">
      <c r="A214" s="34">
        <v>99801095</v>
      </c>
      <c r="B214" s="35" t="s">
        <v>224</v>
      </c>
      <c r="C214" s="36">
        <v>37</v>
      </c>
      <c r="D214" s="36">
        <v>2</v>
      </c>
      <c r="E214" s="36">
        <v>99051550</v>
      </c>
      <c r="F214" s="36" t="s">
        <v>749</v>
      </c>
      <c r="G214" s="36">
        <v>91338019</v>
      </c>
      <c r="H214" s="36" t="s">
        <v>733</v>
      </c>
      <c r="I214" s="36"/>
      <c r="J214" s="36" t="s">
        <v>2097</v>
      </c>
      <c r="K214" s="36">
        <v>4</v>
      </c>
      <c r="L214" s="25">
        <v>14670</v>
      </c>
      <c r="M214" s="25">
        <v>7335</v>
      </c>
      <c r="N214" s="39"/>
      <c r="O214" s="39"/>
      <c r="P214" s="25"/>
      <c r="Q214" s="25"/>
      <c r="R214" s="25">
        <v>741.99</v>
      </c>
      <c r="S214" s="40">
        <v>284.76</v>
      </c>
      <c r="T214" s="25">
        <v>170.3</v>
      </c>
      <c r="U214" s="25">
        <v>681.2</v>
      </c>
      <c r="V214" s="25">
        <v>668.94</v>
      </c>
      <c r="W214" s="25">
        <v>2675.76</v>
      </c>
      <c r="X214" s="25">
        <v>14670</v>
      </c>
      <c r="Y214" s="25">
        <v>7335</v>
      </c>
      <c r="Z214" s="5">
        <v>8758.19</v>
      </c>
      <c r="AA214" s="21">
        <v>10747</v>
      </c>
    </row>
    <row r="215" spans="1:27">
      <c r="A215" s="34">
        <v>99801094</v>
      </c>
      <c r="B215" s="35" t="s">
        <v>217</v>
      </c>
      <c r="C215" s="36">
        <v>30</v>
      </c>
      <c r="D215" s="36">
        <v>2</v>
      </c>
      <c r="E215" s="36">
        <v>99051550</v>
      </c>
      <c r="F215" s="36" t="s">
        <v>749</v>
      </c>
      <c r="G215" s="36">
        <v>91338019</v>
      </c>
      <c r="H215" s="36" t="s">
        <v>733</v>
      </c>
      <c r="I215" s="36"/>
      <c r="J215" s="36" t="s">
        <v>2097</v>
      </c>
      <c r="K215" s="36">
        <v>4</v>
      </c>
      <c r="L215" s="25">
        <v>13476</v>
      </c>
      <c r="M215" s="25">
        <v>6738</v>
      </c>
      <c r="N215" s="39"/>
      <c r="O215" s="39"/>
      <c r="P215" s="25"/>
      <c r="Q215" s="25"/>
      <c r="R215" s="25">
        <v>741.99</v>
      </c>
      <c r="S215" s="40">
        <v>284.76</v>
      </c>
      <c r="T215" s="25">
        <v>170.3</v>
      </c>
      <c r="U215" s="25">
        <v>681.2</v>
      </c>
      <c r="V215" s="25">
        <v>668.94</v>
      </c>
      <c r="W215" s="25">
        <v>2675.76</v>
      </c>
      <c r="X215" s="25">
        <v>13476</v>
      </c>
      <c r="Y215" s="25">
        <v>6738</v>
      </c>
      <c r="Z215" s="5">
        <v>8161.19</v>
      </c>
      <c r="AA215" s="21">
        <v>10014</v>
      </c>
    </row>
    <row r="216" spans="1:27">
      <c r="A216" s="34">
        <v>99801300</v>
      </c>
      <c r="B216" s="35" t="s">
        <v>173</v>
      </c>
      <c r="C216" s="36">
        <v>7.5</v>
      </c>
      <c r="D216" s="36">
        <v>4</v>
      </c>
      <c r="E216" s="36">
        <v>92513065</v>
      </c>
      <c r="F216" s="36" t="s">
        <v>742</v>
      </c>
      <c r="G216" s="36">
        <v>91338016</v>
      </c>
      <c r="H216" s="36" t="s">
        <v>746</v>
      </c>
      <c r="I216" s="36">
        <v>93176760</v>
      </c>
      <c r="J216" s="36" t="s">
        <v>2088</v>
      </c>
      <c r="K216" s="36">
        <v>4</v>
      </c>
      <c r="L216" s="25">
        <v>8575</v>
      </c>
      <c r="M216" s="25">
        <v>4287.5</v>
      </c>
      <c r="N216" s="39"/>
      <c r="O216" s="39"/>
      <c r="P216" s="25"/>
      <c r="Q216" s="25"/>
      <c r="R216" s="25">
        <v>610.6</v>
      </c>
      <c r="S216" s="40">
        <v>284.76</v>
      </c>
      <c r="T216" s="25">
        <v>135.26</v>
      </c>
      <c r="U216" s="25">
        <v>541.04</v>
      </c>
      <c r="V216" s="25">
        <v>288.61</v>
      </c>
      <c r="W216" s="25">
        <v>1154.44</v>
      </c>
      <c r="X216" s="25">
        <v>8575</v>
      </c>
      <c r="Y216" s="25">
        <v>4287.5</v>
      </c>
      <c r="Z216" s="5">
        <v>5439.14</v>
      </c>
      <c r="AA216" s="21">
        <v>6674</v>
      </c>
    </row>
    <row r="217" spans="1:27">
      <c r="A217" s="34">
        <v>99801096</v>
      </c>
      <c r="B217" s="35" t="s">
        <v>245</v>
      </c>
      <c r="C217" s="36">
        <v>45</v>
      </c>
      <c r="D217" s="36">
        <v>2</v>
      </c>
      <c r="E217" s="36">
        <v>98299752</v>
      </c>
      <c r="F217" s="36" t="s">
        <v>2132</v>
      </c>
      <c r="G217" s="36">
        <v>91338020</v>
      </c>
      <c r="H217" s="36" t="s">
        <v>737</v>
      </c>
      <c r="I217" s="36"/>
      <c r="J217" s="36" t="s">
        <v>2099</v>
      </c>
      <c r="K217" s="36">
        <v>4</v>
      </c>
      <c r="L217" s="25">
        <v>16966</v>
      </c>
      <c r="M217" s="25">
        <v>8483</v>
      </c>
      <c r="N217" s="39"/>
      <c r="O217" s="39"/>
      <c r="P217" s="25"/>
      <c r="Q217" s="25"/>
      <c r="R217" s="25">
        <v>824.44</v>
      </c>
      <c r="S217" s="40">
        <v>284.76</v>
      </c>
      <c r="T217" s="25">
        <v>170.3</v>
      </c>
      <c r="U217" s="25">
        <v>681.2</v>
      </c>
      <c r="V217" s="25">
        <v>717.41</v>
      </c>
      <c r="W217" s="25">
        <v>2869.64</v>
      </c>
      <c r="X217" s="25">
        <v>16966</v>
      </c>
      <c r="Y217" s="25">
        <v>8483</v>
      </c>
      <c r="Z217" s="5">
        <v>9988.64</v>
      </c>
      <c r="AA217" s="21">
        <v>12256</v>
      </c>
    </row>
    <row r="218" spans="1:27">
      <c r="A218" s="34">
        <v>99796426</v>
      </c>
      <c r="B218" s="35" t="s">
        <v>244</v>
      </c>
      <c r="C218" s="36">
        <v>45</v>
      </c>
      <c r="D218" s="36">
        <v>2</v>
      </c>
      <c r="E218" s="36">
        <v>98299752</v>
      </c>
      <c r="F218" s="36" t="s">
        <v>2132</v>
      </c>
      <c r="G218" s="36">
        <v>91338020</v>
      </c>
      <c r="H218" s="36" t="s">
        <v>737</v>
      </c>
      <c r="I218" s="36"/>
      <c r="J218" s="36" t="s">
        <v>2099</v>
      </c>
      <c r="K218" s="36">
        <v>4</v>
      </c>
      <c r="L218" s="25">
        <v>18729</v>
      </c>
      <c r="M218" s="25">
        <v>9364.5</v>
      </c>
      <c r="N218" s="39"/>
      <c r="O218" s="39"/>
      <c r="P218" s="25"/>
      <c r="Q218" s="25"/>
      <c r="R218" s="25">
        <v>824.44</v>
      </c>
      <c r="S218" s="40">
        <v>284.76</v>
      </c>
      <c r="T218" s="25">
        <v>170.3</v>
      </c>
      <c r="U218" s="25">
        <v>681.2</v>
      </c>
      <c r="V218" s="25">
        <v>717.41</v>
      </c>
      <c r="W218" s="25">
        <v>2869.64</v>
      </c>
      <c r="X218" s="25">
        <v>18729</v>
      </c>
      <c r="Y218" s="25">
        <v>9364.5</v>
      </c>
      <c r="Z218" s="5">
        <v>10870.14</v>
      </c>
      <c r="AA218" s="21">
        <v>13338</v>
      </c>
    </row>
    <row r="219" spans="1:27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7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7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 spans="1:27">
      <c r="A222" s="37"/>
      <c r="B222" s="37"/>
      <c r="C222" s="37"/>
      <c r="D222" s="37"/>
      <c r="E222" s="37"/>
      <c r="F222" s="37"/>
      <c r="H222" s="37"/>
      <c r="J222" s="37"/>
      <c r="K222" s="37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 spans="1:27">
      <c r="A223" s="37"/>
      <c r="B223" s="37"/>
      <c r="C223" s="37"/>
      <c r="D223" s="37"/>
      <c r="E223" s="37"/>
      <c r="F223" s="53">
        <v>14123.25</v>
      </c>
      <c r="H223" s="8">
        <v>24260</v>
      </c>
      <c r="J223" s="37"/>
      <c r="K223" s="37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 spans="1:27">
      <c r="A224" s="37"/>
      <c r="B224" s="37"/>
      <c r="C224" s="37"/>
      <c r="D224" s="37"/>
      <c r="E224" s="37"/>
      <c r="F224" s="54">
        <v>11892</v>
      </c>
      <c r="H224" s="37">
        <f>H223/2</f>
        <v>12130</v>
      </c>
      <c r="J224" s="37"/>
      <c r="K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>
      <c r="A225" s="37"/>
      <c r="B225" s="37"/>
      <c r="C225" s="37"/>
      <c r="D225" s="37"/>
      <c r="E225" s="37"/>
      <c r="F225" s="53">
        <f>F223-F224</f>
        <v>2231.25</v>
      </c>
      <c r="G225" s="55"/>
      <c r="H225" s="53">
        <f>H224+F225</f>
        <v>14361.25</v>
      </c>
      <c r="I225" s="55"/>
      <c r="J225" s="37"/>
      <c r="K225" s="37"/>
      <c r="N225" s="39"/>
      <c r="O225" s="39"/>
      <c r="P225" s="39"/>
      <c r="Q225" s="39"/>
      <c r="R225" s="39"/>
      <c r="S225" s="39"/>
      <c r="T225" s="39"/>
      <c r="U225" s="25"/>
      <c r="V225" s="25"/>
      <c r="W225" s="25"/>
      <c r="X225" s="39"/>
      <c r="Y225" s="43"/>
    </row>
    <row r="226" spans="1:25">
      <c r="A226" s="37"/>
      <c r="B226" s="37"/>
      <c r="C226" s="37"/>
      <c r="D226" s="37"/>
      <c r="E226" s="37"/>
      <c r="F226" s="37"/>
      <c r="G226" s="37"/>
      <c r="H226" s="54">
        <v>1100</v>
      </c>
      <c r="I226" s="37"/>
      <c r="J226" s="37"/>
      <c r="K226" s="37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43"/>
    </row>
    <row r="227" spans="1:25">
      <c r="A227" s="37"/>
      <c r="B227" s="37"/>
      <c r="C227" s="37"/>
      <c r="D227" s="37"/>
      <c r="E227" s="37"/>
      <c r="F227" s="37"/>
      <c r="G227" s="37"/>
      <c r="H227" s="39">
        <v>919.80000000000007</v>
      </c>
      <c r="I227" s="37"/>
      <c r="J227" s="37"/>
      <c r="K227" s="37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43"/>
    </row>
    <row r="228" spans="1:25">
      <c r="A228" s="37"/>
      <c r="B228" s="37"/>
      <c r="C228" s="37"/>
      <c r="D228" s="37"/>
      <c r="E228" s="37"/>
      <c r="F228" s="37"/>
      <c r="G228" s="37"/>
      <c r="H228" s="53">
        <f>H225+H226+H227</f>
        <v>16381.05</v>
      </c>
      <c r="I228" s="37"/>
      <c r="J228" s="37"/>
      <c r="K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>
      <c r="A229" s="37"/>
      <c r="B229" s="37"/>
      <c r="C229" s="37"/>
      <c r="D229" s="37"/>
      <c r="E229" s="37"/>
      <c r="F229" s="37"/>
      <c r="G229" s="37"/>
      <c r="H229" s="55">
        <f>H228/0.815</f>
        <v>20099.447852760735</v>
      </c>
      <c r="I229" s="37"/>
      <c r="J229" s="37"/>
      <c r="K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 spans="1: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 spans="1: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 spans="1: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 spans="1: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 spans="1: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 spans="1: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 spans="1: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 spans="1: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 spans="1: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 spans="1: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 spans="1: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 spans="1: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 spans="1: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 spans="1: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 spans="1: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 spans="1: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 spans="1: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 spans="1: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 spans="1: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 spans="1: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 spans="1: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 spans="1: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 spans="1: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 spans="1: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 spans="1: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 spans="1: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 spans="1: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 spans="1: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 spans="1: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 spans="1: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 spans="1: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 spans="1: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 spans="1: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 spans="1: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 spans="1: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 spans="1: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 spans="1: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 spans="1: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 spans="1: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 spans="1: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 spans="1: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 spans="1: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 spans="1: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 spans="1: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 spans="1: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 spans="1: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 spans="1: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 spans="1: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 spans="1: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 spans="1: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 spans="1: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 spans="1: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 spans="1: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 spans="1: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 spans="1: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 spans="1: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 spans="1: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 spans="1: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 spans="1: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 spans="1: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 spans="1: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 spans="1: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 spans="1: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 spans="1: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 spans="1: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 spans="1: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 spans="1: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 spans="1: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 spans="1: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 spans="1: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 spans="1: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 spans="1: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 spans="1: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 spans="1: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 spans="1: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 spans="1: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 spans="1: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 spans="1: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 spans="1: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 spans="1: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 spans="1: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 spans="1: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 spans="1: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 spans="1: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 spans="1: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 spans="1: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 spans="1: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 spans="1: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 spans="1: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 spans="1: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 spans="1: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 spans="1: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 spans="1: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 spans="1: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 spans="1: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 spans="1: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 spans="1: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 spans="1: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 spans="1: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 spans="1: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 spans="1: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 spans="1: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 spans="1: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 spans="1: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 spans="1: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 spans="1: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 spans="1: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 spans="1: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 spans="1: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 spans="1: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 spans="1: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 spans="1: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 spans="1: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 spans="1: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 spans="1: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 spans="1: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 spans="1: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 spans="1: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 spans="1: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 spans="1: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 spans="1: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 spans="1: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 spans="1: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 spans="1: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 spans="1: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 spans="1: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 spans="1: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 spans="1: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 spans="1: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 spans="1: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 spans="1: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 spans="1: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 spans="1: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 spans="1: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 spans="1: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 spans="1: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 spans="1: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 spans="1: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 spans="1: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 spans="1: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 spans="1: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 spans="1: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 spans="1: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 spans="1: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 spans="1: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 spans="1: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 spans="1: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 spans="1: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 spans="1: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 spans="1: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 spans="1: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 spans="1: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 spans="1: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 spans="1: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 spans="1: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 spans="1: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 spans="1: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 spans="1: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 spans="1: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 spans="1: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 spans="1: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 spans="1: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 spans="1: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 spans="1: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 spans="1: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 spans="1: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 spans="1: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 spans="1: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 spans="1: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 spans="1: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 spans="1: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 spans="1: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 spans="1: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 spans="1: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 spans="1: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 spans="1: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 spans="1: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 spans="1: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 spans="1: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 spans="1: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 spans="1: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 spans="1: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 spans="1: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 spans="1: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 spans="1: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 spans="1: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 spans="1: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 spans="1: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 spans="1: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 spans="1: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 spans="1: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 spans="1: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 spans="1: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 spans="1: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 spans="1: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 spans="1: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 spans="1: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 spans="1: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 spans="1: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 spans="1: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 spans="1: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 spans="1: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 spans="1: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 spans="1: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 spans="1: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 spans="1: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 spans="1: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 spans="1: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 spans="1: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 spans="1: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 spans="1: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 spans="1: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 spans="1: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 spans="1: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 spans="1: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 spans="1: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 spans="1: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 spans="1: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 spans="1: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 spans="1: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 spans="1: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 spans="1: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 spans="1: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 spans="1: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 spans="1: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 spans="1: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 spans="1: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 spans="1: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 spans="1: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 spans="1: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 spans="1: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 spans="1: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 spans="1: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 spans="1: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 spans="1: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 spans="1: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 spans="1: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 spans="1: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 spans="1: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 spans="1: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 spans="1: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 spans="1: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 spans="1: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 spans="1: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 spans="1: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 spans="1: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 spans="1: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 spans="1: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 spans="1: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 spans="1: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 spans="1: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 spans="1: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 spans="1: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 spans="1: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 spans="1: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 spans="1: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 spans="1: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 spans="1: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 spans="1: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 spans="1: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 spans="1: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 spans="1: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 spans="1: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 spans="1: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 spans="1: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 spans="1: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 spans="1: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 spans="1: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 spans="1: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 spans="1: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 spans="1: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 spans="1: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 spans="1: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 spans="1: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 spans="1: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 spans="1: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 spans="1: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 spans="1: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 spans="1: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 spans="1: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 spans="1: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 spans="1: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 spans="1: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 spans="1: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 spans="1: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 spans="1: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 spans="1: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 spans="1: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 spans="1: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 spans="1: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 spans="1: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 spans="1: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 spans="1: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 spans="1: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 spans="1: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 spans="1: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 spans="1: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 spans="1: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 spans="1: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 spans="1: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 spans="1: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 spans="1: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 spans="1: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 spans="1: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 spans="1: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 spans="1: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 spans="1: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 spans="1: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 spans="1: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 spans="1: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 spans="1: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 spans="1: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 spans="1: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 spans="1: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 spans="1: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 spans="1: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 spans="1: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 spans="1: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 spans="1: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 spans="1: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 spans="1: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 spans="1: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 spans="1: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 spans="1: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 spans="1: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 spans="1: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 spans="1: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 spans="1: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 spans="1: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 spans="1: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 spans="1: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 spans="1: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 spans="1: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 spans="1: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 spans="1: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 spans="1: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 spans="1: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 spans="1: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 spans="1: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 spans="1: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 spans="1: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 spans="1: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 spans="1: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 spans="1: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 spans="1: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 spans="1: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 spans="1: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 spans="1: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 spans="1: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 spans="1: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 spans="1: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 spans="1: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 spans="1: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 spans="1: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 spans="1: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 spans="1: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 spans="1: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 spans="1: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 spans="1: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 spans="1: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 spans="1: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 spans="1: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 spans="1: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 spans="1: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 spans="1: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 spans="1: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 spans="1: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 spans="1: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 spans="1: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 spans="1: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 spans="1: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 spans="1: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 spans="1: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 spans="1: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 spans="1: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 spans="1: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 spans="1: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 spans="1: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 spans="1: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 spans="1: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 spans="1: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 spans="1: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 spans="1: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 spans="1: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 spans="1: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 spans="1: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 spans="1: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 spans="1: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 spans="1: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 spans="1: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 spans="1: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 spans="1: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 spans="1: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 spans="1: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 spans="1: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 spans="1: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 spans="1: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 spans="1: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 spans="1: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 spans="1: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 spans="1: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 spans="1: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 spans="1: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 spans="1: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 spans="1: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 spans="1: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 spans="1: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 spans="1: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 spans="1: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 spans="1: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 spans="1: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 spans="1: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 spans="1: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 spans="1: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 spans="1: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 spans="1: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 spans="1: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 spans="1: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 spans="1: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 spans="1: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 spans="1: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 spans="1: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 spans="1: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 spans="1: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 spans="1: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 spans="1: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 spans="1: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 spans="1: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 spans="1: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 spans="1: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 spans="1: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 spans="1: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 spans="1: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 spans="1: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 spans="1: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 spans="1: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 spans="1: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 spans="1: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 spans="1: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 spans="1: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 spans="1: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 spans="1: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 spans="1: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 spans="1: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 spans="1: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 spans="1: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  <row r="879" spans="1: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</row>
    <row r="880" spans="1: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</row>
    <row r="881" spans="1: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</row>
    <row r="882" spans="1: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</row>
    <row r="883" spans="1: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</row>
    <row r="884" spans="1: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</row>
    <row r="885" spans="1: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</row>
    <row r="886" spans="1: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</row>
    <row r="887" spans="1: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</row>
    <row r="888" spans="1: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</row>
    <row r="889" spans="1: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</row>
    <row r="890" spans="1: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</row>
    <row r="891" spans="1: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</row>
    <row r="892" spans="1: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</row>
    <row r="893" spans="1: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</row>
    <row r="894" spans="1: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</row>
    <row r="895" spans="1: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</row>
    <row r="896" spans="1: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</row>
    <row r="897" spans="1: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</row>
    <row r="898" spans="1: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</row>
    <row r="899" spans="1: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</row>
    <row r="900" spans="1: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</row>
    <row r="901" spans="1: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</row>
    <row r="902" spans="1: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</row>
    <row r="903" spans="1: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</row>
    <row r="904" spans="1: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</row>
    <row r="905" spans="1: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</row>
    <row r="906" spans="1: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</row>
    <row r="907" spans="1: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</row>
    <row r="908" spans="1: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</row>
    <row r="909" spans="1: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</row>
    <row r="910" spans="1: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</row>
    <row r="911" spans="1: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</row>
    <row r="912" spans="1: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</row>
    <row r="913" spans="1: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</row>
    <row r="914" spans="1: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</row>
    <row r="915" spans="1: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</row>
    <row r="916" spans="1: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</row>
    <row r="917" spans="1: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</row>
    <row r="918" spans="1: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</row>
    <row r="919" spans="1: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</row>
    <row r="920" spans="1: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</row>
    <row r="921" spans="1: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</row>
    <row r="922" spans="1: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</row>
    <row r="923" spans="1: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</row>
    <row r="924" spans="1: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</row>
    <row r="925" spans="1: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</row>
    <row r="926" spans="1: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</row>
    <row r="927" spans="1: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</row>
    <row r="928" spans="1: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</row>
    <row r="929" spans="1: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</row>
    <row r="930" spans="1: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</row>
    <row r="931" spans="1: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</row>
    <row r="932" spans="1: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</row>
    <row r="933" spans="1: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</row>
    <row r="934" spans="1: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</row>
    <row r="935" spans="1: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</row>
    <row r="936" spans="1: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</row>
    <row r="937" spans="1: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</row>
    <row r="938" spans="1: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</row>
    <row r="939" spans="1: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</row>
    <row r="940" spans="1: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</row>
    <row r="941" spans="1: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</row>
    <row r="942" spans="1: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</row>
    <row r="943" spans="1: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</row>
    <row r="944" spans="1: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</row>
    <row r="945" spans="1: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</row>
    <row r="946" spans="1: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</row>
    <row r="947" spans="1: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</row>
    <row r="948" spans="1: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</row>
    <row r="949" spans="1: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</row>
    <row r="950" spans="1: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</row>
    <row r="951" spans="1: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</row>
    <row r="952" spans="1: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</row>
    <row r="953" spans="1: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</row>
    <row r="954" spans="1: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</row>
    <row r="955" spans="1: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</row>
    <row r="956" spans="1: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</row>
    <row r="957" spans="1: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</row>
    <row r="958" spans="1: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</row>
    <row r="959" spans="1: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</row>
    <row r="960" spans="1: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</row>
    <row r="961" spans="1: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</row>
    <row r="962" spans="1: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</row>
    <row r="963" spans="1: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</row>
    <row r="964" spans="1: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</row>
    <row r="965" spans="1: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</row>
    <row r="966" spans="1: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</row>
    <row r="967" spans="1: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</row>
    <row r="968" spans="1: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</row>
    <row r="969" spans="1: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</row>
    <row r="970" spans="1: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</row>
    <row r="971" spans="1: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</row>
    <row r="972" spans="1: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</row>
    <row r="973" spans="1: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</row>
    <row r="974" spans="1: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</row>
    <row r="975" spans="1: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</row>
    <row r="976" spans="1: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</row>
    <row r="977" spans="1: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</row>
    <row r="978" spans="1: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</row>
    <row r="979" spans="1: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</row>
    <row r="980" spans="1:2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</row>
    <row r="981" spans="1:2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</row>
    <row r="982" spans="1:2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</row>
    <row r="983" spans="1:2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</row>
    <row r="984" spans="1:2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</row>
    <row r="985" spans="1:2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</row>
    <row r="986" spans="1:2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</row>
    <row r="987" spans="1:2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</row>
    <row r="988" spans="1:2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</row>
    <row r="989" spans="1:2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</row>
    <row r="990" spans="1:2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</row>
    <row r="991" spans="1:2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</row>
    <row r="992" spans="1:2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</row>
    <row r="993" spans="1:2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</row>
    <row r="994" spans="1:2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</row>
    <row r="995" spans="1:2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</row>
    <row r="996" spans="1:2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</row>
    <row r="997" spans="1:2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</row>
    <row r="998" spans="1:2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</row>
    <row r="999" spans="1:2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</row>
    <row r="1000" spans="1:2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45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2.5703125" defaultRowHeight="15.75" customHeight="1"/>
  <cols>
    <col min="2" max="2" width="17.140625" customWidth="1"/>
    <col min="6" max="6" width="14.7109375" customWidth="1"/>
    <col min="7" max="7" width="14.42578125" customWidth="1"/>
    <col min="8" max="8" width="16.42578125" customWidth="1"/>
    <col min="9" max="9" width="23" customWidth="1"/>
  </cols>
  <sheetData>
    <row r="1" spans="1:24" ht="15.75" customHeight="1">
      <c r="A1" s="31" t="s">
        <v>66</v>
      </c>
      <c r="B1" s="31" t="s">
        <v>8</v>
      </c>
      <c r="C1" s="56" t="s">
        <v>68</v>
      </c>
      <c r="D1" s="56" t="s">
        <v>67</v>
      </c>
      <c r="E1" s="56" t="s">
        <v>694</v>
      </c>
      <c r="F1" s="56" t="s">
        <v>695</v>
      </c>
      <c r="G1" s="56" t="s">
        <v>730</v>
      </c>
      <c r="H1" s="56" t="s">
        <v>697</v>
      </c>
      <c r="I1" s="56" t="s">
        <v>698</v>
      </c>
      <c r="J1" s="56" t="s">
        <v>699</v>
      </c>
      <c r="K1" s="57" t="s">
        <v>700</v>
      </c>
      <c r="L1" s="58" t="s">
        <v>701</v>
      </c>
      <c r="M1" s="58" t="s">
        <v>288</v>
      </c>
      <c r="N1" s="33" t="s">
        <v>702</v>
      </c>
      <c r="O1" s="33" t="s">
        <v>703</v>
      </c>
      <c r="P1" s="33" t="s">
        <v>704</v>
      </c>
      <c r="Q1" s="33" t="s">
        <v>705</v>
      </c>
      <c r="R1" s="58" t="s">
        <v>706</v>
      </c>
      <c r="S1" s="33" t="s">
        <v>707</v>
      </c>
      <c r="T1" s="33" t="s">
        <v>708</v>
      </c>
      <c r="U1" s="33" t="s">
        <v>709</v>
      </c>
      <c r="V1" s="33" t="s">
        <v>710</v>
      </c>
      <c r="W1" s="33" t="s">
        <v>711</v>
      </c>
      <c r="X1" s="33" t="s">
        <v>731</v>
      </c>
    </row>
    <row r="2" spans="1:24">
      <c r="A2" s="7">
        <v>93030793</v>
      </c>
      <c r="B2" s="7" t="s">
        <v>289</v>
      </c>
      <c r="C2" s="7">
        <v>30</v>
      </c>
      <c r="D2" s="7">
        <v>4</v>
      </c>
      <c r="E2" s="59">
        <v>91338088</v>
      </c>
      <c r="F2" s="7" t="s">
        <v>732</v>
      </c>
      <c r="G2" s="7">
        <v>91338019</v>
      </c>
      <c r="H2" s="7" t="s">
        <v>733</v>
      </c>
      <c r="K2" s="7">
        <v>4</v>
      </c>
      <c r="L2" s="21">
        <v>13609.67</v>
      </c>
      <c r="M2" s="21">
        <f t="shared" ref="M2:M256" si="0">L2/2</f>
        <v>6804.835</v>
      </c>
      <c r="R2" s="5">
        <f>VLOOKUP(E2,'Inertia Bases 2025'!$A:$H,8,0)</f>
        <v>547.49</v>
      </c>
      <c r="S2" s="5"/>
      <c r="T2" s="5">
        <f>VLOOKUP(G2,'Seismic Springs 2025'!$A:$I,9,0)</f>
        <v>170.3</v>
      </c>
      <c r="U2" s="5">
        <f t="shared" ref="U2:U171" si="1">T2*K2</f>
        <v>681.2</v>
      </c>
    </row>
    <row r="3" spans="1:24">
      <c r="A3" s="7">
        <v>93030794</v>
      </c>
      <c r="B3" s="7" t="s">
        <v>290</v>
      </c>
      <c r="C3" s="7">
        <v>11</v>
      </c>
      <c r="D3" s="7">
        <v>4</v>
      </c>
      <c r="E3" s="59">
        <v>99051549</v>
      </c>
      <c r="F3" s="7" t="s">
        <v>734</v>
      </c>
      <c r="G3" s="7">
        <v>91338018</v>
      </c>
      <c r="H3" s="7" t="s">
        <v>735</v>
      </c>
      <c r="K3" s="7">
        <v>4</v>
      </c>
      <c r="L3" s="21">
        <v>10146.19</v>
      </c>
      <c r="M3" s="21">
        <f t="shared" si="0"/>
        <v>5073.0950000000003</v>
      </c>
      <c r="R3" s="5">
        <f>VLOOKUP(E3,'Inertia Bases 2025'!$A:$H,8,0)</f>
        <v>525.59</v>
      </c>
      <c r="S3" s="5"/>
      <c r="T3" s="5">
        <f>VLOOKUP(G3,'Seismic Springs 2025'!$A:$I,9,0)</f>
        <v>170.3</v>
      </c>
      <c r="U3" s="5">
        <f t="shared" si="1"/>
        <v>681.2</v>
      </c>
    </row>
    <row r="4" spans="1:24">
      <c r="A4" s="7">
        <v>93030795</v>
      </c>
      <c r="B4" s="7" t="s">
        <v>291</v>
      </c>
      <c r="C4" s="7">
        <v>37</v>
      </c>
      <c r="D4" s="7">
        <v>4</v>
      </c>
      <c r="E4" s="59"/>
      <c r="L4" s="21">
        <v>17265.150000000001</v>
      </c>
      <c r="M4" s="21">
        <f t="shared" si="0"/>
        <v>8632.5750000000007</v>
      </c>
      <c r="R4" s="5" t="e">
        <f>VLOOKUP(E4,'Inertia Bases 2025'!$A:$H,8,0)</f>
        <v>#N/A</v>
      </c>
      <c r="S4" s="5"/>
      <c r="T4" s="5" t="e">
        <f>VLOOKUP(G4,'Seismic Springs 2025'!$A:$I,9,0)</f>
        <v>#N/A</v>
      </c>
      <c r="U4" s="5" t="e">
        <f t="shared" si="1"/>
        <v>#N/A</v>
      </c>
    </row>
    <row r="5" spans="1:24">
      <c r="A5" s="7">
        <v>93030796</v>
      </c>
      <c r="B5" s="7" t="s">
        <v>292</v>
      </c>
      <c r="C5" s="7">
        <v>30</v>
      </c>
      <c r="D5" s="7">
        <v>4</v>
      </c>
      <c r="E5" s="59">
        <v>92792038</v>
      </c>
      <c r="F5" s="7" t="s">
        <v>736</v>
      </c>
      <c r="G5" s="7">
        <v>91338020</v>
      </c>
      <c r="H5" s="7" t="s">
        <v>737</v>
      </c>
      <c r="K5" s="7">
        <v>4</v>
      </c>
      <c r="L5" s="21">
        <v>14226.58</v>
      </c>
      <c r="M5" s="21">
        <f t="shared" si="0"/>
        <v>7113.29</v>
      </c>
      <c r="R5" s="5">
        <f>VLOOKUP(E5,'Inertia Bases 2025'!$A:$H,8,0)</f>
        <v>780.65</v>
      </c>
      <c r="S5" s="5"/>
      <c r="T5" s="5">
        <f>VLOOKUP(G5,'Seismic Springs 2025'!$A:$I,9,0)</f>
        <v>170.3</v>
      </c>
      <c r="U5" s="5">
        <f t="shared" si="1"/>
        <v>681.2</v>
      </c>
    </row>
    <row r="6" spans="1:24">
      <c r="A6" s="7">
        <v>93030797</v>
      </c>
      <c r="B6" s="7" t="s">
        <v>293</v>
      </c>
      <c r="C6" s="7">
        <v>55</v>
      </c>
      <c r="D6" s="7">
        <v>4</v>
      </c>
      <c r="E6" s="59" t="s">
        <v>738</v>
      </c>
      <c r="F6" s="7" t="s">
        <v>739</v>
      </c>
      <c r="G6" s="7">
        <v>91338020</v>
      </c>
      <c r="H6" s="7" t="s">
        <v>737</v>
      </c>
      <c r="K6" s="7">
        <v>6</v>
      </c>
      <c r="L6" s="21">
        <v>25256.92</v>
      </c>
      <c r="M6" s="21">
        <f t="shared" si="0"/>
        <v>12628.46</v>
      </c>
      <c r="R6" s="5">
        <f>VLOOKUP(E6,'Inertia Bases 2025'!$A:$H,8,0)</f>
        <v>1550</v>
      </c>
      <c r="S6" s="5"/>
      <c r="T6" s="5">
        <f>VLOOKUP(G6,'Seismic Springs 2025'!$A:$I,9,0)</f>
        <v>170.3</v>
      </c>
      <c r="U6" s="5">
        <f t="shared" si="1"/>
        <v>1021.8000000000001</v>
      </c>
    </row>
    <row r="7" spans="1:24">
      <c r="A7" s="7">
        <v>93030798</v>
      </c>
      <c r="B7" s="7" t="s">
        <v>294</v>
      </c>
      <c r="C7" s="7">
        <v>22</v>
      </c>
      <c r="D7" s="7">
        <v>4</v>
      </c>
      <c r="E7" s="59">
        <v>91338088</v>
      </c>
      <c r="F7" s="7" t="s">
        <v>732</v>
      </c>
      <c r="G7" s="7">
        <v>91338019</v>
      </c>
      <c r="H7" s="7" t="s">
        <v>733</v>
      </c>
      <c r="K7" s="7">
        <v>4</v>
      </c>
      <c r="L7" s="21">
        <v>12765.38</v>
      </c>
      <c r="M7" s="21">
        <f t="shared" si="0"/>
        <v>6382.69</v>
      </c>
      <c r="R7" s="5">
        <f>VLOOKUP(E7,'Inertia Bases 2025'!$A:$H,8,0)</f>
        <v>547.49</v>
      </c>
      <c r="S7" s="5"/>
      <c r="T7" s="5">
        <f>VLOOKUP(G7,'Seismic Springs 2025'!$A:$I,9,0)</f>
        <v>170.3</v>
      </c>
      <c r="U7" s="5">
        <f t="shared" si="1"/>
        <v>681.2</v>
      </c>
    </row>
    <row r="8" spans="1:24">
      <c r="A8" s="7">
        <v>93030799</v>
      </c>
      <c r="B8" s="7" t="s">
        <v>295</v>
      </c>
      <c r="C8" s="7">
        <v>30</v>
      </c>
      <c r="D8" s="7">
        <v>4</v>
      </c>
      <c r="E8" s="59">
        <v>91338088</v>
      </c>
      <c r="F8" s="7" t="s">
        <v>732</v>
      </c>
      <c r="G8" s="7">
        <v>91338019</v>
      </c>
      <c r="H8" s="7" t="s">
        <v>733</v>
      </c>
      <c r="K8" s="7">
        <v>4</v>
      </c>
      <c r="L8" s="21">
        <v>14899.28</v>
      </c>
      <c r="M8" s="21">
        <f t="shared" si="0"/>
        <v>7449.64</v>
      </c>
      <c r="R8" s="5">
        <f>VLOOKUP(E8,'Inertia Bases 2025'!$A:$H,8,0)</f>
        <v>547.49</v>
      </c>
      <c r="S8" s="5"/>
      <c r="T8" s="5">
        <f>VLOOKUP(G8,'Seismic Springs 2025'!$A:$I,9,0)</f>
        <v>170.3</v>
      </c>
      <c r="U8" s="5">
        <f t="shared" si="1"/>
        <v>681.2</v>
      </c>
    </row>
    <row r="9" spans="1:24">
      <c r="A9" s="7">
        <v>93055390</v>
      </c>
      <c r="B9" s="7" t="s">
        <v>296</v>
      </c>
      <c r="C9" s="7">
        <v>11</v>
      </c>
      <c r="D9" s="7">
        <v>2</v>
      </c>
      <c r="E9" s="59"/>
      <c r="L9" s="21">
        <v>6147.48</v>
      </c>
      <c r="M9" s="21">
        <f t="shared" si="0"/>
        <v>3073.74</v>
      </c>
      <c r="R9" s="5" t="e">
        <f>VLOOKUP(E9,'Inertia Bases 2025'!$A:$H,8,0)</f>
        <v>#N/A</v>
      </c>
      <c r="S9" s="5"/>
      <c r="T9" s="5" t="e">
        <f>VLOOKUP(G9,'Seismic Springs 2025'!$A:$I,9,0)</f>
        <v>#N/A</v>
      </c>
      <c r="U9" s="5" t="e">
        <f t="shared" si="1"/>
        <v>#N/A</v>
      </c>
    </row>
    <row r="10" spans="1:24">
      <c r="A10" s="7">
        <v>93055392</v>
      </c>
      <c r="B10" s="7" t="s">
        <v>297</v>
      </c>
      <c r="C10" s="7">
        <v>7.5</v>
      </c>
      <c r="D10" s="7">
        <v>2</v>
      </c>
      <c r="E10" s="59">
        <v>91338257</v>
      </c>
      <c r="F10" s="7" t="s">
        <v>740</v>
      </c>
      <c r="G10" s="7">
        <v>92932673</v>
      </c>
      <c r="H10" s="7" t="s">
        <v>741</v>
      </c>
      <c r="K10" s="7">
        <v>4</v>
      </c>
      <c r="L10" s="21">
        <v>5223.83</v>
      </c>
      <c r="M10" s="21">
        <f t="shared" si="0"/>
        <v>2611.915</v>
      </c>
      <c r="R10" s="5">
        <f>VLOOKUP(E10,'Inertia Bases 2025'!$A:$H,8,0)</f>
        <v>653.11</v>
      </c>
      <c r="S10" s="5"/>
      <c r="T10" s="5">
        <f>VLOOKUP(G10,'Seismic Springs 2025'!$A:$I,9,0)</f>
        <v>66.3</v>
      </c>
      <c r="U10" s="5">
        <f t="shared" si="1"/>
        <v>265.2</v>
      </c>
    </row>
    <row r="11" spans="1:24">
      <c r="A11" s="7">
        <v>93055393</v>
      </c>
      <c r="B11" s="7" t="s">
        <v>298</v>
      </c>
      <c r="C11" s="7">
        <v>5.5</v>
      </c>
      <c r="D11" s="7">
        <v>2</v>
      </c>
      <c r="E11" s="59"/>
      <c r="L11" s="21">
        <v>4934.38</v>
      </c>
      <c r="M11" s="21">
        <f t="shared" si="0"/>
        <v>2467.19</v>
      </c>
      <c r="R11" s="5" t="e">
        <f>VLOOKUP(E11,'Inertia Bases 2025'!$A:$H,8,0)</f>
        <v>#N/A</v>
      </c>
      <c r="S11" s="5"/>
      <c r="T11" s="5" t="e">
        <f>VLOOKUP(G11,'Seismic Springs 2025'!$A:$I,9,0)</f>
        <v>#N/A</v>
      </c>
      <c r="U11" s="5" t="e">
        <f t="shared" si="1"/>
        <v>#N/A</v>
      </c>
    </row>
    <row r="12" spans="1:24">
      <c r="A12" s="7">
        <v>93055394</v>
      </c>
      <c r="B12" s="7" t="s">
        <v>299</v>
      </c>
      <c r="C12" s="7">
        <v>4</v>
      </c>
      <c r="D12" s="7">
        <v>2</v>
      </c>
      <c r="E12" s="59">
        <v>92513065</v>
      </c>
      <c r="F12" s="7" t="s">
        <v>742</v>
      </c>
      <c r="G12" s="7">
        <v>92932673</v>
      </c>
      <c r="H12" s="7" t="s">
        <v>741</v>
      </c>
      <c r="K12" s="7">
        <v>4</v>
      </c>
      <c r="L12" s="21">
        <v>4552.8900000000003</v>
      </c>
      <c r="M12" s="21">
        <f t="shared" si="0"/>
        <v>2276.4450000000002</v>
      </c>
      <c r="R12" s="5">
        <f>VLOOKUP(E12,'Inertia Bases 2025'!$A:$H,8,0)</f>
        <v>610.6</v>
      </c>
      <c r="S12" s="5"/>
      <c r="T12" s="5">
        <f>VLOOKUP(G12,'Seismic Springs 2025'!$A:$I,9,0)</f>
        <v>66.3</v>
      </c>
      <c r="U12" s="5">
        <f t="shared" si="1"/>
        <v>265.2</v>
      </c>
    </row>
    <row r="13" spans="1:24">
      <c r="A13" s="7">
        <v>93055395</v>
      </c>
      <c r="B13" s="7" t="s">
        <v>300</v>
      </c>
      <c r="C13" s="7">
        <v>3</v>
      </c>
      <c r="D13" s="7">
        <v>2</v>
      </c>
      <c r="E13" s="59"/>
      <c r="L13" s="21">
        <v>4304.53</v>
      </c>
      <c r="M13" s="21">
        <f t="shared" si="0"/>
        <v>2152.2649999999999</v>
      </c>
      <c r="R13" s="5" t="e">
        <f>VLOOKUP(E13,'Inertia Bases 2025'!$A:$H,8,0)</f>
        <v>#N/A</v>
      </c>
      <c r="S13" s="5"/>
      <c r="T13" s="5" t="e">
        <f>VLOOKUP(G13,'Seismic Springs 2025'!$A:$I,9,0)</f>
        <v>#N/A</v>
      </c>
      <c r="U13" s="5" t="e">
        <f t="shared" si="1"/>
        <v>#N/A</v>
      </c>
    </row>
    <row r="14" spans="1:24">
      <c r="A14" s="7">
        <v>93055396</v>
      </c>
      <c r="B14" s="7" t="s">
        <v>301</v>
      </c>
      <c r="C14" s="7">
        <v>2.2000000000000002</v>
      </c>
      <c r="D14" s="7">
        <v>2</v>
      </c>
      <c r="E14" s="59"/>
      <c r="L14" s="21">
        <v>4004.36</v>
      </c>
      <c r="M14" s="21">
        <f t="shared" si="0"/>
        <v>2002.18</v>
      </c>
      <c r="R14" s="5" t="e">
        <f>VLOOKUP(E14,'Inertia Bases 2025'!$A:$H,8,0)</f>
        <v>#N/A</v>
      </c>
      <c r="S14" s="5"/>
      <c r="T14" s="5" t="e">
        <f>VLOOKUP(G14,'Seismic Springs 2025'!$A:$I,9,0)</f>
        <v>#N/A</v>
      </c>
      <c r="U14" s="5" t="e">
        <f t="shared" si="1"/>
        <v>#N/A</v>
      </c>
    </row>
    <row r="15" spans="1:24">
      <c r="A15" s="7">
        <v>93055397</v>
      </c>
      <c r="B15" s="7" t="s">
        <v>296</v>
      </c>
      <c r="C15" s="7">
        <v>1.1000000000000001</v>
      </c>
      <c r="D15" s="7">
        <v>4</v>
      </c>
      <c r="E15" s="59"/>
      <c r="L15" s="21">
        <v>3942.55</v>
      </c>
      <c r="M15" s="21">
        <f t="shared" si="0"/>
        <v>1971.2750000000001</v>
      </c>
      <c r="R15" s="5" t="e">
        <f>VLOOKUP(E15,'Inertia Bases 2025'!$A:$H,8,0)</f>
        <v>#N/A</v>
      </c>
      <c r="S15" s="5"/>
      <c r="T15" s="5" t="e">
        <f>VLOOKUP(G15,'Seismic Springs 2025'!$A:$I,9,0)</f>
        <v>#N/A</v>
      </c>
      <c r="U15" s="5" t="e">
        <f t="shared" si="1"/>
        <v>#N/A</v>
      </c>
    </row>
    <row r="16" spans="1:24">
      <c r="A16" s="7">
        <v>93055398</v>
      </c>
      <c r="B16" s="7" t="s">
        <v>302</v>
      </c>
      <c r="C16" s="7">
        <v>0.75</v>
      </c>
      <c r="D16" s="7">
        <v>4</v>
      </c>
      <c r="E16" s="59"/>
      <c r="L16" s="21">
        <v>3744.24</v>
      </c>
      <c r="M16" s="21">
        <f t="shared" si="0"/>
        <v>1872.12</v>
      </c>
      <c r="R16" s="5" t="e">
        <f>VLOOKUP(E16,'Inertia Bases 2025'!$A:$H,8,0)</f>
        <v>#N/A</v>
      </c>
      <c r="S16" s="5"/>
      <c r="T16" s="5" t="e">
        <f>VLOOKUP(G16,'Seismic Springs 2025'!$A:$I,9,0)</f>
        <v>#N/A</v>
      </c>
      <c r="U16" s="5" t="e">
        <f t="shared" si="1"/>
        <v>#N/A</v>
      </c>
    </row>
    <row r="17" spans="1:21">
      <c r="A17" s="7">
        <v>93055399</v>
      </c>
      <c r="B17" s="7" t="s">
        <v>303</v>
      </c>
      <c r="C17" s="7">
        <v>0.55000000000000004</v>
      </c>
      <c r="D17" s="7">
        <v>4</v>
      </c>
      <c r="E17" s="59"/>
      <c r="L17" s="21">
        <v>3671.32</v>
      </c>
      <c r="M17" s="21">
        <f t="shared" si="0"/>
        <v>1835.66</v>
      </c>
      <c r="R17" s="5" t="e">
        <f>VLOOKUP(E17,'Inertia Bases 2025'!$A:$H,8,0)</f>
        <v>#N/A</v>
      </c>
      <c r="S17" s="5"/>
      <c r="T17" s="5" t="e">
        <f>VLOOKUP(G17,'Seismic Springs 2025'!$A:$I,9,0)</f>
        <v>#N/A</v>
      </c>
      <c r="U17" s="5" t="e">
        <f t="shared" si="1"/>
        <v>#N/A</v>
      </c>
    </row>
    <row r="18" spans="1:21">
      <c r="A18" s="7">
        <v>93055400</v>
      </c>
      <c r="B18" s="7" t="s">
        <v>304</v>
      </c>
      <c r="C18" s="7">
        <v>0.37</v>
      </c>
      <c r="D18" s="7">
        <v>4</v>
      </c>
      <c r="E18" s="59"/>
      <c r="L18" s="21">
        <v>3433.98</v>
      </c>
      <c r="M18" s="21">
        <f t="shared" si="0"/>
        <v>1716.99</v>
      </c>
      <c r="R18" s="5" t="e">
        <f>VLOOKUP(E18,'Inertia Bases 2025'!$A:$H,8,0)</f>
        <v>#N/A</v>
      </c>
      <c r="S18" s="5"/>
      <c r="T18" s="5" t="e">
        <f>VLOOKUP(G18,'Seismic Springs 2025'!$A:$I,9,0)</f>
        <v>#N/A</v>
      </c>
      <c r="U18" s="5" t="e">
        <f t="shared" si="1"/>
        <v>#N/A</v>
      </c>
    </row>
    <row r="19" spans="1:21">
      <c r="A19" s="7">
        <v>93055401</v>
      </c>
      <c r="B19" s="7" t="s">
        <v>305</v>
      </c>
      <c r="C19" s="7">
        <v>18.5</v>
      </c>
      <c r="D19" s="7">
        <v>2</v>
      </c>
      <c r="E19" s="59"/>
      <c r="L19" s="21">
        <v>7133.1</v>
      </c>
      <c r="M19" s="21">
        <f t="shared" si="0"/>
        <v>3566.55</v>
      </c>
      <c r="R19" s="5" t="e">
        <f>VLOOKUP(E19,'Inertia Bases 2025'!$A:$H,8,0)</f>
        <v>#N/A</v>
      </c>
      <c r="S19" s="5"/>
      <c r="T19" s="5" t="e">
        <f>VLOOKUP(G19,'Seismic Springs 2025'!$A:$I,9,0)</f>
        <v>#N/A</v>
      </c>
      <c r="U19" s="5" t="e">
        <f t="shared" si="1"/>
        <v>#N/A</v>
      </c>
    </row>
    <row r="20" spans="1:21">
      <c r="A20" s="7">
        <v>93055402</v>
      </c>
      <c r="B20" s="7" t="s">
        <v>306</v>
      </c>
      <c r="C20" s="7">
        <v>15</v>
      </c>
      <c r="D20" s="7">
        <v>2</v>
      </c>
      <c r="E20" s="59"/>
      <c r="L20" s="21">
        <v>6876.54</v>
      </c>
      <c r="M20" s="21">
        <f t="shared" si="0"/>
        <v>3438.27</v>
      </c>
      <c r="R20" s="5" t="e">
        <f>VLOOKUP(E20,'Inertia Bases 2025'!$A:$H,8,0)</f>
        <v>#N/A</v>
      </c>
      <c r="S20" s="5"/>
      <c r="T20" s="5" t="e">
        <f>VLOOKUP(G20,'Seismic Springs 2025'!$A:$I,9,0)</f>
        <v>#N/A</v>
      </c>
      <c r="U20" s="5" t="e">
        <f t="shared" si="1"/>
        <v>#N/A</v>
      </c>
    </row>
    <row r="21" spans="1:21">
      <c r="A21" s="7">
        <v>93055403</v>
      </c>
      <c r="B21" s="7" t="s">
        <v>307</v>
      </c>
      <c r="C21" s="7">
        <v>11</v>
      </c>
      <c r="D21" s="7">
        <v>2</v>
      </c>
      <c r="E21" s="59">
        <v>91338087</v>
      </c>
      <c r="F21" s="7" t="s">
        <v>743</v>
      </c>
      <c r="G21" s="7">
        <v>91338157</v>
      </c>
      <c r="H21" s="7" t="s">
        <v>744</v>
      </c>
      <c r="K21" s="7">
        <v>4</v>
      </c>
      <c r="L21" s="21">
        <v>6633.58</v>
      </c>
      <c r="M21" s="21">
        <f t="shared" si="0"/>
        <v>3316.79</v>
      </c>
      <c r="R21" s="5">
        <f>VLOOKUP(E21,'Inertia Bases 2025'!$A:$H,8,0)</f>
        <v>541.04</v>
      </c>
      <c r="S21" s="5"/>
      <c r="T21" s="5">
        <f>VLOOKUP(G21,'Seismic Springs 2025'!$A:$I,9,0)</f>
        <v>66.3</v>
      </c>
      <c r="U21" s="5">
        <f t="shared" si="1"/>
        <v>265.2</v>
      </c>
    </row>
    <row r="22" spans="1:21">
      <c r="A22" s="7">
        <v>93055404</v>
      </c>
      <c r="B22" s="7" t="s">
        <v>308</v>
      </c>
      <c r="C22" s="7">
        <v>7.5</v>
      </c>
      <c r="D22" s="7">
        <v>2</v>
      </c>
      <c r="E22" s="59"/>
      <c r="L22" s="21">
        <v>5598.53</v>
      </c>
      <c r="M22" s="21">
        <f t="shared" si="0"/>
        <v>2799.2649999999999</v>
      </c>
      <c r="R22" s="5" t="e">
        <f>VLOOKUP(E22,'Inertia Bases 2025'!$A:$H,8,0)</f>
        <v>#N/A</v>
      </c>
      <c r="S22" s="5"/>
      <c r="T22" s="5" t="e">
        <f>VLOOKUP(G22,'Seismic Springs 2025'!$A:$I,9,0)</f>
        <v>#N/A</v>
      </c>
      <c r="U22" s="5" t="e">
        <f t="shared" si="1"/>
        <v>#N/A</v>
      </c>
    </row>
    <row r="23" spans="1:21">
      <c r="A23" s="7">
        <v>93055405</v>
      </c>
      <c r="B23" s="7" t="s">
        <v>309</v>
      </c>
      <c r="C23" s="7">
        <v>5.5</v>
      </c>
      <c r="D23" s="7">
        <v>2</v>
      </c>
      <c r="E23" s="59"/>
      <c r="L23" s="21">
        <v>5320.18</v>
      </c>
      <c r="M23" s="21">
        <f t="shared" si="0"/>
        <v>2660.09</v>
      </c>
      <c r="R23" s="5" t="e">
        <f>VLOOKUP(E23,'Inertia Bases 2025'!$A:$H,8,0)</f>
        <v>#N/A</v>
      </c>
      <c r="S23" s="5"/>
      <c r="T23" s="5" t="e">
        <f>VLOOKUP(G23,'Seismic Springs 2025'!$A:$I,9,0)</f>
        <v>#N/A</v>
      </c>
      <c r="U23" s="5" t="e">
        <f t="shared" si="1"/>
        <v>#N/A</v>
      </c>
    </row>
    <row r="24" spans="1:21">
      <c r="A24" s="7">
        <v>93055406</v>
      </c>
      <c r="B24" s="7" t="s">
        <v>305</v>
      </c>
      <c r="C24" s="7">
        <v>2.2000000000000002</v>
      </c>
      <c r="D24" s="7">
        <v>4</v>
      </c>
      <c r="E24" s="59"/>
      <c r="L24" s="21">
        <v>4748.32</v>
      </c>
      <c r="M24" s="21">
        <f t="shared" si="0"/>
        <v>2374.16</v>
      </c>
      <c r="R24" s="5" t="e">
        <f>VLOOKUP(E24,'Inertia Bases 2025'!$A:$H,8,0)</f>
        <v>#N/A</v>
      </c>
      <c r="S24" s="5"/>
      <c r="T24" s="5" t="e">
        <f>VLOOKUP(G24,'Seismic Springs 2025'!$A:$I,9,0)</f>
        <v>#N/A</v>
      </c>
      <c r="U24" s="5" t="e">
        <f t="shared" si="1"/>
        <v>#N/A</v>
      </c>
    </row>
    <row r="25" spans="1:21">
      <c r="A25" s="7">
        <v>93055407</v>
      </c>
      <c r="B25" s="7" t="s">
        <v>310</v>
      </c>
      <c r="C25" s="7">
        <v>1.5</v>
      </c>
      <c r="D25" s="7">
        <v>4</v>
      </c>
      <c r="E25" s="59"/>
      <c r="L25" s="21">
        <v>4491.34</v>
      </c>
      <c r="M25" s="21">
        <f t="shared" si="0"/>
        <v>2245.67</v>
      </c>
      <c r="R25" s="5" t="e">
        <f>VLOOKUP(E25,'Inertia Bases 2025'!$A:$H,8,0)</f>
        <v>#N/A</v>
      </c>
      <c r="S25" s="5"/>
      <c r="T25" s="5" t="e">
        <f>VLOOKUP(G25,'Seismic Springs 2025'!$A:$I,9,0)</f>
        <v>#N/A</v>
      </c>
      <c r="U25" s="5" t="e">
        <f t="shared" si="1"/>
        <v>#N/A</v>
      </c>
    </row>
    <row r="26" spans="1:21">
      <c r="A26" s="7">
        <v>93055408</v>
      </c>
      <c r="B26" s="7" t="s">
        <v>311</v>
      </c>
      <c r="C26" s="7">
        <v>1.1000000000000001</v>
      </c>
      <c r="D26" s="7">
        <v>4</v>
      </c>
      <c r="E26" s="59"/>
      <c r="L26" s="21">
        <v>4436.0600000000004</v>
      </c>
      <c r="M26" s="21">
        <f t="shared" si="0"/>
        <v>2218.0300000000002</v>
      </c>
      <c r="R26" s="5" t="e">
        <f>VLOOKUP(E26,'Inertia Bases 2025'!$A:$H,8,0)</f>
        <v>#N/A</v>
      </c>
      <c r="S26" s="5"/>
      <c r="T26" s="5" t="e">
        <f>VLOOKUP(G26,'Seismic Springs 2025'!$A:$I,9,0)</f>
        <v>#N/A</v>
      </c>
      <c r="U26" s="5" t="e">
        <f t="shared" si="1"/>
        <v>#N/A</v>
      </c>
    </row>
    <row r="27" spans="1:21">
      <c r="A27" s="7">
        <v>93055409</v>
      </c>
      <c r="B27" s="7" t="s">
        <v>312</v>
      </c>
      <c r="C27" s="7">
        <v>0.75</v>
      </c>
      <c r="D27" s="7">
        <v>4</v>
      </c>
      <c r="E27" s="59"/>
      <c r="L27" s="21">
        <v>4122.63</v>
      </c>
      <c r="M27" s="21">
        <f t="shared" si="0"/>
        <v>2061.3150000000001</v>
      </c>
      <c r="R27" s="5" t="e">
        <f>VLOOKUP(E27,'Inertia Bases 2025'!$A:$H,8,0)</f>
        <v>#N/A</v>
      </c>
      <c r="S27" s="5"/>
      <c r="T27" s="5" t="e">
        <f>VLOOKUP(G27,'Seismic Springs 2025'!$A:$I,9,0)</f>
        <v>#N/A</v>
      </c>
      <c r="U27" s="5" t="e">
        <f t="shared" si="1"/>
        <v>#N/A</v>
      </c>
    </row>
    <row r="28" spans="1:21">
      <c r="A28" s="7">
        <v>93055411</v>
      </c>
      <c r="B28" s="7" t="s">
        <v>313</v>
      </c>
      <c r="C28" s="7">
        <v>0.55000000000000004</v>
      </c>
      <c r="D28" s="7">
        <v>4</v>
      </c>
      <c r="E28" s="59"/>
      <c r="L28" s="21">
        <v>4038.53</v>
      </c>
      <c r="M28" s="21">
        <f t="shared" si="0"/>
        <v>2019.2650000000001</v>
      </c>
      <c r="R28" s="5" t="e">
        <f>VLOOKUP(E28,'Inertia Bases 2025'!$A:$H,8,0)</f>
        <v>#N/A</v>
      </c>
      <c r="S28" s="5"/>
      <c r="T28" s="5" t="e">
        <f>VLOOKUP(G28,'Seismic Springs 2025'!$A:$I,9,0)</f>
        <v>#N/A</v>
      </c>
      <c r="U28" s="5" t="e">
        <f t="shared" si="1"/>
        <v>#N/A</v>
      </c>
    </row>
    <row r="29" spans="1:21">
      <c r="A29" s="7">
        <v>93055413</v>
      </c>
      <c r="B29" s="7" t="s">
        <v>314</v>
      </c>
      <c r="C29" s="7">
        <v>22</v>
      </c>
      <c r="D29" s="7">
        <v>2</v>
      </c>
      <c r="E29" s="59"/>
      <c r="L29" s="21">
        <v>7784.02</v>
      </c>
      <c r="M29" s="21">
        <f t="shared" si="0"/>
        <v>3892.01</v>
      </c>
      <c r="R29" s="5" t="e">
        <f>VLOOKUP(E29,'Inertia Bases 2025'!$A:$H,8,0)</f>
        <v>#N/A</v>
      </c>
      <c r="S29" s="5"/>
      <c r="T29" s="5" t="e">
        <f>VLOOKUP(G29,'Seismic Springs 2025'!$A:$I,9,0)</f>
        <v>#N/A</v>
      </c>
      <c r="U29" s="5" t="e">
        <f t="shared" si="1"/>
        <v>#N/A</v>
      </c>
    </row>
    <row r="30" spans="1:21">
      <c r="A30" s="7">
        <v>93055414</v>
      </c>
      <c r="B30" s="7" t="s">
        <v>315</v>
      </c>
      <c r="C30" s="7">
        <v>18.5</v>
      </c>
      <c r="D30" s="7">
        <v>2</v>
      </c>
      <c r="E30" s="59"/>
      <c r="L30" s="21">
        <v>7296.13</v>
      </c>
      <c r="M30" s="21">
        <f t="shared" si="0"/>
        <v>3648.0650000000001</v>
      </c>
      <c r="R30" s="5" t="e">
        <f>VLOOKUP(E30,'Inertia Bases 2025'!$A:$H,8,0)</f>
        <v>#N/A</v>
      </c>
      <c r="S30" s="5"/>
      <c r="T30" s="5" t="e">
        <f>VLOOKUP(G30,'Seismic Springs 2025'!$A:$I,9,0)</f>
        <v>#N/A</v>
      </c>
      <c r="U30" s="5" t="e">
        <f t="shared" si="1"/>
        <v>#N/A</v>
      </c>
    </row>
    <row r="31" spans="1:21">
      <c r="A31" s="7">
        <v>93055415</v>
      </c>
      <c r="B31" s="7" t="s">
        <v>316</v>
      </c>
      <c r="C31" s="7">
        <v>15</v>
      </c>
      <c r="D31" s="7">
        <v>2</v>
      </c>
      <c r="E31" s="59"/>
      <c r="L31" s="21">
        <v>6902.16</v>
      </c>
      <c r="M31" s="21">
        <f t="shared" si="0"/>
        <v>3451.08</v>
      </c>
      <c r="R31" s="5" t="e">
        <f>VLOOKUP(E31,'Inertia Bases 2025'!$A:$H,8,0)</f>
        <v>#N/A</v>
      </c>
      <c r="S31" s="5"/>
      <c r="T31" s="5" t="e">
        <f>VLOOKUP(G31,'Seismic Springs 2025'!$A:$I,9,0)</f>
        <v>#N/A</v>
      </c>
      <c r="U31" s="5" t="e">
        <f t="shared" si="1"/>
        <v>#N/A</v>
      </c>
    </row>
    <row r="32" spans="1:21">
      <c r="A32" s="7">
        <v>93055417</v>
      </c>
      <c r="B32" s="7" t="s">
        <v>317</v>
      </c>
      <c r="C32" s="7">
        <v>11</v>
      </c>
      <c r="D32" s="7">
        <v>2</v>
      </c>
      <c r="E32" s="59">
        <v>91338087</v>
      </c>
      <c r="F32" s="7" t="s">
        <v>743</v>
      </c>
      <c r="G32" s="7">
        <v>91338157</v>
      </c>
      <c r="H32" s="7" t="s">
        <v>744</v>
      </c>
      <c r="K32" s="7">
        <v>4</v>
      </c>
      <c r="L32" s="21">
        <v>6644.33</v>
      </c>
      <c r="M32" s="21">
        <f t="shared" si="0"/>
        <v>3322.165</v>
      </c>
      <c r="R32" s="5">
        <f>VLOOKUP(E32,'Inertia Bases 2025'!$A:$H,8,0)</f>
        <v>541.04</v>
      </c>
      <c r="S32" s="5"/>
      <c r="T32" s="5">
        <f>VLOOKUP(G32,'Seismic Springs 2025'!$A:$I,9,0)</f>
        <v>66.3</v>
      </c>
      <c r="U32" s="5">
        <f t="shared" si="1"/>
        <v>265.2</v>
      </c>
    </row>
    <row r="33" spans="1:21">
      <c r="A33" s="7">
        <v>93055418</v>
      </c>
      <c r="B33" s="7" t="s">
        <v>318</v>
      </c>
      <c r="C33" s="7">
        <v>7.5</v>
      </c>
      <c r="D33" s="7">
        <v>2</v>
      </c>
      <c r="E33" s="59"/>
      <c r="L33" s="21">
        <v>5605.58</v>
      </c>
      <c r="M33" s="21">
        <f t="shared" si="0"/>
        <v>2802.79</v>
      </c>
      <c r="R33" s="5" t="e">
        <f>VLOOKUP(E33,'Inertia Bases 2025'!$A:$H,8,0)</f>
        <v>#N/A</v>
      </c>
      <c r="S33" s="5"/>
      <c r="T33" s="5" t="e">
        <f>VLOOKUP(G33,'Seismic Springs 2025'!$A:$I,9,0)</f>
        <v>#N/A</v>
      </c>
      <c r="U33" s="5" t="e">
        <f t="shared" si="1"/>
        <v>#N/A</v>
      </c>
    </row>
    <row r="34" spans="1:21">
      <c r="A34" s="7">
        <v>93055419</v>
      </c>
      <c r="B34" s="7" t="s">
        <v>319</v>
      </c>
      <c r="C34" s="7">
        <v>5.5</v>
      </c>
      <c r="D34" s="7">
        <v>2</v>
      </c>
      <c r="E34" s="59"/>
      <c r="L34" s="21">
        <v>5360.62</v>
      </c>
      <c r="M34" s="21">
        <f t="shared" si="0"/>
        <v>2680.31</v>
      </c>
      <c r="R34" s="5" t="e">
        <f>VLOOKUP(E34,'Inertia Bases 2025'!$A:$H,8,0)</f>
        <v>#N/A</v>
      </c>
      <c r="S34" s="5"/>
      <c r="T34" s="5" t="e">
        <f>VLOOKUP(G34,'Seismic Springs 2025'!$A:$I,9,0)</f>
        <v>#N/A</v>
      </c>
      <c r="U34" s="5" t="e">
        <f t="shared" si="1"/>
        <v>#N/A</v>
      </c>
    </row>
    <row r="35" spans="1:21">
      <c r="A35" s="7">
        <v>93055420</v>
      </c>
      <c r="B35" s="7" t="s">
        <v>320</v>
      </c>
      <c r="C35" s="7">
        <v>3</v>
      </c>
      <c r="D35" s="7">
        <v>4</v>
      </c>
      <c r="E35" s="59">
        <v>92513065</v>
      </c>
      <c r="F35" s="7" t="s">
        <v>742</v>
      </c>
      <c r="G35" s="7">
        <v>91338157</v>
      </c>
      <c r="H35" s="7" t="s">
        <v>744</v>
      </c>
      <c r="L35" s="21">
        <v>4871.8500000000004</v>
      </c>
      <c r="M35" s="21">
        <f t="shared" si="0"/>
        <v>2435.9250000000002</v>
      </c>
      <c r="R35" s="5">
        <f>VLOOKUP(E35,'Inertia Bases 2025'!$A:$H,8,0)</f>
        <v>610.6</v>
      </c>
      <c r="S35" s="5"/>
      <c r="T35" s="5">
        <f>VLOOKUP(G35,'Seismic Springs 2025'!$A:$I,9,0)</f>
        <v>66.3</v>
      </c>
      <c r="U35" s="5">
        <f t="shared" si="1"/>
        <v>0</v>
      </c>
    </row>
    <row r="36" spans="1:21">
      <c r="A36" s="7">
        <v>93055421</v>
      </c>
      <c r="B36" s="7" t="s">
        <v>321</v>
      </c>
      <c r="C36" s="7">
        <v>2.2000000000000002</v>
      </c>
      <c r="D36" s="7">
        <v>4</v>
      </c>
      <c r="E36" s="59"/>
      <c r="G36" s="7"/>
      <c r="H36" s="7"/>
      <c r="L36" s="21">
        <v>4755.3500000000004</v>
      </c>
      <c r="M36" s="21">
        <f t="shared" si="0"/>
        <v>2377.6750000000002</v>
      </c>
      <c r="R36" s="5" t="e">
        <f>VLOOKUP(E36,'Inertia Bases 2025'!$A:$H,8,0)</f>
        <v>#N/A</v>
      </c>
      <c r="S36" s="5"/>
      <c r="T36" s="5" t="e">
        <f>VLOOKUP(G36,'Seismic Springs 2025'!$A:$I,9,0)</f>
        <v>#N/A</v>
      </c>
      <c r="U36" s="5" t="e">
        <f t="shared" si="1"/>
        <v>#N/A</v>
      </c>
    </row>
    <row r="37" spans="1:21">
      <c r="A37" s="7">
        <v>93055422</v>
      </c>
      <c r="B37" s="7" t="s">
        <v>322</v>
      </c>
      <c r="C37" s="7">
        <v>1.5</v>
      </c>
      <c r="D37" s="7">
        <v>4</v>
      </c>
      <c r="E37" s="59"/>
      <c r="G37" s="7"/>
      <c r="H37" s="7"/>
      <c r="L37" s="21">
        <v>4520.6499999999996</v>
      </c>
      <c r="M37" s="21">
        <f t="shared" si="0"/>
        <v>2260.3249999999998</v>
      </c>
      <c r="R37" s="5" t="e">
        <f>VLOOKUP(E37,'Inertia Bases 2025'!$A:$H,8,0)</f>
        <v>#N/A</v>
      </c>
      <c r="S37" s="5"/>
      <c r="T37" s="5" t="e">
        <f>VLOOKUP(G37,'Seismic Springs 2025'!$A:$I,9,0)</f>
        <v>#N/A</v>
      </c>
      <c r="U37" s="5" t="e">
        <f t="shared" si="1"/>
        <v>#N/A</v>
      </c>
    </row>
    <row r="38" spans="1:21" ht="12.75">
      <c r="A38" s="7">
        <v>93055423</v>
      </c>
      <c r="B38" s="7" t="s">
        <v>323</v>
      </c>
      <c r="C38" s="7">
        <v>1.1000000000000001</v>
      </c>
      <c r="D38" s="7">
        <v>4</v>
      </c>
      <c r="E38" s="59"/>
      <c r="G38" s="7"/>
      <c r="H38" s="7"/>
      <c r="L38" s="21">
        <v>4443.12</v>
      </c>
      <c r="M38" s="21">
        <f t="shared" si="0"/>
        <v>2221.56</v>
      </c>
      <c r="R38" s="5" t="e">
        <f>VLOOKUP(E38,'Inertia Bases 2025'!$A:$H,8,0)</f>
        <v>#N/A</v>
      </c>
      <c r="S38" s="5"/>
      <c r="T38" s="5" t="e">
        <f>VLOOKUP(G38,'Seismic Springs 2025'!$A:$I,9,0)</f>
        <v>#N/A</v>
      </c>
      <c r="U38" s="5" t="e">
        <f t="shared" si="1"/>
        <v>#N/A</v>
      </c>
    </row>
    <row r="39" spans="1:21" ht="12.75">
      <c r="A39" s="7">
        <v>93055424</v>
      </c>
      <c r="B39" s="7" t="s">
        <v>324</v>
      </c>
      <c r="C39" s="7">
        <v>0.75</v>
      </c>
      <c r="D39" s="7">
        <v>4</v>
      </c>
      <c r="E39" s="59"/>
      <c r="G39" s="7"/>
      <c r="H39" s="7"/>
      <c r="L39" s="21">
        <v>4148.24</v>
      </c>
      <c r="M39" s="21">
        <f t="shared" si="0"/>
        <v>2074.12</v>
      </c>
      <c r="R39" s="5" t="e">
        <f>VLOOKUP(E39,'Inertia Bases 2025'!$A:$H,8,0)</f>
        <v>#N/A</v>
      </c>
      <c r="S39" s="5"/>
      <c r="T39" s="5" t="e">
        <f>VLOOKUP(G39,'Seismic Springs 2025'!$A:$I,9,0)</f>
        <v>#N/A</v>
      </c>
      <c r="U39" s="5" t="e">
        <f t="shared" si="1"/>
        <v>#N/A</v>
      </c>
    </row>
    <row r="40" spans="1:21" ht="12.75">
      <c r="A40" s="7">
        <v>93055426</v>
      </c>
      <c r="B40" s="7" t="s">
        <v>325</v>
      </c>
      <c r="C40" s="7">
        <v>30</v>
      </c>
      <c r="D40" s="7">
        <v>2</v>
      </c>
      <c r="E40" s="59"/>
      <c r="G40" s="7"/>
      <c r="H40" s="7"/>
      <c r="L40" s="21">
        <v>9278.9</v>
      </c>
      <c r="M40" s="21">
        <f t="shared" si="0"/>
        <v>4639.45</v>
      </c>
      <c r="R40" s="5" t="e">
        <f>VLOOKUP(E40,'Inertia Bases 2025'!$A:$H,8,0)</f>
        <v>#N/A</v>
      </c>
      <c r="S40" s="5"/>
      <c r="T40" s="5" t="e">
        <f>VLOOKUP(G40,'Seismic Springs 2025'!$A:$I,9,0)</f>
        <v>#N/A</v>
      </c>
      <c r="U40" s="5" t="e">
        <f t="shared" si="1"/>
        <v>#N/A</v>
      </c>
    </row>
    <row r="41" spans="1:21" ht="12.75">
      <c r="A41" s="7">
        <v>93055427</v>
      </c>
      <c r="B41" s="7" t="s">
        <v>326</v>
      </c>
      <c r="C41" s="7">
        <v>22</v>
      </c>
      <c r="D41" s="7">
        <v>2</v>
      </c>
      <c r="E41" s="59"/>
      <c r="G41" s="7"/>
      <c r="H41" s="7"/>
      <c r="L41" s="21">
        <v>8233.5300000000007</v>
      </c>
      <c r="M41" s="21">
        <f t="shared" si="0"/>
        <v>4116.7650000000003</v>
      </c>
      <c r="R41" s="5" t="e">
        <f>VLOOKUP(E41,'Inertia Bases 2025'!$A:$H,8,0)</f>
        <v>#N/A</v>
      </c>
      <c r="S41" s="5"/>
      <c r="T41" s="5" t="e">
        <f>VLOOKUP(G41,'Seismic Springs 2025'!$A:$I,9,0)</f>
        <v>#N/A</v>
      </c>
      <c r="U41" s="5" t="e">
        <f t="shared" si="1"/>
        <v>#N/A</v>
      </c>
    </row>
    <row r="42" spans="1:21" ht="12.75">
      <c r="A42" s="7">
        <v>93055428</v>
      </c>
      <c r="B42" s="7" t="s">
        <v>327</v>
      </c>
      <c r="C42" s="7">
        <v>18.5</v>
      </c>
      <c r="D42" s="7">
        <v>2</v>
      </c>
      <c r="E42" s="59">
        <v>93047546</v>
      </c>
      <c r="F42" s="7" t="s">
        <v>745</v>
      </c>
      <c r="G42" s="7">
        <v>91338017</v>
      </c>
      <c r="H42" s="7" t="s">
        <v>746</v>
      </c>
      <c r="K42" s="7">
        <v>4</v>
      </c>
      <c r="L42" s="21">
        <v>7407.66</v>
      </c>
      <c r="M42" s="21">
        <f t="shared" si="0"/>
        <v>3703.83</v>
      </c>
      <c r="R42" s="5">
        <f>VLOOKUP(E42,'Inertia Bases 2025'!$A:$H,8,0)</f>
        <v>729.11</v>
      </c>
      <c r="S42" s="5"/>
      <c r="T42" s="5">
        <f>VLOOKUP(G42,'Seismic Springs 2025'!$A:$I,9,0)</f>
        <v>135.26</v>
      </c>
      <c r="U42" s="5">
        <f t="shared" si="1"/>
        <v>541.04</v>
      </c>
    </row>
    <row r="43" spans="1:21" ht="12.75">
      <c r="A43" s="7">
        <v>93055429</v>
      </c>
      <c r="B43" s="7" t="s">
        <v>328</v>
      </c>
      <c r="C43" s="7">
        <v>15</v>
      </c>
      <c r="D43" s="7">
        <v>2</v>
      </c>
      <c r="E43" s="59">
        <v>99051564</v>
      </c>
      <c r="F43" s="7" t="s">
        <v>747</v>
      </c>
      <c r="G43" s="7">
        <v>91338018</v>
      </c>
      <c r="H43" s="7" t="s">
        <v>735</v>
      </c>
      <c r="K43" s="7">
        <v>4</v>
      </c>
      <c r="L43" s="21">
        <v>7013.69</v>
      </c>
      <c r="M43" s="21">
        <f t="shared" si="0"/>
        <v>3506.8449999999998</v>
      </c>
      <c r="O43" s="21">
        <f>3590.15-M43</f>
        <v>83.305000000000291</v>
      </c>
      <c r="P43" s="7">
        <f t="shared" ref="P43:P44" si="2">Q43*2</f>
        <v>1339.47</v>
      </c>
      <c r="Q43" s="7">
        <v>669.73500000000001</v>
      </c>
      <c r="R43" s="5">
        <f>VLOOKUP(E43,'Inertia Bases 2025'!$A:$H,8,0)</f>
        <v>722.67</v>
      </c>
      <c r="S43" s="5"/>
      <c r="T43" s="5">
        <f>VLOOKUP(G43,'Seismic Springs 2025'!$A:$I,9,0)</f>
        <v>170.3</v>
      </c>
      <c r="U43" s="5">
        <f t="shared" si="1"/>
        <v>681.2</v>
      </c>
    </row>
    <row r="44" spans="1:21" ht="12.75">
      <c r="A44" s="7">
        <v>93055430</v>
      </c>
      <c r="B44" s="7" t="s">
        <v>329</v>
      </c>
      <c r="C44" s="7">
        <v>11</v>
      </c>
      <c r="D44" s="7">
        <v>2</v>
      </c>
      <c r="E44" s="59">
        <v>99051564</v>
      </c>
      <c r="F44" s="7" t="s">
        <v>747</v>
      </c>
      <c r="G44" s="7">
        <v>91338018</v>
      </c>
      <c r="H44" s="7" t="s">
        <v>735</v>
      </c>
      <c r="K44" s="7">
        <v>4</v>
      </c>
      <c r="L44" s="21">
        <v>6752.14</v>
      </c>
      <c r="M44" s="21">
        <f t="shared" si="0"/>
        <v>3376.07</v>
      </c>
      <c r="P44" s="7">
        <f t="shared" si="2"/>
        <v>1215.3240000000001</v>
      </c>
      <c r="Q44" s="7">
        <v>607.66200000000003</v>
      </c>
      <c r="R44" s="5">
        <f>VLOOKUP(E44,'Inertia Bases 2025'!$A:$H,8,0)</f>
        <v>722.67</v>
      </c>
      <c r="S44" s="5"/>
      <c r="T44" s="5">
        <f>VLOOKUP(G44,'Seismic Springs 2025'!$A:$I,9,0)</f>
        <v>170.3</v>
      </c>
      <c r="U44" s="5">
        <f t="shared" si="1"/>
        <v>681.2</v>
      </c>
    </row>
    <row r="45" spans="1:21" ht="12.75">
      <c r="A45" s="7">
        <v>93055431</v>
      </c>
      <c r="B45" s="7" t="s">
        <v>330</v>
      </c>
      <c r="C45" s="7">
        <v>7.5</v>
      </c>
      <c r="D45" s="7">
        <v>2</v>
      </c>
      <c r="E45" s="59"/>
      <c r="L45" s="21">
        <v>5668.83</v>
      </c>
      <c r="M45" s="21">
        <f t="shared" si="0"/>
        <v>2834.415</v>
      </c>
      <c r="R45" s="5" t="e">
        <f>VLOOKUP(E45,'Inertia Bases 2025'!$A:$H,8,0)</f>
        <v>#N/A</v>
      </c>
      <c r="S45" s="5"/>
      <c r="T45" s="5" t="e">
        <f>VLOOKUP(G45,'Seismic Springs 2025'!$A:$I,9,0)</f>
        <v>#N/A</v>
      </c>
      <c r="U45" s="5" t="e">
        <f t="shared" si="1"/>
        <v>#N/A</v>
      </c>
    </row>
    <row r="46" spans="1:21" ht="12.75">
      <c r="A46" s="7">
        <v>93055432</v>
      </c>
      <c r="B46" s="7" t="s">
        <v>331</v>
      </c>
      <c r="C46" s="7">
        <v>5.5</v>
      </c>
      <c r="D46" s="7">
        <v>2</v>
      </c>
      <c r="E46" s="59"/>
      <c r="L46" s="21">
        <v>5429.1</v>
      </c>
      <c r="M46" s="21">
        <f t="shared" si="0"/>
        <v>2714.55</v>
      </c>
      <c r="R46" s="5" t="e">
        <f>VLOOKUP(E46,'Inertia Bases 2025'!$A:$H,8,0)</f>
        <v>#N/A</v>
      </c>
      <c r="S46" s="5"/>
      <c r="T46" s="5" t="e">
        <f>VLOOKUP(G46,'Seismic Springs 2025'!$A:$I,9,0)</f>
        <v>#N/A</v>
      </c>
      <c r="U46" s="5" t="e">
        <f t="shared" si="1"/>
        <v>#N/A</v>
      </c>
    </row>
    <row r="47" spans="1:21" ht="12.75">
      <c r="A47" s="7">
        <v>93055433</v>
      </c>
      <c r="B47" s="7" t="s">
        <v>325</v>
      </c>
      <c r="C47" s="7">
        <v>4</v>
      </c>
      <c r="D47" s="7">
        <v>4</v>
      </c>
      <c r="E47" s="59"/>
      <c r="L47" s="21">
        <v>5121.0200000000004</v>
      </c>
      <c r="M47" s="21">
        <f t="shared" si="0"/>
        <v>2560.5100000000002</v>
      </c>
      <c r="R47" s="5" t="e">
        <f>VLOOKUP(E47,'Inertia Bases 2025'!$A:$H,8,0)</f>
        <v>#N/A</v>
      </c>
      <c r="S47" s="5"/>
      <c r="T47" s="5" t="e">
        <f>VLOOKUP(G47,'Seismic Springs 2025'!$A:$I,9,0)</f>
        <v>#N/A</v>
      </c>
      <c r="U47" s="5" t="e">
        <f t="shared" si="1"/>
        <v>#N/A</v>
      </c>
    </row>
    <row r="48" spans="1:21" ht="12.75">
      <c r="A48" s="7">
        <v>93055434</v>
      </c>
      <c r="B48" s="7" t="s">
        <v>332</v>
      </c>
      <c r="C48" s="7">
        <v>3</v>
      </c>
      <c r="D48" s="7">
        <v>4</v>
      </c>
      <c r="E48" s="59"/>
      <c r="L48" s="21">
        <v>4920.2299999999996</v>
      </c>
      <c r="M48" s="21">
        <f t="shared" si="0"/>
        <v>2460.1149999999998</v>
      </c>
      <c r="R48" s="5" t="e">
        <f>VLOOKUP(E48,'Inertia Bases 2025'!$A:$H,8,0)</f>
        <v>#N/A</v>
      </c>
      <c r="S48" s="5"/>
      <c r="T48" s="5" t="e">
        <f>VLOOKUP(G48,'Seismic Springs 2025'!$A:$I,9,0)</f>
        <v>#N/A</v>
      </c>
      <c r="U48" s="5" t="e">
        <f t="shared" si="1"/>
        <v>#N/A</v>
      </c>
    </row>
    <row r="49" spans="1:21" ht="12.75">
      <c r="A49" s="7">
        <v>93055435</v>
      </c>
      <c r="B49" s="7" t="s">
        <v>333</v>
      </c>
      <c r="C49" s="7">
        <v>2.2000000000000002</v>
      </c>
      <c r="D49" s="7">
        <v>4</v>
      </c>
      <c r="E49" s="59"/>
      <c r="L49" s="21">
        <v>4807.49</v>
      </c>
      <c r="M49" s="21">
        <f t="shared" si="0"/>
        <v>2403.7449999999999</v>
      </c>
      <c r="R49" s="5" t="e">
        <f>VLOOKUP(E49,'Inertia Bases 2025'!$A:$H,8,0)</f>
        <v>#N/A</v>
      </c>
      <c r="S49" s="5"/>
      <c r="T49" s="5" t="e">
        <f>VLOOKUP(G49,'Seismic Springs 2025'!$A:$I,9,0)</f>
        <v>#N/A</v>
      </c>
      <c r="U49" s="5" t="e">
        <f t="shared" si="1"/>
        <v>#N/A</v>
      </c>
    </row>
    <row r="50" spans="1:21" ht="12.75">
      <c r="A50" s="7">
        <v>93055436</v>
      </c>
      <c r="B50" s="7" t="s">
        <v>334</v>
      </c>
      <c r="C50" s="7">
        <v>1.5</v>
      </c>
      <c r="D50" s="7">
        <v>4</v>
      </c>
      <c r="E50" s="59"/>
      <c r="L50" s="21">
        <v>4632.18</v>
      </c>
      <c r="M50" s="21">
        <f t="shared" si="0"/>
        <v>2316.09</v>
      </c>
      <c r="R50" s="5" t="e">
        <f>VLOOKUP(E50,'Inertia Bases 2025'!$A:$H,8,0)</f>
        <v>#N/A</v>
      </c>
      <c r="S50" s="5"/>
      <c r="T50" s="5" t="e">
        <f>VLOOKUP(G50,'Seismic Springs 2025'!$A:$I,9,0)</f>
        <v>#N/A</v>
      </c>
      <c r="U50" s="5" t="e">
        <f t="shared" si="1"/>
        <v>#N/A</v>
      </c>
    </row>
    <row r="51" spans="1:21" ht="12.75">
      <c r="A51" s="7">
        <v>93055437</v>
      </c>
      <c r="B51" s="7" t="s">
        <v>335</v>
      </c>
      <c r="C51" s="7">
        <v>1.1000000000000001</v>
      </c>
      <c r="D51" s="7">
        <v>4</v>
      </c>
      <c r="E51" s="59"/>
      <c r="L51" s="21">
        <v>4571.38</v>
      </c>
      <c r="M51" s="21">
        <f t="shared" si="0"/>
        <v>2285.69</v>
      </c>
      <c r="R51" s="5" t="e">
        <f>VLOOKUP(E51,'Inertia Bases 2025'!$A:$H,8,0)</f>
        <v>#N/A</v>
      </c>
      <c r="S51" s="5"/>
      <c r="T51" s="5" t="e">
        <f>VLOOKUP(G51,'Seismic Springs 2025'!$A:$I,9,0)</f>
        <v>#N/A</v>
      </c>
      <c r="U51" s="5" t="e">
        <f t="shared" si="1"/>
        <v>#N/A</v>
      </c>
    </row>
    <row r="52" spans="1:21" ht="12.75">
      <c r="A52" s="7">
        <v>93055438</v>
      </c>
      <c r="B52" s="7" t="s">
        <v>336</v>
      </c>
      <c r="C52" s="7">
        <v>0.75</v>
      </c>
      <c r="D52" s="7">
        <v>4</v>
      </c>
      <c r="E52" s="59"/>
      <c r="L52" s="21">
        <v>4517.25</v>
      </c>
      <c r="M52" s="21">
        <f t="shared" si="0"/>
        <v>2258.625</v>
      </c>
      <c r="R52" s="5" t="e">
        <f>VLOOKUP(E52,'Inertia Bases 2025'!$A:$H,8,0)</f>
        <v>#N/A</v>
      </c>
      <c r="S52" s="5"/>
      <c r="T52" s="5" t="e">
        <f>VLOOKUP(G52,'Seismic Springs 2025'!$A:$I,9,0)</f>
        <v>#N/A</v>
      </c>
      <c r="U52" s="5" t="e">
        <f t="shared" si="1"/>
        <v>#N/A</v>
      </c>
    </row>
    <row r="53" spans="1:21" ht="12.75">
      <c r="A53" s="7">
        <v>93055439</v>
      </c>
      <c r="B53" s="7" t="s">
        <v>337</v>
      </c>
      <c r="C53" s="7">
        <v>5.5</v>
      </c>
      <c r="D53" s="7">
        <v>4</v>
      </c>
      <c r="E53" s="59"/>
      <c r="L53" s="21">
        <v>5646.55</v>
      </c>
      <c r="M53" s="21">
        <f t="shared" si="0"/>
        <v>2823.2750000000001</v>
      </c>
      <c r="R53" s="5" t="e">
        <f>VLOOKUP(E53,'Inertia Bases 2025'!$A:$H,8,0)</f>
        <v>#N/A</v>
      </c>
      <c r="S53" s="5"/>
      <c r="T53" s="5" t="e">
        <f>VLOOKUP(G53,'Seismic Springs 2025'!$A:$I,9,0)</f>
        <v>#N/A</v>
      </c>
      <c r="U53" s="5" t="e">
        <f t="shared" si="1"/>
        <v>#N/A</v>
      </c>
    </row>
    <row r="54" spans="1:21" ht="12.75">
      <c r="A54" s="7">
        <v>93055440</v>
      </c>
      <c r="B54" s="7" t="s">
        <v>338</v>
      </c>
      <c r="C54" s="7">
        <v>4</v>
      </c>
      <c r="D54" s="7">
        <v>4</v>
      </c>
      <c r="E54" s="59"/>
      <c r="L54" s="21">
        <v>5250.69</v>
      </c>
      <c r="M54" s="21">
        <f t="shared" si="0"/>
        <v>2625.3449999999998</v>
      </c>
      <c r="R54" s="5" t="e">
        <f>VLOOKUP(E54,'Inertia Bases 2025'!$A:$H,8,0)</f>
        <v>#N/A</v>
      </c>
      <c r="S54" s="5"/>
      <c r="T54" s="5" t="e">
        <f>VLOOKUP(G54,'Seismic Springs 2025'!$A:$I,9,0)</f>
        <v>#N/A</v>
      </c>
      <c r="U54" s="5" t="e">
        <f t="shared" si="1"/>
        <v>#N/A</v>
      </c>
    </row>
    <row r="55" spans="1:21" ht="12.75">
      <c r="A55" s="7">
        <v>93055441</v>
      </c>
      <c r="B55" s="7" t="s">
        <v>339</v>
      </c>
      <c r="C55" s="7">
        <v>3</v>
      </c>
      <c r="D55" s="7">
        <v>4</v>
      </c>
      <c r="E55" s="59"/>
      <c r="L55" s="21">
        <v>5001.84</v>
      </c>
      <c r="M55" s="21">
        <f t="shared" si="0"/>
        <v>2500.92</v>
      </c>
      <c r="R55" s="5" t="e">
        <f>VLOOKUP(E55,'Inertia Bases 2025'!$A:$H,8,0)</f>
        <v>#N/A</v>
      </c>
      <c r="S55" s="5"/>
      <c r="T55" s="5" t="e">
        <f>VLOOKUP(G55,'Seismic Springs 2025'!$A:$I,9,0)</f>
        <v>#N/A</v>
      </c>
      <c r="U55" s="5" t="e">
        <f t="shared" si="1"/>
        <v>#N/A</v>
      </c>
    </row>
    <row r="56" spans="1:21" ht="12.75">
      <c r="A56" s="7">
        <v>93055442</v>
      </c>
      <c r="B56" s="7" t="s">
        <v>340</v>
      </c>
      <c r="C56" s="7">
        <v>2.2000000000000002</v>
      </c>
      <c r="D56" s="7">
        <v>4</v>
      </c>
      <c r="E56" s="59"/>
      <c r="L56" s="21">
        <v>4887.76</v>
      </c>
      <c r="M56" s="21">
        <f t="shared" si="0"/>
        <v>2443.88</v>
      </c>
      <c r="R56" s="5" t="e">
        <f>VLOOKUP(E56,'Inertia Bases 2025'!$A:$H,8,0)</f>
        <v>#N/A</v>
      </c>
      <c r="S56" s="5"/>
      <c r="T56" s="5" t="e">
        <f>VLOOKUP(G56,'Seismic Springs 2025'!$A:$I,9,0)</f>
        <v>#N/A</v>
      </c>
      <c r="U56" s="5" t="e">
        <f t="shared" si="1"/>
        <v>#N/A</v>
      </c>
    </row>
    <row r="57" spans="1:21" ht="12.75">
      <c r="A57" s="7">
        <v>93055443</v>
      </c>
      <c r="B57" s="7" t="s">
        <v>341</v>
      </c>
      <c r="C57" s="7">
        <v>11</v>
      </c>
      <c r="D57" s="7">
        <v>4</v>
      </c>
      <c r="E57" s="59">
        <v>99051549</v>
      </c>
      <c r="F57" s="7" t="s">
        <v>734</v>
      </c>
      <c r="G57" s="7">
        <v>91338018</v>
      </c>
      <c r="H57" s="7" t="s">
        <v>735</v>
      </c>
      <c r="K57" s="7">
        <v>4</v>
      </c>
      <c r="L57" s="21">
        <v>9618.2800000000007</v>
      </c>
      <c r="M57" s="21">
        <f t="shared" si="0"/>
        <v>4809.1400000000003</v>
      </c>
      <c r="R57" s="5">
        <f>VLOOKUP(E57,'Inertia Bases 2025'!$A:$H,8,0)</f>
        <v>525.59</v>
      </c>
      <c r="S57" s="5"/>
      <c r="T57" s="5">
        <f>VLOOKUP(G57,'Seismic Springs 2025'!$A:$I,9,0)</f>
        <v>170.3</v>
      </c>
      <c r="U57" s="5">
        <f t="shared" si="1"/>
        <v>681.2</v>
      </c>
    </row>
    <row r="58" spans="1:21" ht="12.75">
      <c r="A58" s="7">
        <v>93055444</v>
      </c>
      <c r="B58" s="7" t="s">
        <v>342</v>
      </c>
      <c r="C58" s="7">
        <v>7.5</v>
      </c>
      <c r="D58" s="7">
        <v>4</v>
      </c>
      <c r="E58" s="59"/>
      <c r="L58" s="21">
        <v>8380.48</v>
      </c>
      <c r="M58" s="21">
        <f t="shared" si="0"/>
        <v>4190.24</v>
      </c>
      <c r="R58" s="5" t="e">
        <f>VLOOKUP(E58,'Inertia Bases 2025'!$A:$H,8,0)</f>
        <v>#N/A</v>
      </c>
      <c r="S58" s="5"/>
      <c r="T58" s="5" t="e">
        <f>VLOOKUP(G58,'Seismic Springs 2025'!$A:$I,9,0)</f>
        <v>#N/A</v>
      </c>
      <c r="U58" s="5" t="e">
        <f t="shared" si="1"/>
        <v>#N/A</v>
      </c>
    </row>
    <row r="59" spans="1:21" ht="12.75">
      <c r="A59" s="7">
        <v>93055445</v>
      </c>
      <c r="B59" s="7" t="s">
        <v>343</v>
      </c>
      <c r="C59" s="7">
        <v>5.5</v>
      </c>
      <c r="D59" s="7">
        <v>4</v>
      </c>
      <c r="E59" s="59">
        <v>91338087</v>
      </c>
      <c r="F59" s="7" t="s">
        <v>743</v>
      </c>
      <c r="G59" s="7">
        <v>91338157</v>
      </c>
      <c r="H59" s="7" t="s">
        <v>744</v>
      </c>
      <c r="K59" s="7">
        <v>4</v>
      </c>
      <c r="L59" s="21">
        <v>8027.54</v>
      </c>
      <c r="M59" s="21">
        <f t="shared" si="0"/>
        <v>4013.77</v>
      </c>
      <c r="R59" s="5">
        <f>VLOOKUP(E59,'Inertia Bases 2025'!$A:$H,8,0)</f>
        <v>541.04</v>
      </c>
      <c r="S59" s="5"/>
      <c r="T59" s="5">
        <f>VLOOKUP(G59,'Seismic Springs 2025'!$A:$I,9,0)</f>
        <v>66.3</v>
      </c>
      <c r="U59" s="5">
        <f t="shared" si="1"/>
        <v>265.2</v>
      </c>
    </row>
    <row r="60" spans="1:21" ht="12.75">
      <c r="A60" s="7">
        <v>93055446</v>
      </c>
      <c r="B60" s="7" t="s">
        <v>344</v>
      </c>
      <c r="C60" s="7">
        <v>4</v>
      </c>
      <c r="D60" s="7">
        <v>4</v>
      </c>
      <c r="E60" s="59"/>
      <c r="L60" s="21">
        <v>7786.7</v>
      </c>
      <c r="M60" s="21">
        <f t="shared" si="0"/>
        <v>3893.35</v>
      </c>
      <c r="R60" s="5" t="e">
        <f>VLOOKUP(E60,'Inertia Bases 2025'!$A:$H,8,0)</f>
        <v>#N/A</v>
      </c>
      <c r="S60" s="5"/>
      <c r="T60" s="5" t="e">
        <f>VLOOKUP(G60,'Seismic Springs 2025'!$A:$I,9,0)</f>
        <v>#N/A</v>
      </c>
      <c r="U60" s="5" t="e">
        <f t="shared" si="1"/>
        <v>#N/A</v>
      </c>
    </row>
    <row r="61" spans="1:21" ht="12.75">
      <c r="A61" s="7">
        <v>93055447</v>
      </c>
      <c r="B61" s="7" t="s">
        <v>345</v>
      </c>
      <c r="C61" s="7">
        <v>3</v>
      </c>
      <c r="D61" s="7">
        <v>4</v>
      </c>
      <c r="E61" s="59"/>
      <c r="L61" s="21">
        <v>7597.6</v>
      </c>
      <c r="M61" s="21">
        <f t="shared" si="0"/>
        <v>3798.8</v>
      </c>
      <c r="R61" s="5" t="e">
        <f>VLOOKUP(E61,'Inertia Bases 2025'!$A:$H,8,0)</f>
        <v>#N/A</v>
      </c>
      <c r="S61" s="5"/>
      <c r="T61" s="5" t="e">
        <f>VLOOKUP(G61,'Seismic Springs 2025'!$A:$I,9,0)</f>
        <v>#N/A</v>
      </c>
      <c r="U61" s="5" t="e">
        <f t="shared" si="1"/>
        <v>#N/A</v>
      </c>
    </row>
    <row r="62" spans="1:21" ht="12.75">
      <c r="A62" s="7">
        <v>93055448</v>
      </c>
      <c r="B62" s="7" t="s">
        <v>346</v>
      </c>
      <c r="C62" s="7">
        <v>15</v>
      </c>
      <c r="D62" s="7">
        <v>2</v>
      </c>
      <c r="E62" s="59"/>
      <c r="L62" s="21">
        <v>6758.93</v>
      </c>
      <c r="M62" s="21">
        <f t="shared" si="0"/>
        <v>3379.4650000000001</v>
      </c>
      <c r="R62" s="5" t="e">
        <f>VLOOKUP(E62,'Inertia Bases 2025'!$A:$H,8,0)</f>
        <v>#N/A</v>
      </c>
      <c r="S62" s="5"/>
      <c r="T62" s="5" t="e">
        <f>VLOOKUP(G62,'Seismic Springs 2025'!$A:$I,9,0)</f>
        <v>#N/A</v>
      </c>
      <c r="U62" s="5" t="e">
        <f t="shared" si="1"/>
        <v>#N/A</v>
      </c>
    </row>
    <row r="63" spans="1:21" ht="12.75">
      <c r="A63" s="7">
        <v>93055449</v>
      </c>
      <c r="B63" s="7" t="s">
        <v>347</v>
      </c>
      <c r="C63" s="7">
        <v>11</v>
      </c>
      <c r="D63" s="7">
        <v>2</v>
      </c>
      <c r="E63" s="59">
        <v>93000767</v>
      </c>
      <c r="F63" s="7" t="s">
        <v>748</v>
      </c>
      <c r="G63" s="7">
        <v>91338017</v>
      </c>
      <c r="H63" s="7" t="s">
        <v>746</v>
      </c>
      <c r="K63" s="7">
        <v>4</v>
      </c>
      <c r="L63" s="21">
        <v>6501.07</v>
      </c>
      <c r="M63" s="21">
        <f t="shared" si="0"/>
        <v>3250.5349999999999</v>
      </c>
      <c r="R63" s="5">
        <f>VLOOKUP(E63,'Inertia Bases 2025'!$A:$H,8,0)</f>
        <v>669.87</v>
      </c>
      <c r="S63" s="5"/>
      <c r="T63" s="5">
        <f>VLOOKUP(G63,'Seismic Springs 2025'!$A:$I,9,0)</f>
        <v>135.26</v>
      </c>
      <c r="U63" s="5">
        <f t="shared" si="1"/>
        <v>541.04</v>
      </c>
    </row>
    <row r="64" spans="1:21" ht="12.75">
      <c r="A64" s="7">
        <v>93055450</v>
      </c>
      <c r="B64" s="7" t="s">
        <v>348</v>
      </c>
      <c r="C64" s="7">
        <v>7.5</v>
      </c>
      <c r="D64" s="7">
        <v>2</v>
      </c>
      <c r="E64" s="59"/>
      <c r="L64" s="21">
        <v>5451.19</v>
      </c>
      <c r="M64" s="21">
        <f t="shared" si="0"/>
        <v>2725.5949999999998</v>
      </c>
      <c r="R64" s="5" t="e">
        <f>VLOOKUP(E64,'Inertia Bases 2025'!$A:$H,8,0)</f>
        <v>#N/A</v>
      </c>
      <c r="S64" s="5"/>
      <c r="T64" s="5" t="e">
        <f>VLOOKUP(G64,'Seismic Springs 2025'!$A:$I,9,0)</f>
        <v>#N/A</v>
      </c>
      <c r="U64" s="5" t="e">
        <f t="shared" si="1"/>
        <v>#N/A</v>
      </c>
    </row>
    <row r="65" spans="1:21" ht="12.75">
      <c r="A65" s="7">
        <v>93055451</v>
      </c>
      <c r="B65" s="7" t="s">
        <v>349</v>
      </c>
      <c r="C65" s="7">
        <v>5.5</v>
      </c>
      <c r="D65" s="7">
        <v>2</v>
      </c>
      <c r="E65" s="59"/>
      <c r="L65" s="21">
        <v>5280.52</v>
      </c>
      <c r="M65" s="21">
        <f t="shared" si="0"/>
        <v>2640.26</v>
      </c>
      <c r="R65" s="5" t="e">
        <f>VLOOKUP(E65,'Inertia Bases 2025'!$A:$H,8,0)</f>
        <v>#N/A</v>
      </c>
      <c r="S65" s="5"/>
      <c r="T65" s="5" t="e">
        <f>VLOOKUP(G65,'Seismic Springs 2025'!$A:$I,9,0)</f>
        <v>#N/A</v>
      </c>
      <c r="U65" s="5" t="e">
        <f t="shared" si="1"/>
        <v>#N/A</v>
      </c>
    </row>
    <row r="66" spans="1:21" ht="12.75">
      <c r="A66" s="7">
        <v>93055452</v>
      </c>
      <c r="B66" s="7" t="s">
        <v>350</v>
      </c>
      <c r="C66" s="7">
        <v>4</v>
      </c>
      <c r="D66" s="7">
        <v>2</v>
      </c>
      <c r="E66" s="59"/>
      <c r="L66" s="21">
        <v>4850.8100000000004</v>
      </c>
      <c r="M66" s="21">
        <f t="shared" si="0"/>
        <v>2425.4050000000002</v>
      </c>
      <c r="R66" s="5" t="e">
        <f>VLOOKUP(E66,'Inertia Bases 2025'!$A:$H,8,0)</f>
        <v>#N/A</v>
      </c>
      <c r="S66" s="5"/>
      <c r="T66" s="5" t="e">
        <f>VLOOKUP(G66,'Seismic Springs 2025'!$A:$I,9,0)</f>
        <v>#N/A</v>
      </c>
      <c r="U66" s="5" t="e">
        <f t="shared" si="1"/>
        <v>#N/A</v>
      </c>
    </row>
    <row r="67" spans="1:21" ht="12.75">
      <c r="A67" s="7">
        <v>93055453</v>
      </c>
      <c r="B67" s="7" t="s">
        <v>351</v>
      </c>
      <c r="C67" s="7">
        <v>3</v>
      </c>
      <c r="D67" s="7">
        <v>2</v>
      </c>
      <c r="E67" s="59"/>
      <c r="L67" s="21">
        <v>4534.5600000000004</v>
      </c>
      <c r="M67" s="21">
        <f t="shared" si="0"/>
        <v>2267.2800000000002</v>
      </c>
      <c r="R67" s="5" t="e">
        <f>VLOOKUP(E67,'Inertia Bases 2025'!$A:$H,8,0)</f>
        <v>#N/A</v>
      </c>
      <c r="S67" s="5"/>
      <c r="T67" s="5" t="e">
        <f>VLOOKUP(G67,'Seismic Springs 2025'!$A:$I,9,0)</f>
        <v>#N/A</v>
      </c>
      <c r="U67" s="5" t="e">
        <f t="shared" si="1"/>
        <v>#N/A</v>
      </c>
    </row>
    <row r="68" spans="1:21" ht="12.75">
      <c r="A68" s="7">
        <v>93055454</v>
      </c>
      <c r="B68" s="7" t="s">
        <v>346</v>
      </c>
      <c r="C68" s="7">
        <v>1.5</v>
      </c>
      <c r="D68" s="7">
        <v>4</v>
      </c>
      <c r="E68" s="59"/>
      <c r="L68" s="21">
        <v>4373.7</v>
      </c>
      <c r="M68" s="21">
        <f t="shared" si="0"/>
        <v>2186.85</v>
      </c>
      <c r="R68" s="5" t="e">
        <f>VLOOKUP(E68,'Inertia Bases 2025'!$A:$H,8,0)</f>
        <v>#N/A</v>
      </c>
      <c r="S68" s="5"/>
      <c r="T68" s="5" t="e">
        <f>VLOOKUP(G68,'Seismic Springs 2025'!$A:$I,9,0)</f>
        <v>#N/A</v>
      </c>
      <c r="U68" s="5" t="e">
        <f t="shared" si="1"/>
        <v>#N/A</v>
      </c>
    </row>
    <row r="69" spans="1:21" ht="12.75">
      <c r="A69" s="7">
        <v>93055455</v>
      </c>
      <c r="B69" s="7" t="s">
        <v>352</v>
      </c>
      <c r="C69" s="7">
        <v>1.1000000000000001</v>
      </c>
      <c r="D69" s="7">
        <v>4</v>
      </c>
      <c r="E69" s="59"/>
      <c r="L69" s="21">
        <v>4299.8599999999997</v>
      </c>
      <c r="M69" s="21">
        <f t="shared" si="0"/>
        <v>2149.9299999999998</v>
      </c>
      <c r="R69" s="5" t="e">
        <f>VLOOKUP(E69,'Inertia Bases 2025'!$A:$H,8,0)</f>
        <v>#N/A</v>
      </c>
      <c r="S69" s="5"/>
      <c r="T69" s="5" t="e">
        <f>VLOOKUP(G69,'Seismic Springs 2025'!$A:$I,9,0)</f>
        <v>#N/A</v>
      </c>
      <c r="U69" s="5" t="e">
        <f t="shared" si="1"/>
        <v>#N/A</v>
      </c>
    </row>
    <row r="70" spans="1:21" ht="12.75">
      <c r="A70" s="7">
        <v>93055456</v>
      </c>
      <c r="B70" s="7" t="s">
        <v>353</v>
      </c>
      <c r="C70" s="7">
        <v>0.75</v>
      </c>
      <c r="D70" s="7">
        <v>4</v>
      </c>
      <c r="E70" s="59"/>
      <c r="L70" s="21">
        <v>4082.97</v>
      </c>
      <c r="M70" s="21">
        <f t="shared" si="0"/>
        <v>2041.4849999999999</v>
      </c>
      <c r="R70" s="5" t="e">
        <f>VLOOKUP(E70,'Inertia Bases 2025'!$A:$H,8,0)</f>
        <v>#N/A</v>
      </c>
      <c r="S70" s="5"/>
      <c r="T70" s="5" t="e">
        <f>VLOOKUP(G70,'Seismic Springs 2025'!$A:$I,9,0)</f>
        <v>#N/A</v>
      </c>
      <c r="U70" s="5" t="e">
        <f t="shared" si="1"/>
        <v>#N/A</v>
      </c>
    </row>
    <row r="71" spans="1:21" ht="12.75">
      <c r="A71" s="7">
        <v>93055457</v>
      </c>
      <c r="B71" s="7" t="s">
        <v>354</v>
      </c>
      <c r="C71" s="7">
        <v>0.55000000000000004</v>
      </c>
      <c r="D71" s="7">
        <v>4</v>
      </c>
      <c r="E71" s="59"/>
      <c r="F71" s="7"/>
      <c r="L71" s="21">
        <v>4021.22</v>
      </c>
      <c r="M71" s="21">
        <f t="shared" si="0"/>
        <v>2010.61</v>
      </c>
      <c r="R71" s="5" t="e">
        <f>VLOOKUP(E71,'Inertia Bases 2025'!$A:$H,8,0)</f>
        <v>#N/A</v>
      </c>
      <c r="S71" s="5"/>
      <c r="T71" s="5" t="e">
        <f>VLOOKUP(G71,'Seismic Springs 2025'!$A:$I,9,0)</f>
        <v>#N/A</v>
      </c>
      <c r="U71" s="5" t="e">
        <f t="shared" si="1"/>
        <v>#N/A</v>
      </c>
    </row>
    <row r="72" spans="1:21" ht="12.75">
      <c r="A72" s="7">
        <v>93055458</v>
      </c>
      <c r="B72" s="7" t="s">
        <v>355</v>
      </c>
      <c r="C72" s="7">
        <v>37</v>
      </c>
      <c r="D72" s="7">
        <v>2</v>
      </c>
      <c r="E72" s="59"/>
      <c r="L72" s="21">
        <v>12045.49</v>
      </c>
      <c r="M72" s="21">
        <f t="shared" si="0"/>
        <v>6022.7449999999999</v>
      </c>
      <c r="R72" s="5" t="e">
        <f>VLOOKUP(E72,'Inertia Bases 2025'!$A:$H,8,0)</f>
        <v>#N/A</v>
      </c>
      <c r="S72" s="5"/>
      <c r="T72" s="5" t="e">
        <f>VLOOKUP(G72,'Seismic Springs 2025'!$A:$I,9,0)</f>
        <v>#N/A</v>
      </c>
      <c r="U72" s="5" t="e">
        <f t="shared" si="1"/>
        <v>#N/A</v>
      </c>
    </row>
    <row r="73" spans="1:21" ht="12.75">
      <c r="A73" s="7">
        <v>93055459</v>
      </c>
      <c r="B73" s="7" t="s">
        <v>356</v>
      </c>
      <c r="C73" s="7">
        <v>30</v>
      </c>
      <c r="D73" s="7">
        <v>2</v>
      </c>
      <c r="E73" s="59">
        <v>91338088</v>
      </c>
      <c r="F73" s="7" t="s">
        <v>732</v>
      </c>
      <c r="G73" s="7">
        <v>91338019</v>
      </c>
      <c r="H73" s="7" t="s">
        <v>733</v>
      </c>
      <c r="K73" s="7">
        <v>4</v>
      </c>
      <c r="L73" s="21">
        <v>10842.32</v>
      </c>
      <c r="M73" s="21">
        <f t="shared" si="0"/>
        <v>5421.16</v>
      </c>
      <c r="R73" s="5">
        <f>VLOOKUP(E73,'Inertia Bases 2025'!$A:$H,8,0)</f>
        <v>547.49</v>
      </c>
      <c r="S73" s="5"/>
      <c r="T73" s="5">
        <f>VLOOKUP(G73,'Seismic Springs 2025'!$A:$I,9,0)</f>
        <v>170.3</v>
      </c>
      <c r="U73" s="5">
        <f t="shared" si="1"/>
        <v>681.2</v>
      </c>
    </row>
    <row r="74" spans="1:21" ht="12.75">
      <c r="A74" s="7">
        <v>93055460</v>
      </c>
      <c r="B74" s="7" t="s">
        <v>357</v>
      </c>
      <c r="C74" s="7">
        <v>22</v>
      </c>
      <c r="D74" s="7">
        <v>2</v>
      </c>
      <c r="E74" s="59">
        <v>99051549</v>
      </c>
      <c r="F74" s="7" t="s">
        <v>734</v>
      </c>
      <c r="G74" s="7">
        <v>91338019</v>
      </c>
      <c r="H74" s="7" t="s">
        <v>733</v>
      </c>
      <c r="K74" s="7">
        <v>4</v>
      </c>
      <c r="L74" s="21">
        <v>9277.01</v>
      </c>
      <c r="M74" s="21">
        <f t="shared" si="0"/>
        <v>4638.5050000000001</v>
      </c>
      <c r="R74" s="5">
        <f>VLOOKUP(E74,'Inertia Bases 2025'!$A:$H,8,0)</f>
        <v>525.59</v>
      </c>
      <c r="S74" s="5"/>
      <c r="T74" s="5">
        <f>VLOOKUP(G74,'Seismic Springs 2025'!$A:$I,9,0)</f>
        <v>170.3</v>
      </c>
      <c r="U74" s="5">
        <f t="shared" si="1"/>
        <v>681.2</v>
      </c>
    </row>
    <row r="75" spans="1:21" ht="12.75">
      <c r="A75" s="7">
        <v>93055461</v>
      </c>
      <c r="B75" s="7" t="s">
        <v>358</v>
      </c>
      <c r="C75" s="7">
        <v>18.5</v>
      </c>
      <c r="D75" s="7">
        <v>2</v>
      </c>
      <c r="E75" s="59">
        <v>93047546</v>
      </c>
      <c r="F75" s="7" t="s">
        <v>745</v>
      </c>
      <c r="G75" s="7">
        <v>91338018</v>
      </c>
      <c r="H75" s="6" t="s">
        <v>735</v>
      </c>
      <c r="K75" s="7">
        <v>4</v>
      </c>
      <c r="L75" s="21">
        <v>8417.69</v>
      </c>
      <c r="M75" s="21">
        <f t="shared" si="0"/>
        <v>4208.8450000000003</v>
      </c>
      <c r="R75" s="5">
        <f>VLOOKUP(E75,'Inertia Bases 2025'!$A:$H,8,0)</f>
        <v>729.11</v>
      </c>
      <c r="S75" s="5"/>
      <c r="T75" s="5">
        <f>VLOOKUP(G75,'Seismic Springs 2025'!$A:$I,9,0)</f>
        <v>170.3</v>
      </c>
      <c r="U75" s="5">
        <f t="shared" si="1"/>
        <v>681.2</v>
      </c>
    </row>
    <row r="76" spans="1:21" ht="12.75">
      <c r="A76" s="7">
        <v>93055462</v>
      </c>
      <c r="B76" s="7" t="s">
        <v>359</v>
      </c>
      <c r="C76" s="7">
        <v>15</v>
      </c>
      <c r="D76" s="7">
        <v>2</v>
      </c>
      <c r="E76" s="59"/>
      <c r="L76" s="21">
        <v>7318.15</v>
      </c>
      <c r="M76" s="21">
        <f t="shared" si="0"/>
        <v>3659.0749999999998</v>
      </c>
      <c r="R76" s="5" t="e">
        <f>VLOOKUP(E76,'Inertia Bases 2025'!$A:$H,8,0)</f>
        <v>#N/A</v>
      </c>
      <c r="S76" s="5"/>
      <c r="T76" s="5" t="e">
        <f>VLOOKUP(G76,'Seismic Springs 2025'!$A:$I,9,0)</f>
        <v>#N/A</v>
      </c>
      <c r="U76" s="5" t="e">
        <f t="shared" si="1"/>
        <v>#N/A</v>
      </c>
    </row>
    <row r="77" spans="1:21" ht="12.75">
      <c r="A77" s="7">
        <v>93055463</v>
      </c>
      <c r="B77" s="7" t="s">
        <v>360</v>
      </c>
      <c r="C77" s="7">
        <v>11</v>
      </c>
      <c r="D77" s="7">
        <v>2</v>
      </c>
      <c r="E77" s="59"/>
      <c r="L77" s="21">
        <v>7060.28</v>
      </c>
      <c r="M77" s="21">
        <f t="shared" si="0"/>
        <v>3530.14</v>
      </c>
      <c r="R77" s="5" t="e">
        <f>VLOOKUP(E77,'Inertia Bases 2025'!$A:$H,8,0)</f>
        <v>#N/A</v>
      </c>
      <c r="S77" s="5"/>
      <c r="T77" s="5" t="e">
        <f>VLOOKUP(G77,'Seismic Springs 2025'!$A:$I,9,0)</f>
        <v>#N/A</v>
      </c>
      <c r="U77" s="5" t="e">
        <f t="shared" si="1"/>
        <v>#N/A</v>
      </c>
    </row>
    <row r="78" spans="1:21" ht="12.75">
      <c r="A78" s="7">
        <v>93055464</v>
      </c>
      <c r="B78" s="7" t="s">
        <v>355</v>
      </c>
      <c r="C78" s="7">
        <v>4</v>
      </c>
      <c r="D78" s="7">
        <v>4</v>
      </c>
      <c r="E78" s="59"/>
      <c r="L78" s="21">
        <v>5570.3</v>
      </c>
      <c r="M78" s="21">
        <f t="shared" si="0"/>
        <v>2785.15</v>
      </c>
      <c r="R78" s="5" t="e">
        <f>VLOOKUP(E78,'Inertia Bases 2025'!$A:$H,8,0)</f>
        <v>#N/A</v>
      </c>
      <c r="S78" s="5"/>
      <c r="T78" s="5" t="e">
        <f>VLOOKUP(G78,'Seismic Springs 2025'!$A:$I,9,0)</f>
        <v>#N/A</v>
      </c>
      <c r="U78" s="5" t="e">
        <f t="shared" si="1"/>
        <v>#N/A</v>
      </c>
    </row>
    <row r="79" spans="1:21" ht="12.75">
      <c r="A79" s="7">
        <v>93055465</v>
      </c>
      <c r="B79" s="7" t="s">
        <v>361</v>
      </c>
      <c r="C79" s="7">
        <v>3</v>
      </c>
      <c r="D79" s="7">
        <v>4</v>
      </c>
      <c r="E79" s="59"/>
      <c r="L79" s="21">
        <v>5284.05</v>
      </c>
      <c r="M79" s="21">
        <f t="shared" si="0"/>
        <v>2642.0250000000001</v>
      </c>
      <c r="R79" s="5" t="e">
        <f>VLOOKUP(E79,'Inertia Bases 2025'!$A:$H,8,0)</f>
        <v>#N/A</v>
      </c>
      <c r="S79" s="5"/>
      <c r="T79" s="5" t="e">
        <f>VLOOKUP(G79,'Seismic Springs 2025'!$A:$I,9,0)</f>
        <v>#N/A</v>
      </c>
      <c r="U79" s="5" t="e">
        <f t="shared" si="1"/>
        <v>#N/A</v>
      </c>
    </row>
    <row r="80" spans="1:21" ht="12.75">
      <c r="A80" s="7">
        <v>93055466</v>
      </c>
      <c r="B80" s="7" t="s">
        <v>362</v>
      </c>
      <c r="C80" s="7">
        <v>2.2000000000000002</v>
      </c>
      <c r="D80" s="7">
        <v>4</v>
      </c>
      <c r="E80" s="59"/>
      <c r="L80" s="21">
        <v>5171.3</v>
      </c>
      <c r="M80" s="21">
        <f t="shared" si="0"/>
        <v>2585.65</v>
      </c>
      <c r="R80" s="5" t="e">
        <f>VLOOKUP(E80,'Inertia Bases 2025'!$A:$H,8,0)</f>
        <v>#N/A</v>
      </c>
      <c r="S80" s="5"/>
      <c r="T80" s="5" t="e">
        <f>VLOOKUP(G80,'Seismic Springs 2025'!$A:$I,9,0)</f>
        <v>#N/A</v>
      </c>
      <c r="U80" s="5" t="e">
        <f t="shared" si="1"/>
        <v>#N/A</v>
      </c>
    </row>
    <row r="81" spans="1:21" ht="12.75">
      <c r="A81" s="7">
        <v>93055468</v>
      </c>
      <c r="B81" s="7" t="s">
        <v>363</v>
      </c>
      <c r="C81" s="7">
        <v>1.5</v>
      </c>
      <c r="D81" s="7">
        <v>4</v>
      </c>
      <c r="E81" s="59"/>
      <c r="L81" s="21">
        <v>5092.57</v>
      </c>
      <c r="M81" s="21">
        <f t="shared" si="0"/>
        <v>2546.2849999999999</v>
      </c>
      <c r="R81" s="5" t="e">
        <f>VLOOKUP(E81,'Inertia Bases 2025'!$A:$H,8,0)</f>
        <v>#N/A</v>
      </c>
      <c r="S81" s="5"/>
      <c r="T81" s="5" t="e">
        <f>VLOOKUP(G81,'Seismic Springs 2025'!$A:$I,9,0)</f>
        <v>#N/A</v>
      </c>
      <c r="U81" s="5" t="e">
        <f t="shared" si="1"/>
        <v>#N/A</v>
      </c>
    </row>
    <row r="82" spans="1:21" ht="12.75">
      <c r="A82" s="7">
        <v>93055469</v>
      </c>
      <c r="B82" s="7" t="s">
        <v>364</v>
      </c>
      <c r="C82" s="7">
        <v>1.1000000000000001</v>
      </c>
      <c r="D82" s="7">
        <v>4</v>
      </c>
      <c r="E82" s="59"/>
      <c r="L82" s="21">
        <v>5070.74</v>
      </c>
      <c r="M82" s="21">
        <f t="shared" si="0"/>
        <v>2535.37</v>
      </c>
      <c r="R82" s="5" t="e">
        <f>VLOOKUP(E82,'Inertia Bases 2025'!$A:$H,8,0)</f>
        <v>#N/A</v>
      </c>
      <c r="S82" s="5"/>
      <c r="T82" s="5" t="e">
        <f>VLOOKUP(G82,'Seismic Springs 2025'!$A:$I,9,0)</f>
        <v>#N/A</v>
      </c>
      <c r="U82" s="5" t="e">
        <f t="shared" si="1"/>
        <v>#N/A</v>
      </c>
    </row>
    <row r="83" spans="1:21" ht="12.75">
      <c r="A83" s="7">
        <v>93055470</v>
      </c>
      <c r="B83" s="7" t="s">
        <v>365</v>
      </c>
      <c r="C83" s="7">
        <v>1.1000000000000001</v>
      </c>
      <c r="D83" s="7">
        <v>6</v>
      </c>
      <c r="E83" s="59"/>
      <c r="L83" s="21">
        <v>5742.63</v>
      </c>
      <c r="M83" s="21">
        <f t="shared" si="0"/>
        <v>2871.3150000000001</v>
      </c>
      <c r="R83" s="5" t="e">
        <f>VLOOKUP(E83,'Inertia Bases 2025'!$A:$H,8,0)</f>
        <v>#N/A</v>
      </c>
      <c r="S83" s="5"/>
      <c r="T83" s="5" t="e">
        <f>VLOOKUP(G83,'Seismic Springs 2025'!$A:$I,9,0)</f>
        <v>#N/A</v>
      </c>
      <c r="U83" s="5" t="e">
        <f t="shared" si="1"/>
        <v>#N/A</v>
      </c>
    </row>
    <row r="84" spans="1:21" ht="12.75">
      <c r="A84" s="7">
        <v>93055472</v>
      </c>
      <c r="B84" s="7" t="s">
        <v>366</v>
      </c>
      <c r="C84" s="7">
        <v>0.75</v>
      </c>
      <c r="D84" s="7">
        <v>6</v>
      </c>
      <c r="E84" s="59"/>
      <c r="L84" s="21">
        <v>5723.2</v>
      </c>
      <c r="M84" s="21">
        <f t="shared" si="0"/>
        <v>2861.6</v>
      </c>
      <c r="R84" s="5" t="e">
        <f>VLOOKUP(E84,'Inertia Bases 2025'!$A:$H,8,0)</f>
        <v>#N/A</v>
      </c>
      <c r="S84" s="5"/>
      <c r="T84" s="5" t="e">
        <f>VLOOKUP(G84,'Seismic Springs 2025'!$A:$I,9,0)</f>
        <v>#N/A</v>
      </c>
      <c r="U84" s="5" t="e">
        <f t="shared" si="1"/>
        <v>#N/A</v>
      </c>
    </row>
    <row r="85" spans="1:21" ht="12.75">
      <c r="A85" s="7">
        <v>93055473</v>
      </c>
      <c r="B85" s="7" t="s">
        <v>367</v>
      </c>
      <c r="C85" s="7">
        <v>0.55000000000000004</v>
      </c>
      <c r="D85" s="7">
        <v>6</v>
      </c>
      <c r="E85" s="59"/>
      <c r="L85" s="21">
        <v>5684.58</v>
      </c>
      <c r="M85" s="21">
        <f t="shared" si="0"/>
        <v>2842.29</v>
      </c>
      <c r="R85" s="5" t="e">
        <f>VLOOKUP(E85,'Inertia Bases 2025'!$A:$H,8,0)</f>
        <v>#N/A</v>
      </c>
      <c r="S85" s="5"/>
      <c r="T85" s="5" t="e">
        <f>VLOOKUP(G85,'Seismic Springs 2025'!$A:$I,9,0)</f>
        <v>#N/A</v>
      </c>
      <c r="U85" s="5" t="e">
        <f t="shared" si="1"/>
        <v>#N/A</v>
      </c>
    </row>
    <row r="86" spans="1:21" ht="12.75">
      <c r="A86" s="7">
        <v>93055474</v>
      </c>
      <c r="B86" s="7" t="s">
        <v>368</v>
      </c>
      <c r="C86" s="7">
        <v>7.5</v>
      </c>
      <c r="D86" s="7">
        <v>4</v>
      </c>
      <c r="E86" s="59"/>
      <c r="L86" s="21">
        <v>6831.89</v>
      </c>
      <c r="M86" s="21">
        <f t="shared" si="0"/>
        <v>3415.9450000000002</v>
      </c>
      <c r="R86" s="5" t="e">
        <f>VLOOKUP(E86,'Inertia Bases 2025'!$A:$H,8,0)</f>
        <v>#N/A</v>
      </c>
      <c r="S86" s="5"/>
      <c r="T86" s="5" t="e">
        <f>VLOOKUP(G86,'Seismic Springs 2025'!$A:$I,9,0)</f>
        <v>#N/A</v>
      </c>
      <c r="U86" s="5" t="e">
        <f t="shared" si="1"/>
        <v>#N/A</v>
      </c>
    </row>
    <row r="87" spans="1:21" ht="12.75">
      <c r="A87" s="7">
        <v>93055475</v>
      </c>
      <c r="B87" s="7" t="s">
        <v>369</v>
      </c>
      <c r="C87" s="7">
        <v>5.5</v>
      </c>
      <c r="D87" s="7">
        <v>4</v>
      </c>
      <c r="E87" s="59"/>
      <c r="L87" s="21">
        <v>6528.38</v>
      </c>
      <c r="M87" s="21">
        <f t="shared" si="0"/>
        <v>3264.19</v>
      </c>
      <c r="R87" s="5" t="e">
        <f>VLOOKUP(E87,'Inertia Bases 2025'!$A:$H,8,0)</f>
        <v>#N/A</v>
      </c>
      <c r="S87" s="5"/>
      <c r="T87" s="5" t="e">
        <f>VLOOKUP(G87,'Seismic Springs 2025'!$A:$I,9,0)</f>
        <v>#N/A</v>
      </c>
      <c r="U87" s="5" t="e">
        <f t="shared" si="1"/>
        <v>#N/A</v>
      </c>
    </row>
    <row r="88" spans="1:21" ht="12.75">
      <c r="A88" s="7">
        <v>93055476</v>
      </c>
      <c r="B88" s="7" t="s">
        <v>370</v>
      </c>
      <c r="C88" s="7">
        <v>4</v>
      </c>
      <c r="D88" s="7">
        <v>4</v>
      </c>
      <c r="E88" s="59"/>
      <c r="L88" s="21">
        <v>6141.14</v>
      </c>
      <c r="M88" s="21">
        <f t="shared" si="0"/>
        <v>3070.57</v>
      </c>
      <c r="R88" s="5" t="e">
        <f>VLOOKUP(E88,'Inertia Bases 2025'!$A:$H,8,0)</f>
        <v>#N/A</v>
      </c>
      <c r="S88" s="5"/>
      <c r="T88" s="5" t="e">
        <f>VLOOKUP(G88,'Seismic Springs 2025'!$A:$I,9,0)</f>
        <v>#N/A</v>
      </c>
      <c r="U88" s="5" t="e">
        <f t="shared" si="1"/>
        <v>#N/A</v>
      </c>
    </row>
    <row r="89" spans="1:21" ht="12.75">
      <c r="A89" s="7">
        <v>93055477</v>
      </c>
      <c r="B89" s="7" t="s">
        <v>371</v>
      </c>
      <c r="C89" s="7">
        <v>3</v>
      </c>
      <c r="D89" s="7">
        <v>4</v>
      </c>
      <c r="E89" s="59"/>
      <c r="L89" s="21">
        <v>5854.92</v>
      </c>
      <c r="M89" s="21">
        <f t="shared" si="0"/>
        <v>2927.46</v>
      </c>
      <c r="R89" s="5" t="e">
        <f>VLOOKUP(E89,'Inertia Bases 2025'!$A:$H,8,0)</f>
        <v>#N/A</v>
      </c>
      <c r="S89" s="5"/>
      <c r="T89" s="5" t="e">
        <f>VLOOKUP(G89,'Seismic Springs 2025'!$A:$I,9,0)</f>
        <v>#N/A</v>
      </c>
      <c r="U89" s="5" t="e">
        <f t="shared" si="1"/>
        <v>#N/A</v>
      </c>
    </row>
    <row r="90" spans="1:21" ht="12.75">
      <c r="A90" s="7">
        <v>93055478</v>
      </c>
      <c r="B90" s="7" t="s">
        <v>368</v>
      </c>
      <c r="C90" s="7">
        <v>2.2000000000000002</v>
      </c>
      <c r="D90" s="7">
        <v>6</v>
      </c>
      <c r="E90" s="59"/>
      <c r="L90" s="21">
        <v>6703.49</v>
      </c>
      <c r="M90" s="21">
        <f t="shared" si="0"/>
        <v>3351.7449999999999</v>
      </c>
      <c r="R90" s="5" t="e">
        <f>VLOOKUP(E90,'Inertia Bases 2025'!$A:$H,8,0)</f>
        <v>#N/A</v>
      </c>
      <c r="S90" s="5"/>
      <c r="T90" s="5" t="e">
        <f>VLOOKUP(G90,'Seismic Springs 2025'!$A:$I,9,0)</f>
        <v>#N/A</v>
      </c>
      <c r="U90" s="5" t="e">
        <f t="shared" si="1"/>
        <v>#N/A</v>
      </c>
    </row>
    <row r="91" spans="1:21" ht="12.75">
      <c r="A91" s="7">
        <v>93055479</v>
      </c>
      <c r="B91" s="7" t="s">
        <v>372</v>
      </c>
      <c r="C91" s="7">
        <v>1.5</v>
      </c>
      <c r="D91" s="7">
        <v>6</v>
      </c>
      <c r="E91" s="59"/>
      <c r="L91" s="21">
        <v>6415.24</v>
      </c>
      <c r="M91" s="21">
        <f t="shared" si="0"/>
        <v>3207.62</v>
      </c>
      <c r="R91" s="5" t="e">
        <f>VLOOKUP(E91,'Inertia Bases 2025'!$A:$H,8,0)</f>
        <v>#N/A</v>
      </c>
      <c r="S91" s="5"/>
      <c r="T91" s="5" t="e">
        <f>VLOOKUP(G91,'Seismic Springs 2025'!$A:$I,9,0)</f>
        <v>#N/A</v>
      </c>
      <c r="U91" s="5" t="e">
        <f t="shared" si="1"/>
        <v>#N/A</v>
      </c>
    </row>
    <row r="92" spans="1:21" ht="12.75">
      <c r="A92" s="7">
        <v>93055480</v>
      </c>
      <c r="B92" s="7" t="s">
        <v>373</v>
      </c>
      <c r="C92" s="7">
        <v>1.1000000000000001</v>
      </c>
      <c r="D92" s="7">
        <v>6</v>
      </c>
      <c r="E92" s="59"/>
      <c r="L92" s="21">
        <v>6225.37</v>
      </c>
      <c r="M92" s="21">
        <f t="shared" si="0"/>
        <v>3112.6849999999999</v>
      </c>
      <c r="R92" s="5" t="e">
        <f>VLOOKUP(E92,'Inertia Bases 2025'!$A:$H,8,0)</f>
        <v>#N/A</v>
      </c>
      <c r="S92" s="5"/>
      <c r="T92" s="5" t="e">
        <f>VLOOKUP(G92,'Seismic Springs 2025'!$A:$I,9,0)</f>
        <v>#N/A</v>
      </c>
      <c r="U92" s="5" t="e">
        <f t="shared" si="1"/>
        <v>#N/A</v>
      </c>
    </row>
    <row r="93" spans="1:21" ht="12.75">
      <c r="A93" s="7">
        <v>93055481</v>
      </c>
      <c r="B93" s="7" t="s">
        <v>374</v>
      </c>
      <c r="C93" s="7">
        <v>0.75</v>
      </c>
      <c r="D93" s="7">
        <v>6</v>
      </c>
      <c r="E93" s="59"/>
      <c r="L93" s="21">
        <v>6204.92</v>
      </c>
      <c r="M93" s="21">
        <f t="shared" si="0"/>
        <v>3102.46</v>
      </c>
      <c r="R93" s="5" t="e">
        <f>VLOOKUP(E93,'Inertia Bases 2025'!$A:$H,8,0)</f>
        <v>#N/A</v>
      </c>
      <c r="S93" s="5"/>
      <c r="T93" s="5" t="e">
        <f>VLOOKUP(G93,'Seismic Springs 2025'!$A:$I,9,0)</f>
        <v>#N/A</v>
      </c>
      <c r="U93" s="5" t="e">
        <f t="shared" si="1"/>
        <v>#N/A</v>
      </c>
    </row>
    <row r="94" spans="1:21" ht="12.75">
      <c r="A94" s="7">
        <v>93055482</v>
      </c>
      <c r="B94" s="7" t="s">
        <v>375</v>
      </c>
      <c r="C94" s="7">
        <v>18.5</v>
      </c>
      <c r="D94" s="7">
        <v>2</v>
      </c>
      <c r="E94" s="59"/>
      <c r="L94" s="21">
        <v>8338.36</v>
      </c>
      <c r="M94" s="21">
        <f t="shared" si="0"/>
        <v>4169.18</v>
      </c>
      <c r="R94" s="5" t="e">
        <f>VLOOKUP(E94,'Inertia Bases 2025'!$A:$H,8,0)</f>
        <v>#N/A</v>
      </c>
      <c r="S94" s="5"/>
      <c r="T94" s="5" t="e">
        <f>VLOOKUP(G94,'Seismic Springs 2025'!$A:$I,9,0)</f>
        <v>#N/A</v>
      </c>
      <c r="U94" s="5" t="e">
        <f t="shared" si="1"/>
        <v>#N/A</v>
      </c>
    </row>
    <row r="95" spans="1:21" ht="12.75">
      <c r="A95" s="7">
        <v>93055483</v>
      </c>
      <c r="B95" s="7" t="s">
        <v>376</v>
      </c>
      <c r="C95" s="7">
        <v>15</v>
      </c>
      <c r="D95" s="7">
        <v>2</v>
      </c>
      <c r="E95" s="59">
        <v>91338087</v>
      </c>
      <c r="F95" s="7" t="s">
        <v>743</v>
      </c>
      <c r="G95" s="1">
        <v>91338157</v>
      </c>
      <c r="H95" s="7" t="s">
        <v>744</v>
      </c>
      <c r="K95" s="7">
        <v>4</v>
      </c>
      <c r="L95" s="21">
        <v>7097.69</v>
      </c>
      <c r="M95" s="21">
        <f t="shared" si="0"/>
        <v>3548.8449999999998</v>
      </c>
      <c r="R95" s="5">
        <f>VLOOKUP(E95,'Inertia Bases 2025'!$A:$H,8,0)</f>
        <v>541.04</v>
      </c>
      <c r="S95" s="5"/>
      <c r="T95" s="5">
        <f>VLOOKUP(G95,'Seismic Springs 2025'!$A:$I,9,0)</f>
        <v>66.3</v>
      </c>
      <c r="U95" s="5">
        <f t="shared" si="1"/>
        <v>265.2</v>
      </c>
    </row>
    <row r="96" spans="1:21" ht="12.75">
      <c r="A96" s="7">
        <v>93055484</v>
      </c>
      <c r="B96" s="7" t="s">
        <v>377</v>
      </c>
      <c r="C96" s="7">
        <v>11</v>
      </c>
      <c r="D96" s="7">
        <v>2</v>
      </c>
      <c r="E96" s="59">
        <v>91338087</v>
      </c>
      <c r="F96" s="7" t="s">
        <v>743</v>
      </c>
      <c r="G96" s="1">
        <v>91338157</v>
      </c>
      <c r="H96" s="7" t="s">
        <v>744</v>
      </c>
      <c r="K96" s="7">
        <v>4</v>
      </c>
      <c r="L96" s="21">
        <v>6839.82</v>
      </c>
      <c r="M96" s="21">
        <f t="shared" si="0"/>
        <v>3419.91</v>
      </c>
      <c r="R96" s="5">
        <f>VLOOKUP(E96,'Inertia Bases 2025'!$A:$H,8,0)</f>
        <v>541.04</v>
      </c>
      <c r="S96" s="5"/>
      <c r="T96" s="5">
        <f>VLOOKUP(G96,'Seismic Springs 2025'!$A:$I,9,0)</f>
        <v>66.3</v>
      </c>
      <c r="U96" s="5">
        <f t="shared" si="1"/>
        <v>265.2</v>
      </c>
    </row>
    <row r="97" spans="1:21" ht="12.75">
      <c r="A97" s="7">
        <v>93055485</v>
      </c>
      <c r="B97" s="7" t="s">
        <v>378</v>
      </c>
      <c r="C97" s="7">
        <v>7.5</v>
      </c>
      <c r="D97" s="7">
        <v>2</v>
      </c>
      <c r="E97" s="59"/>
      <c r="L97" s="21">
        <v>5797.39</v>
      </c>
      <c r="M97" s="21">
        <f t="shared" si="0"/>
        <v>2898.6950000000002</v>
      </c>
      <c r="R97" s="5" t="e">
        <f>VLOOKUP(E97,'Inertia Bases 2025'!$A:$H,8,0)</f>
        <v>#N/A</v>
      </c>
      <c r="S97" s="5"/>
      <c r="T97" s="5" t="e">
        <f>VLOOKUP(G97,'Seismic Springs 2025'!$A:$I,9,0)</f>
        <v>#N/A</v>
      </c>
      <c r="U97" s="5" t="e">
        <f t="shared" si="1"/>
        <v>#N/A</v>
      </c>
    </row>
    <row r="98" spans="1:21" ht="12.75">
      <c r="A98" s="7">
        <v>93055486</v>
      </c>
      <c r="B98" s="7" t="s">
        <v>379</v>
      </c>
      <c r="C98" s="7">
        <v>5.5</v>
      </c>
      <c r="D98" s="7">
        <v>2</v>
      </c>
      <c r="E98" s="59"/>
      <c r="L98" s="21">
        <v>5626.72</v>
      </c>
      <c r="M98" s="21">
        <f t="shared" si="0"/>
        <v>2813.36</v>
      </c>
      <c r="R98" s="5" t="e">
        <f>VLOOKUP(E98,'Inertia Bases 2025'!$A:$H,8,0)</f>
        <v>#N/A</v>
      </c>
      <c r="S98" s="5"/>
      <c r="T98" s="5" t="e">
        <f>VLOOKUP(G98,'Seismic Springs 2025'!$A:$I,9,0)</f>
        <v>#N/A</v>
      </c>
      <c r="U98" s="5" t="e">
        <f t="shared" si="1"/>
        <v>#N/A</v>
      </c>
    </row>
    <row r="99" spans="1:21" ht="12.75">
      <c r="A99" s="7">
        <v>93055487</v>
      </c>
      <c r="B99" s="7" t="s">
        <v>380</v>
      </c>
      <c r="C99" s="7">
        <v>4</v>
      </c>
      <c r="D99" s="7">
        <v>2</v>
      </c>
      <c r="E99" s="59"/>
      <c r="L99" s="21">
        <v>5215.57</v>
      </c>
      <c r="M99" s="21">
        <f t="shared" si="0"/>
        <v>2607.7849999999999</v>
      </c>
      <c r="R99" s="5" t="e">
        <f>VLOOKUP(E99,'Inertia Bases 2025'!$A:$H,8,0)</f>
        <v>#N/A</v>
      </c>
      <c r="S99" s="5"/>
      <c r="T99" s="5" t="e">
        <f>VLOOKUP(G99,'Seismic Springs 2025'!$A:$I,9,0)</f>
        <v>#N/A</v>
      </c>
      <c r="U99" s="5" t="e">
        <f t="shared" si="1"/>
        <v>#N/A</v>
      </c>
    </row>
    <row r="100" spans="1:21" ht="12.75">
      <c r="A100" s="7">
        <v>93055488</v>
      </c>
      <c r="B100" s="7" t="s">
        <v>375</v>
      </c>
      <c r="C100" s="7">
        <v>2.2000000000000002</v>
      </c>
      <c r="D100" s="7">
        <v>4</v>
      </c>
      <c r="E100" s="59"/>
      <c r="L100" s="21">
        <v>4950.88</v>
      </c>
      <c r="M100" s="21">
        <f t="shared" si="0"/>
        <v>2475.44</v>
      </c>
      <c r="R100" s="5" t="e">
        <f>VLOOKUP(E100,'Inertia Bases 2025'!$A:$H,8,0)</f>
        <v>#N/A</v>
      </c>
      <c r="S100" s="5"/>
      <c r="T100" s="5" t="e">
        <f>VLOOKUP(G100,'Seismic Springs 2025'!$A:$I,9,0)</f>
        <v>#N/A</v>
      </c>
      <c r="U100" s="5" t="e">
        <f t="shared" si="1"/>
        <v>#N/A</v>
      </c>
    </row>
    <row r="101" spans="1:21" ht="12.75">
      <c r="A101" s="7">
        <v>93055489</v>
      </c>
      <c r="B101" s="7" t="s">
        <v>381</v>
      </c>
      <c r="C101" s="7">
        <v>1.5</v>
      </c>
      <c r="D101" s="7">
        <v>4</v>
      </c>
      <c r="E101" s="59"/>
      <c r="L101" s="21">
        <v>4716.18</v>
      </c>
      <c r="M101" s="21">
        <f t="shared" si="0"/>
        <v>2358.09</v>
      </c>
      <c r="R101" s="5" t="e">
        <f>VLOOKUP(E101,'Inertia Bases 2025'!$A:$H,8,0)</f>
        <v>#N/A</v>
      </c>
      <c r="S101" s="5"/>
      <c r="T101" s="5" t="e">
        <f>VLOOKUP(G101,'Seismic Springs 2025'!$A:$I,9,0)</f>
        <v>#N/A</v>
      </c>
      <c r="U101" s="5" t="e">
        <f t="shared" si="1"/>
        <v>#N/A</v>
      </c>
    </row>
    <row r="102" spans="1:21" ht="12.75">
      <c r="A102" s="7">
        <v>93055490</v>
      </c>
      <c r="B102" s="7" t="s">
        <v>382</v>
      </c>
      <c r="C102" s="7">
        <v>1.1000000000000001</v>
      </c>
      <c r="D102" s="7">
        <v>4</v>
      </c>
      <c r="E102" s="59"/>
      <c r="L102" s="21">
        <v>4601.47</v>
      </c>
      <c r="M102" s="21">
        <f t="shared" si="0"/>
        <v>2300.7350000000001</v>
      </c>
      <c r="R102" s="5" t="e">
        <f>VLOOKUP(E102,'Inertia Bases 2025'!$A:$H,8,0)</f>
        <v>#N/A</v>
      </c>
      <c r="S102" s="5"/>
      <c r="T102" s="5" t="e">
        <f>VLOOKUP(G102,'Seismic Springs 2025'!$A:$I,9,0)</f>
        <v>#N/A</v>
      </c>
      <c r="U102" s="5" t="e">
        <f t="shared" si="1"/>
        <v>#N/A</v>
      </c>
    </row>
    <row r="103" spans="1:21" ht="12.75">
      <c r="A103" s="7">
        <v>93055492</v>
      </c>
      <c r="B103" s="7" t="s">
        <v>383</v>
      </c>
      <c r="C103" s="7">
        <v>0.75</v>
      </c>
      <c r="D103" s="7">
        <v>4</v>
      </c>
      <c r="E103" s="59"/>
      <c r="L103" s="21">
        <v>4421.75</v>
      </c>
      <c r="M103" s="21">
        <f t="shared" si="0"/>
        <v>2210.875</v>
      </c>
      <c r="R103" s="5" t="e">
        <f>VLOOKUP(E103,'Inertia Bases 2025'!$A:$H,8,0)</f>
        <v>#N/A</v>
      </c>
      <c r="S103" s="5"/>
      <c r="T103" s="5" t="e">
        <f>VLOOKUP(G103,'Seismic Springs 2025'!$A:$I,9,0)</f>
        <v>#N/A</v>
      </c>
      <c r="U103" s="5" t="e">
        <f t="shared" si="1"/>
        <v>#N/A</v>
      </c>
    </row>
    <row r="104" spans="1:21" ht="12.75">
      <c r="A104" s="7">
        <v>93055493</v>
      </c>
      <c r="B104" s="7" t="s">
        <v>384</v>
      </c>
      <c r="C104" s="7">
        <v>55</v>
      </c>
      <c r="D104" s="7">
        <v>2</v>
      </c>
      <c r="E104" s="59"/>
      <c r="L104" s="21">
        <v>17535.98</v>
      </c>
      <c r="M104" s="21">
        <f t="shared" si="0"/>
        <v>8767.99</v>
      </c>
      <c r="R104" s="5" t="e">
        <f>VLOOKUP(E104,'Inertia Bases 2025'!$A:$H,8,0)</f>
        <v>#N/A</v>
      </c>
      <c r="S104" s="5"/>
      <c r="T104" s="5" t="e">
        <f>VLOOKUP(G104,'Seismic Springs 2025'!$A:$I,9,0)</f>
        <v>#N/A</v>
      </c>
      <c r="U104" s="5" t="e">
        <f t="shared" si="1"/>
        <v>#N/A</v>
      </c>
    </row>
    <row r="105" spans="1:21" ht="12.75">
      <c r="A105" s="7">
        <v>93055494</v>
      </c>
      <c r="B105" s="7" t="s">
        <v>385</v>
      </c>
      <c r="C105" s="7">
        <v>45</v>
      </c>
      <c r="D105" s="7">
        <v>2</v>
      </c>
      <c r="E105" s="59"/>
      <c r="L105" s="21">
        <v>16313.14</v>
      </c>
      <c r="M105" s="21">
        <f t="shared" si="0"/>
        <v>8156.57</v>
      </c>
      <c r="R105" s="5" t="e">
        <f>VLOOKUP(E105,'Inertia Bases 2025'!$A:$H,8,0)</f>
        <v>#N/A</v>
      </c>
      <c r="S105" s="5"/>
      <c r="T105" s="5" t="e">
        <f>VLOOKUP(G105,'Seismic Springs 2025'!$A:$I,9,0)</f>
        <v>#N/A</v>
      </c>
      <c r="U105" s="5" t="e">
        <f t="shared" si="1"/>
        <v>#N/A</v>
      </c>
    </row>
    <row r="106" spans="1:21" ht="12.75">
      <c r="A106" s="7">
        <v>93055495</v>
      </c>
      <c r="B106" s="7" t="s">
        <v>386</v>
      </c>
      <c r="C106" s="7">
        <v>37</v>
      </c>
      <c r="D106" s="7">
        <v>2</v>
      </c>
      <c r="E106" s="59"/>
      <c r="L106" s="21">
        <v>12246.84</v>
      </c>
      <c r="M106" s="21">
        <f t="shared" si="0"/>
        <v>6123.42</v>
      </c>
      <c r="R106" s="5" t="e">
        <f>VLOOKUP(E106,'Inertia Bases 2025'!$A:$H,8,0)</f>
        <v>#N/A</v>
      </c>
      <c r="S106" s="5"/>
      <c r="T106" s="5" t="e">
        <f>VLOOKUP(G106,'Seismic Springs 2025'!$A:$I,9,0)</f>
        <v>#N/A</v>
      </c>
      <c r="U106" s="5" t="e">
        <f t="shared" si="1"/>
        <v>#N/A</v>
      </c>
    </row>
    <row r="107" spans="1:21" ht="12.75">
      <c r="A107" s="7">
        <v>93055496</v>
      </c>
      <c r="B107" s="7" t="s">
        <v>387</v>
      </c>
      <c r="C107" s="7">
        <v>30</v>
      </c>
      <c r="D107" s="7">
        <v>2</v>
      </c>
      <c r="E107" s="60">
        <v>91338088</v>
      </c>
      <c r="F107" s="7" t="s">
        <v>732</v>
      </c>
      <c r="G107" s="1">
        <v>91338019</v>
      </c>
      <c r="H107" s="7" t="s">
        <v>733</v>
      </c>
      <c r="K107" s="7">
        <v>4</v>
      </c>
      <c r="L107" s="21">
        <v>11270.2</v>
      </c>
      <c r="M107" s="21">
        <f t="shared" si="0"/>
        <v>5635.1</v>
      </c>
      <c r="R107" s="5">
        <f>VLOOKUP(E107,'Inertia Bases 2025'!$A:$H,8,0)</f>
        <v>547.49</v>
      </c>
      <c r="S107" s="5"/>
      <c r="T107" s="5">
        <f>VLOOKUP(G107,'Seismic Springs 2025'!$A:$I,9,0)</f>
        <v>170.3</v>
      </c>
      <c r="U107" s="5">
        <f t="shared" si="1"/>
        <v>681.2</v>
      </c>
    </row>
    <row r="108" spans="1:21" ht="12.75">
      <c r="A108" s="7">
        <v>93055497</v>
      </c>
      <c r="B108" s="7" t="s">
        <v>388</v>
      </c>
      <c r="C108" s="7">
        <v>22</v>
      </c>
      <c r="D108" s="7">
        <v>2</v>
      </c>
      <c r="E108" s="59"/>
      <c r="L108" s="21">
        <v>10380.790000000001</v>
      </c>
      <c r="M108" s="21">
        <f t="shared" si="0"/>
        <v>5190.3950000000004</v>
      </c>
      <c r="R108" s="5" t="e">
        <f>VLOOKUP(E108,'Inertia Bases 2025'!$A:$H,8,0)</f>
        <v>#N/A</v>
      </c>
      <c r="S108" s="5"/>
      <c r="T108" s="5" t="e">
        <f>VLOOKUP(G108,'Seismic Springs 2025'!$A:$I,9,0)</f>
        <v>#N/A</v>
      </c>
      <c r="U108" s="5" t="e">
        <f t="shared" si="1"/>
        <v>#N/A</v>
      </c>
    </row>
    <row r="109" spans="1:21" ht="12.75">
      <c r="A109" s="7">
        <v>93055498</v>
      </c>
      <c r="B109" s="7" t="s">
        <v>389</v>
      </c>
      <c r="C109" s="7">
        <v>18.5</v>
      </c>
      <c r="D109" s="7">
        <v>2</v>
      </c>
      <c r="E109" s="59"/>
      <c r="L109" s="21">
        <v>9521.51</v>
      </c>
      <c r="M109" s="21">
        <f t="shared" si="0"/>
        <v>4760.7550000000001</v>
      </c>
      <c r="R109" s="5" t="e">
        <f>VLOOKUP(E109,'Inertia Bases 2025'!$A:$H,8,0)</f>
        <v>#N/A</v>
      </c>
      <c r="S109" s="5"/>
      <c r="T109" s="5" t="e">
        <f>VLOOKUP(G109,'Seismic Springs 2025'!$A:$I,9,0)</f>
        <v>#N/A</v>
      </c>
      <c r="U109" s="5" t="e">
        <f t="shared" si="1"/>
        <v>#N/A</v>
      </c>
    </row>
    <row r="110" spans="1:21" ht="12.75">
      <c r="A110" s="7">
        <v>93055499</v>
      </c>
      <c r="B110" s="7" t="s">
        <v>384</v>
      </c>
      <c r="C110" s="7">
        <v>7.5</v>
      </c>
      <c r="D110" s="7">
        <v>4</v>
      </c>
      <c r="E110" s="59"/>
      <c r="L110" s="21">
        <v>7197.69</v>
      </c>
      <c r="M110" s="21">
        <f t="shared" si="0"/>
        <v>3598.8449999999998</v>
      </c>
      <c r="R110" s="5" t="e">
        <f>VLOOKUP(E110,'Inertia Bases 2025'!$A:$H,8,0)</f>
        <v>#N/A</v>
      </c>
      <c r="S110" s="5"/>
      <c r="T110" s="5" t="e">
        <f>VLOOKUP(G110,'Seismic Springs 2025'!$A:$I,9,0)</f>
        <v>#N/A</v>
      </c>
      <c r="U110" s="5" t="e">
        <f t="shared" si="1"/>
        <v>#N/A</v>
      </c>
    </row>
    <row r="111" spans="1:21" ht="12.75">
      <c r="A111" s="7">
        <v>93055500</v>
      </c>
      <c r="B111" s="7" t="s">
        <v>385</v>
      </c>
      <c r="C111" s="7">
        <v>5.5</v>
      </c>
      <c r="D111" s="7">
        <v>4</v>
      </c>
      <c r="E111" s="59"/>
      <c r="L111" s="21">
        <v>6556.25</v>
      </c>
      <c r="M111" s="21">
        <f t="shared" si="0"/>
        <v>3278.125</v>
      </c>
      <c r="R111" s="5" t="e">
        <f>VLOOKUP(E111,'Inertia Bases 2025'!$A:$H,8,0)</f>
        <v>#N/A</v>
      </c>
      <c r="S111" s="5"/>
      <c r="T111" s="5" t="e">
        <f>VLOOKUP(G111,'Seismic Springs 2025'!$A:$I,9,0)</f>
        <v>#N/A</v>
      </c>
      <c r="U111" s="5" t="e">
        <f t="shared" si="1"/>
        <v>#N/A</v>
      </c>
    </row>
    <row r="112" spans="1:21" ht="12.75">
      <c r="A112" s="7">
        <v>93055501</v>
      </c>
      <c r="B112" s="7" t="s">
        <v>390</v>
      </c>
      <c r="C112" s="7">
        <v>4</v>
      </c>
      <c r="D112" s="7">
        <v>4</v>
      </c>
      <c r="E112" s="59"/>
      <c r="L112" s="21">
        <v>6165.32</v>
      </c>
      <c r="M112" s="21">
        <f t="shared" si="0"/>
        <v>3082.66</v>
      </c>
      <c r="R112" s="5" t="e">
        <f>VLOOKUP(E112,'Inertia Bases 2025'!$A:$H,8,0)</f>
        <v>#N/A</v>
      </c>
      <c r="S112" s="5"/>
      <c r="T112" s="5" t="e">
        <f>VLOOKUP(G112,'Seismic Springs 2025'!$A:$I,9,0)</f>
        <v>#N/A</v>
      </c>
      <c r="U112" s="5" t="e">
        <f t="shared" si="1"/>
        <v>#N/A</v>
      </c>
    </row>
    <row r="113" spans="1:21" ht="12.75">
      <c r="A113" s="7">
        <v>93055502</v>
      </c>
      <c r="B113" s="7" t="s">
        <v>391</v>
      </c>
      <c r="C113" s="7">
        <v>3</v>
      </c>
      <c r="D113" s="7">
        <v>4</v>
      </c>
      <c r="E113" s="59"/>
      <c r="L113" s="21">
        <v>5879.06</v>
      </c>
      <c r="M113" s="21">
        <f t="shared" si="0"/>
        <v>2939.53</v>
      </c>
      <c r="R113" s="5" t="e">
        <f>VLOOKUP(E113,'Inertia Bases 2025'!$A:$H,8,0)</f>
        <v>#N/A</v>
      </c>
      <c r="S113" s="5"/>
      <c r="T113" s="5" t="e">
        <f>VLOOKUP(G113,'Seismic Springs 2025'!$A:$I,9,0)</f>
        <v>#N/A</v>
      </c>
      <c r="U113" s="5" t="e">
        <f t="shared" si="1"/>
        <v>#N/A</v>
      </c>
    </row>
    <row r="114" spans="1:21" ht="12.75">
      <c r="A114" s="7">
        <v>93055503</v>
      </c>
      <c r="B114" s="7" t="s">
        <v>392</v>
      </c>
      <c r="C114" s="7">
        <v>2.2000000000000002</v>
      </c>
      <c r="D114" s="7">
        <v>4</v>
      </c>
      <c r="E114" s="59"/>
      <c r="L114" s="21">
        <v>5744.82</v>
      </c>
      <c r="M114" s="21">
        <f t="shared" si="0"/>
        <v>2872.41</v>
      </c>
      <c r="R114" s="5" t="e">
        <f>VLOOKUP(E114,'Inertia Bases 2025'!$A:$H,8,0)</f>
        <v>#N/A</v>
      </c>
      <c r="S114" s="5"/>
      <c r="T114" s="5" t="e">
        <f>VLOOKUP(G114,'Seismic Springs 2025'!$A:$I,9,0)</f>
        <v>#N/A</v>
      </c>
      <c r="U114" s="5" t="e">
        <f t="shared" si="1"/>
        <v>#N/A</v>
      </c>
    </row>
    <row r="115" spans="1:21" ht="12.75">
      <c r="A115" s="7">
        <v>93055504</v>
      </c>
      <c r="B115" s="7" t="s">
        <v>393</v>
      </c>
      <c r="C115" s="7">
        <v>1.5</v>
      </c>
      <c r="D115" s="7">
        <v>4</v>
      </c>
      <c r="E115" s="59"/>
      <c r="L115" s="21">
        <v>5556.06</v>
      </c>
      <c r="M115" s="21">
        <f t="shared" si="0"/>
        <v>2778.03</v>
      </c>
      <c r="R115" s="5" t="e">
        <f>VLOOKUP(E115,'Inertia Bases 2025'!$A:$H,8,0)</f>
        <v>#N/A</v>
      </c>
      <c r="S115" s="5"/>
      <c r="T115" s="5" t="e">
        <f>VLOOKUP(G115,'Seismic Springs 2025'!$A:$I,9,0)</f>
        <v>#N/A</v>
      </c>
      <c r="U115" s="5" t="e">
        <f t="shared" si="1"/>
        <v>#N/A</v>
      </c>
    </row>
    <row r="116" spans="1:21" ht="12.75">
      <c r="A116" s="7">
        <v>93055506</v>
      </c>
      <c r="B116" s="7" t="s">
        <v>384</v>
      </c>
      <c r="C116" s="7">
        <v>2.2000000000000002</v>
      </c>
      <c r="D116" s="7">
        <v>6</v>
      </c>
      <c r="E116" s="59"/>
      <c r="L116" s="21">
        <v>6591.76</v>
      </c>
      <c r="M116" s="21">
        <f t="shared" si="0"/>
        <v>3295.88</v>
      </c>
      <c r="R116" s="5" t="e">
        <f>VLOOKUP(E116,'Inertia Bases 2025'!$A:$H,8,0)</f>
        <v>#N/A</v>
      </c>
      <c r="S116" s="5"/>
      <c r="T116" s="5" t="e">
        <f>VLOOKUP(G116,'Seismic Springs 2025'!$A:$I,9,0)</f>
        <v>#N/A</v>
      </c>
      <c r="U116" s="5" t="e">
        <f t="shared" si="1"/>
        <v>#N/A</v>
      </c>
    </row>
    <row r="117" spans="1:21" ht="12.75">
      <c r="A117" s="7">
        <v>93055507</v>
      </c>
      <c r="B117" s="7" t="s">
        <v>394</v>
      </c>
      <c r="C117" s="7">
        <v>1.5</v>
      </c>
      <c r="D117" s="7">
        <v>6</v>
      </c>
      <c r="E117" s="59"/>
      <c r="L117" s="21">
        <v>6358.63</v>
      </c>
      <c r="M117" s="21">
        <f t="shared" si="0"/>
        <v>3179.3150000000001</v>
      </c>
      <c r="R117" s="5" t="e">
        <f>VLOOKUP(E117,'Inertia Bases 2025'!$A:$H,8,0)</f>
        <v>#N/A</v>
      </c>
      <c r="S117" s="5"/>
      <c r="T117" s="5" t="e">
        <f>VLOOKUP(G117,'Seismic Springs 2025'!$A:$I,9,0)</f>
        <v>#N/A</v>
      </c>
      <c r="U117" s="5" t="e">
        <f t="shared" si="1"/>
        <v>#N/A</v>
      </c>
    </row>
    <row r="118" spans="1:21" ht="12.75">
      <c r="A118" s="7">
        <v>93055508</v>
      </c>
      <c r="B118" s="7" t="s">
        <v>395</v>
      </c>
      <c r="C118" s="7">
        <v>1.1000000000000001</v>
      </c>
      <c r="D118" s="7">
        <v>6</v>
      </c>
      <c r="E118" s="59"/>
      <c r="L118" s="21">
        <v>6172.7</v>
      </c>
      <c r="M118" s="21">
        <f t="shared" si="0"/>
        <v>3086.35</v>
      </c>
      <c r="R118" s="5" t="e">
        <f>VLOOKUP(E118,'Inertia Bases 2025'!$A:$H,8,0)</f>
        <v>#N/A</v>
      </c>
      <c r="S118" s="5"/>
      <c r="T118" s="5" t="e">
        <f>VLOOKUP(G118,'Seismic Springs 2025'!$A:$I,9,0)</f>
        <v>#N/A</v>
      </c>
      <c r="U118" s="5" t="e">
        <f t="shared" si="1"/>
        <v>#N/A</v>
      </c>
    </row>
    <row r="119" spans="1:21" ht="12.75">
      <c r="A119" s="7">
        <v>93055509</v>
      </c>
      <c r="B119" s="7" t="s">
        <v>396</v>
      </c>
      <c r="C119" s="7">
        <v>0.75</v>
      </c>
      <c r="D119" s="7">
        <v>6</v>
      </c>
      <c r="E119" s="59"/>
      <c r="L119" s="21">
        <v>6128.17</v>
      </c>
      <c r="M119" s="21">
        <f t="shared" si="0"/>
        <v>3064.085</v>
      </c>
      <c r="R119" s="5" t="e">
        <f>VLOOKUP(E119,'Inertia Bases 2025'!$A:$H,8,0)</f>
        <v>#N/A</v>
      </c>
      <c r="S119" s="5"/>
      <c r="T119" s="5" t="e">
        <f>VLOOKUP(G119,'Seismic Springs 2025'!$A:$I,9,0)</f>
        <v>#N/A</v>
      </c>
      <c r="U119" s="5" t="e">
        <f t="shared" si="1"/>
        <v>#N/A</v>
      </c>
    </row>
    <row r="120" spans="1:21" ht="12.75">
      <c r="A120" s="7">
        <v>93055510</v>
      </c>
      <c r="B120" s="7" t="s">
        <v>397</v>
      </c>
      <c r="C120" s="7">
        <v>11</v>
      </c>
      <c r="D120" s="7">
        <v>4</v>
      </c>
      <c r="E120" s="59"/>
      <c r="L120" s="21">
        <v>9534.9699999999993</v>
      </c>
      <c r="M120" s="21">
        <f t="shared" si="0"/>
        <v>4767.4849999999997</v>
      </c>
      <c r="R120" s="5" t="e">
        <f>VLOOKUP(E120,'Inertia Bases 2025'!$A:$H,8,0)</f>
        <v>#N/A</v>
      </c>
      <c r="S120" s="5"/>
      <c r="T120" s="5" t="e">
        <f>VLOOKUP(G120,'Seismic Springs 2025'!$A:$I,9,0)</f>
        <v>#N/A</v>
      </c>
      <c r="U120" s="5" t="e">
        <f t="shared" si="1"/>
        <v>#N/A</v>
      </c>
    </row>
    <row r="121" spans="1:21" ht="12.75">
      <c r="A121" s="7">
        <v>93055511</v>
      </c>
      <c r="B121" s="7" t="s">
        <v>398</v>
      </c>
      <c r="C121" s="7">
        <v>7.5</v>
      </c>
      <c r="D121" s="7">
        <v>4</v>
      </c>
      <c r="E121" s="59"/>
      <c r="L121" s="21">
        <v>8001.73</v>
      </c>
      <c r="M121" s="21">
        <f t="shared" si="0"/>
        <v>4000.8649999999998</v>
      </c>
      <c r="R121" s="5" t="e">
        <f>VLOOKUP(E121,'Inertia Bases 2025'!$A:$H,8,0)</f>
        <v>#N/A</v>
      </c>
      <c r="S121" s="5"/>
      <c r="T121" s="5" t="e">
        <f>VLOOKUP(G121,'Seismic Springs 2025'!$A:$I,9,0)</f>
        <v>#N/A</v>
      </c>
      <c r="U121" s="5" t="e">
        <f t="shared" si="1"/>
        <v>#N/A</v>
      </c>
    </row>
    <row r="122" spans="1:21" ht="12.75">
      <c r="A122" s="7">
        <v>93055512</v>
      </c>
      <c r="B122" s="7" t="s">
        <v>399</v>
      </c>
      <c r="C122" s="7">
        <v>5.5</v>
      </c>
      <c r="D122" s="7">
        <v>4</v>
      </c>
      <c r="E122" s="59">
        <v>91338087</v>
      </c>
      <c r="F122" s="7" t="s">
        <v>743</v>
      </c>
      <c r="G122" s="7">
        <v>91338157</v>
      </c>
      <c r="H122" s="1" t="s">
        <v>744</v>
      </c>
      <c r="K122" s="7">
        <v>4</v>
      </c>
      <c r="L122" s="21">
        <v>7757.65</v>
      </c>
      <c r="M122" s="21">
        <f t="shared" si="0"/>
        <v>3878.8249999999998</v>
      </c>
      <c r="R122" s="5">
        <f>VLOOKUP(E122,'Inertia Bases 2025'!$A:$H,8,0)</f>
        <v>541.04</v>
      </c>
      <c r="S122" s="5"/>
      <c r="T122" s="5">
        <f>VLOOKUP(G122,'Seismic Springs 2025'!$A:$I,9,0)</f>
        <v>66.3</v>
      </c>
      <c r="U122" s="5">
        <f t="shared" si="1"/>
        <v>265.2</v>
      </c>
    </row>
    <row r="123" spans="1:21" ht="12.75">
      <c r="A123" s="7">
        <v>93055513</v>
      </c>
      <c r="B123" s="7" t="s">
        <v>400</v>
      </c>
      <c r="C123" s="7">
        <v>4</v>
      </c>
      <c r="D123" s="7">
        <v>4</v>
      </c>
      <c r="E123" s="59"/>
      <c r="L123" s="21">
        <v>7821.26</v>
      </c>
      <c r="M123" s="21">
        <f t="shared" si="0"/>
        <v>3910.63</v>
      </c>
      <c r="R123" s="5" t="e">
        <f>VLOOKUP(E123,'Inertia Bases 2025'!$A:$H,8,0)</f>
        <v>#N/A</v>
      </c>
      <c r="S123" s="5"/>
      <c r="T123" s="5" t="e">
        <f>VLOOKUP(G123,'Seismic Springs 2025'!$A:$I,9,0)</f>
        <v>#N/A</v>
      </c>
      <c r="U123" s="5" t="e">
        <f t="shared" si="1"/>
        <v>#N/A</v>
      </c>
    </row>
    <row r="124" spans="1:21" ht="12.75">
      <c r="A124" s="7">
        <v>93055514</v>
      </c>
      <c r="B124" s="7" t="s">
        <v>397</v>
      </c>
      <c r="C124" s="7">
        <v>3</v>
      </c>
      <c r="D124" s="7">
        <v>6</v>
      </c>
      <c r="E124" s="59"/>
      <c r="L124" s="21">
        <v>8745.6299999999992</v>
      </c>
      <c r="M124" s="21">
        <f t="shared" si="0"/>
        <v>4372.8149999999996</v>
      </c>
      <c r="R124" s="5" t="e">
        <f>VLOOKUP(E124,'Inertia Bases 2025'!$A:$H,8,0)</f>
        <v>#N/A</v>
      </c>
      <c r="S124" s="5"/>
      <c r="T124" s="5" t="e">
        <f>VLOOKUP(G124,'Seismic Springs 2025'!$A:$I,9,0)</f>
        <v>#N/A</v>
      </c>
      <c r="U124" s="5" t="e">
        <f t="shared" si="1"/>
        <v>#N/A</v>
      </c>
    </row>
    <row r="125" spans="1:21" ht="12.75">
      <c r="A125" s="7">
        <v>93055515</v>
      </c>
      <c r="B125" s="7" t="s">
        <v>401</v>
      </c>
      <c r="C125" s="7">
        <v>2.2000000000000002</v>
      </c>
      <c r="D125" s="7">
        <v>6</v>
      </c>
      <c r="E125" s="59"/>
      <c r="L125" s="21">
        <v>8245.94</v>
      </c>
      <c r="M125" s="21">
        <f t="shared" si="0"/>
        <v>4122.97</v>
      </c>
      <c r="R125" s="5" t="e">
        <f>VLOOKUP(E125,'Inertia Bases 2025'!$A:$H,8,0)</f>
        <v>#N/A</v>
      </c>
      <c r="S125" s="5"/>
      <c r="T125" s="5" t="e">
        <f>VLOOKUP(G125,'Seismic Springs 2025'!$A:$I,9,0)</f>
        <v>#N/A</v>
      </c>
      <c r="U125" s="5" t="e">
        <f t="shared" si="1"/>
        <v>#N/A</v>
      </c>
    </row>
    <row r="126" spans="1:21" ht="12.75">
      <c r="A126" s="7">
        <v>93055516</v>
      </c>
      <c r="B126" s="7" t="s">
        <v>402</v>
      </c>
      <c r="C126" s="7">
        <v>1.5</v>
      </c>
      <c r="D126" s="7">
        <v>6</v>
      </c>
      <c r="E126" s="59"/>
      <c r="L126" s="21">
        <v>7802.71</v>
      </c>
      <c r="M126" s="21">
        <f t="shared" si="0"/>
        <v>3901.355</v>
      </c>
      <c r="R126" s="5" t="e">
        <f>VLOOKUP(E126,'Inertia Bases 2025'!$A:$H,8,0)</f>
        <v>#N/A</v>
      </c>
      <c r="S126" s="5"/>
      <c r="T126" s="5" t="e">
        <f>VLOOKUP(G126,'Seismic Springs 2025'!$A:$I,9,0)</f>
        <v>#N/A</v>
      </c>
      <c r="U126" s="5" t="e">
        <f t="shared" si="1"/>
        <v>#N/A</v>
      </c>
    </row>
    <row r="127" spans="1:21" ht="12.75">
      <c r="A127" s="7">
        <v>93055517</v>
      </c>
      <c r="B127" s="7" t="s">
        <v>403</v>
      </c>
      <c r="C127" s="7">
        <v>1.1000000000000001</v>
      </c>
      <c r="D127" s="7">
        <v>6</v>
      </c>
      <c r="E127" s="59"/>
      <c r="L127" s="21">
        <v>7588.82</v>
      </c>
      <c r="M127" s="21">
        <f t="shared" si="0"/>
        <v>3794.41</v>
      </c>
      <c r="R127" s="5" t="e">
        <f>VLOOKUP(E127,'Inertia Bases 2025'!$A:$H,8,0)</f>
        <v>#N/A</v>
      </c>
      <c r="S127" s="5"/>
      <c r="T127" s="5" t="e">
        <f>VLOOKUP(G127,'Seismic Springs 2025'!$A:$I,9,0)</f>
        <v>#N/A</v>
      </c>
      <c r="U127" s="5" t="e">
        <f t="shared" si="1"/>
        <v>#N/A</v>
      </c>
    </row>
    <row r="128" spans="1:21" ht="12.75">
      <c r="A128" s="7">
        <v>93055518</v>
      </c>
      <c r="B128" s="7" t="s">
        <v>404</v>
      </c>
      <c r="C128" s="7">
        <v>18.5</v>
      </c>
      <c r="D128" s="7">
        <v>4</v>
      </c>
      <c r="E128" s="59"/>
      <c r="L128" s="21">
        <v>11223.58</v>
      </c>
      <c r="M128" s="21">
        <f t="shared" si="0"/>
        <v>5611.79</v>
      </c>
      <c r="R128" s="5" t="e">
        <f>VLOOKUP(E128,'Inertia Bases 2025'!$A:$H,8,0)</f>
        <v>#N/A</v>
      </c>
      <c r="S128" s="5"/>
      <c r="T128" s="5" t="e">
        <f>VLOOKUP(G128,'Seismic Springs 2025'!$A:$I,9,0)</f>
        <v>#N/A</v>
      </c>
      <c r="U128" s="5" t="e">
        <f t="shared" si="1"/>
        <v>#N/A</v>
      </c>
    </row>
    <row r="129" spans="1:21" ht="12.75">
      <c r="A129" s="7">
        <v>93055519</v>
      </c>
      <c r="B129" s="7" t="s">
        <v>405</v>
      </c>
      <c r="C129" s="7">
        <v>15</v>
      </c>
      <c r="D129" s="7">
        <v>4</v>
      </c>
      <c r="E129" s="59">
        <v>99051550</v>
      </c>
      <c r="F129" s="7" t="s">
        <v>749</v>
      </c>
      <c r="G129" s="22">
        <v>91338019</v>
      </c>
      <c r="H129" s="22" t="s">
        <v>733</v>
      </c>
      <c r="K129" s="7">
        <v>4</v>
      </c>
      <c r="L129" s="21">
        <v>10372.01</v>
      </c>
      <c r="M129" s="21">
        <f t="shared" si="0"/>
        <v>5186.0050000000001</v>
      </c>
      <c r="R129" s="5">
        <f>VLOOKUP(E129,'Inertia Bases 2025'!$A:$H,8,0)</f>
        <v>741.99</v>
      </c>
      <c r="S129" s="5"/>
      <c r="T129" s="5">
        <f>VLOOKUP(G129,'Seismic Springs 2025'!$A:$I,9,0)</f>
        <v>170.3</v>
      </c>
      <c r="U129" s="5">
        <f t="shared" si="1"/>
        <v>681.2</v>
      </c>
    </row>
    <row r="130" spans="1:21" ht="12.75">
      <c r="A130" s="7">
        <v>93055520</v>
      </c>
      <c r="B130" s="7" t="s">
        <v>406</v>
      </c>
      <c r="C130" s="7">
        <v>11</v>
      </c>
      <c r="D130" s="7">
        <v>4</v>
      </c>
      <c r="E130" s="59"/>
      <c r="L130" s="21">
        <v>10033.94</v>
      </c>
      <c r="M130" s="21">
        <f t="shared" si="0"/>
        <v>5016.97</v>
      </c>
      <c r="R130" s="5" t="e">
        <f>VLOOKUP(E130,'Inertia Bases 2025'!$A:$H,8,0)</f>
        <v>#N/A</v>
      </c>
      <c r="S130" s="5"/>
      <c r="T130" s="5" t="e">
        <f>VLOOKUP(G130,'Seismic Springs 2025'!$A:$I,9,0)</f>
        <v>#N/A</v>
      </c>
      <c r="U130" s="5" t="e">
        <f t="shared" si="1"/>
        <v>#N/A</v>
      </c>
    </row>
    <row r="131" spans="1:21" ht="12.75">
      <c r="A131" s="7">
        <v>93055521</v>
      </c>
      <c r="B131" s="7" t="s">
        <v>407</v>
      </c>
      <c r="C131" s="7">
        <v>7.5</v>
      </c>
      <c r="D131" s="7">
        <v>4</v>
      </c>
      <c r="E131" s="59"/>
      <c r="L131" s="21">
        <v>8702.6</v>
      </c>
      <c r="M131" s="21">
        <f t="shared" si="0"/>
        <v>4351.3</v>
      </c>
      <c r="R131" s="5" t="e">
        <f>VLOOKUP(E131,'Inertia Bases 2025'!$A:$H,8,0)</f>
        <v>#N/A</v>
      </c>
      <c r="S131" s="5"/>
      <c r="T131" s="5" t="e">
        <f>VLOOKUP(G131,'Seismic Springs 2025'!$A:$I,9,0)</f>
        <v>#N/A</v>
      </c>
      <c r="U131" s="5" t="e">
        <f t="shared" si="1"/>
        <v>#N/A</v>
      </c>
    </row>
    <row r="132" spans="1:21" ht="12.75">
      <c r="A132" s="7">
        <v>93055522</v>
      </c>
      <c r="B132" s="7" t="s">
        <v>408</v>
      </c>
      <c r="C132" s="7">
        <v>5.5</v>
      </c>
      <c r="D132" s="7">
        <v>4</v>
      </c>
      <c r="E132" s="59"/>
      <c r="L132" s="21">
        <v>8346.76</v>
      </c>
      <c r="M132" s="21">
        <f t="shared" si="0"/>
        <v>4173.38</v>
      </c>
      <c r="R132" s="5" t="e">
        <f>VLOOKUP(E132,'Inertia Bases 2025'!$A:$H,8,0)</f>
        <v>#N/A</v>
      </c>
      <c r="S132" s="5"/>
      <c r="T132" s="5" t="e">
        <f>VLOOKUP(G132,'Seismic Springs 2025'!$A:$I,9,0)</f>
        <v>#N/A</v>
      </c>
      <c r="U132" s="5" t="e">
        <f t="shared" si="1"/>
        <v>#N/A</v>
      </c>
    </row>
    <row r="133" spans="1:21" ht="12.75">
      <c r="A133" s="7">
        <v>93055523</v>
      </c>
      <c r="B133" s="7" t="s">
        <v>404</v>
      </c>
      <c r="C133" s="7">
        <v>5.5</v>
      </c>
      <c r="D133" s="7">
        <v>6</v>
      </c>
      <c r="E133" s="59"/>
      <c r="L133" s="21">
        <v>9955.2999999999993</v>
      </c>
      <c r="M133" s="21">
        <f t="shared" si="0"/>
        <v>4977.6499999999996</v>
      </c>
      <c r="R133" s="5" t="e">
        <f>VLOOKUP(E133,'Inertia Bases 2025'!$A:$H,8,0)</f>
        <v>#N/A</v>
      </c>
      <c r="S133" s="5"/>
      <c r="T133" s="5" t="e">
        <f>VLOOKUP(G133,'Seismic Springs 2025'!$A:$I,9,0)</f>
        <v>#N/A</v>
      </c>
      <c r="U133" s="5" t="e">
        <f t="shared" si="1"/>
        <v>#N/A</v>
      </c>
    </row>
    <row r="134" spans="1:21" ht="12.75">
      <c r="A134" s="7">
        <v>93055524</v>
      </c>
      <c r="B134" s="7" t="s">
        <v>409</v>
      </c>
      <c r="C134" s="7">
        <v>4</v>
      </c>
      <c r="D134" s="7">
        <v>6</v>
      </c>
      <c r="E134" s="59"/>
      <c r="L134" s="21">
        <v>9317.81</v>
      </c>
      <c r="M134" s="21">
        <f t="shared" si="0"/>
        <v>4658.9049999999997</v>
      </c>
      <c r="R134" s="5" t="e">
        <f>VLOOKUP(E134,'Inertia Bases 2025'!$A:$H,8,0)</f>
        <v>#N/A</v>
      </c>
      <c r="S134" s="5"/>
      <c r="T134" s="5" t="e">
        <f>VLOOKUP(G134,'Seismic Springs 2025'!$A:$I,9,0)</f>
        <v>#N/A</v>
      </c>
      <c r="U134" s="5" t="e">
        <f t="shared" si="1"/>
        <v>#N/A</v>
      </c>
    </row>
    <row r="135" spans="1:21" ht="12.75">
      <c r="A135" s="7">
        <v>93055525</v>
      </c>
      <c r="B135" s="7" t="s">
        <v>410</v>
      </c>
      <c r="C135" s="7">
        <v>3</v>
      </c>
      <c r="D135" s="7">
        <v>6</v>
      </c>
      <c r="E135" s="59"/>
      <c r="L135" s="21">
        <v>9135.5400000000009</v>
      </c>
      <c r="M135" s="21">
        <f t="shared" si="0"/>
        <v>4567.7700000000004</v>
      </c>
      <c r="R135" s="5" t="e">
        <f>VLOOKUP(E135,'Inertia Bases 2025'!$A:$H,8,0)</f>
        <v>#N/A</v>
      </c>
      <c r="S135" s="5"/>
      <c r="T135" s="5" t="e">
        <f>VLOOKUP(G135,'Seismic Springs 2025'!$A:$I,9,0)</f>
        <v>#N/A</v>
      </c>
      <c r="U135" s="5" t="e">
        <f t="shared" si="1"/>
        <v>#N/A</v>
      </c>
    </row>
    <row r="136" spans="1:21" ht="12.75">
      <c r="A136" s="7">
        <v>93055526</v>
      </c>
      <c r="B136" s="7" t="s">
        <v>411</v>
      </c>
      <c r="C136" s="7">
        <v>2.2000000000000002</v>
      </c>
      <c r="D136" s="7">
        <v>6</v>
      </c>
      <c r="E136" s="59"/>
      <c r="L136" s="21">
        <v>8627.07</v>
      </c>
      <c r="M136" s="21">
        <f t="shared" si="0"/>
        <v>4313.5349999999999</v>
      </c>
      <c r="R136" s="5" t="e">
        <f>VLOOKUP(E136,'Inertia Bases 2025'!$A:$H,8,0)</f>
        <v>#N/A</v>
      </c>
      <c r="S136" s="5"/>
      <c r="T136" s="5" t="e">
        <f>VLOOKUP(G136,'Seismic Springs 2025'!$A:$I,9,0)</f>
        <v>#N/A</v>
      </c>
      <c r="U136" s="5" t="e">
        <f t="shared" si="1"/>
        <v>#N/A</v>
      </c>
    </row>
    <row r="137" spans="1:21" ht="12.75">
      <c r="A137" s="7">
        <v>93055527</v>
      </c>
      <c r="B137" s="7" t="s">
        <v>412</v>
      </c>
      <c r="C137" s="7">
        <v>22</v>
      </c>
      <c r="D137" s="7">
        <v>2</v>
      </c>
      <c r="E137" s="59"/>
      <c r="L137" s="21">
        <v>9905.18</v>
      </c>
      <c r="M137" s="21">
        <f t="shared" si="0"/>
        <v>4952.59</v>
      </c>
      <c r="R137" s="5" t="e">
        <f>VLOOKUP(E137,'Inertia Bases 2025'!$A:$H,8,0)</f>
        <v>#N/A</v>
      </c>
      <c r="S137" s="5"/>
      <c r="T137" s="5" t="e">
        <f>VLOOKUP(G137,'Seismic Springs 2025'!$A:$I,9,0)</f>
        <v>#N/A</v>
      </c>
      <c r="U137" s="5" t="e">
        <f t="shared" si="1"/>
        <v>#N/A</v>
      </c>
    </row>
    <row r="138" spans="1:21" ht="12.75">
      <c r="A138" s="7">
        <v>93055528</v>
      </c>
      <c r="B138" s="7" t="s">
        <v>413</v>
      </c>
      <c r="C138" s="7">
        <v>18.5</v>
      </c>
      <c r="D138" s="7">
        <v>2</v>
      </c>
      <c r="E138" s="59"/>
      <c r="L138" s="21">
        <v>9045.83</v>
      </c>
      <c r="M138" s="21">
        <f t="shared" si="0"/>
        <v>4522.915</v>
      </c>
      <c r="R138" s="5" t="e">
        <f>VLOOKUP(E138,'Inertia Bases 2025'!$A:$H,8,0)</f>
        <v>#N/A</v>
      </c>
      <c r="S138" s="5"/>
      <c r="T138" s="5" t="e">
        <f>VLOOKUP(G138,'Seismic Springs 2025'!$A:$I,9,0)</f>
        <v>#N/A</v>
      </c>
      <c r="U138" s="5" t="e">
        <f t="shared" si="1"/>
        <v>#N/A</v>
      </c>
    </row>
    <row r="139" spans="1:21" ht="12.75">
      <c r="A139" s="7">
        <v>93055529</v>
      </c>
      <c r="B139" s="7" t="s">
        <v>414</v>
      </c>
      <c r="C139" s="7">
        <v>15</v>
      </c>
      <c r="D139" s="7">
        <v>2</v>
      </c>
      <c r="E139" s="59">
        <v>98301913</v>
      </c>
      <c r="F139" s="7" t="s">
        <v>750</v>
      </c>
      <c r="G139" s="7">
        <v>91338157</v>
      </c>
      <c r="H139" s="7" t="s">
        <v>744</v>
      </c>
      <c r="K139" s="7">
        <v>4</v>
      </c>
      <c r="L139" s="21">
        <v>7641.77</v>
      </c>
      <c r="M139" s="21">
        <f t="shared" si="0"/>
        <v>3820.8850000000002</v>
      </c>
      <c r="R139" s="5">
        <f>VLOOKUP(E139,'Inertia Bases 2025'!$A:$H,8,0)</f>
        <v>659.56</v>
      </c>
      <c r="S139" s="5"/>
      <c r="T139" s="5">
        <f>VLOOKUP(G139,'Seismic Springs 2025'!$A:$I,9,0)</f>
        <v>66.3</v>
      </c>
      <c r="U139" s="5">
        <f t="shared" si="1"/>
        <v>265.2</v>
      </c>
    </row>
    <row r="140" spans="1:21" ht="12.75">
      <c r="A140" s="7">
        <v>93055530</v>
      </c>
      <c r="B140" s="7" t="s">
        <v>415</v>
      </c>
      <c r="C140" s="7">
        <v>11</v>
      </c>
      <c r="D140" s="7">
        <v>2</v>
      </c>
      <c r="E140" s="59">
        <v>99051549</v>
      </c>
      <c r="F140" s="7" t="s">
        <v>734</v>
      </c>
      <c r="G140" s="7">
        <v>91338018</v>
      </c>
      <c r="H140" s="7" t="s">
        <v>735</v>
      </c>
      <c r="K140" s="7">
        <v>4</v>
      </c>
      <c r="L140" s="21">
        <v>7395.08</v>
      </c>
      <c r="M140" s="21">
        <f t="shared" si="0"/>
        <v>3697.54</v>
      </c>
      <c r="R140" s="5">
        <f>VLOOKUP(E140,'Inertia Bases 2025'!$A:$H,8,0)</f>
        <v>525.59</v>
      </c>
      <c r="S140" s="5"/>
      <c r="T140" s="5">
        <f>VLOOKUP(G140,'Seismic Springs 2025'!$A:$I,9,0)</f>
        <v>170.3</v>
      </c>
      <c r="U140" s="5">
        <f t="shared" si="1"/>
        <v>681.2</v>
      </c>
    </row>
    <row r="141" spans="1:21" ht="12.75">
      <c r="A141" s="7">
        <v>93055531</v>
      </c>
      <c r="B141" s="7" t="s">
        <v>416</v>
      </c>
      <c r="C141" s="7">
        <v>7.5</v>
      </c>
      <c r="D141" s="7">
        <v>2</v>
      </c>
      <c r="E141" s="59"/>
      <c r="L141" s="21">
        <v>6545.7</v>
      </c>
      <c r="M141" s="21">
        <f t="shared" si="0"/>
        <v>3272.85</v>
      </c>
      <c r="R141" s="5" t="e">
        <f>VLOOKUP(E141,'Inertia Bases 2025'!$A:$H,8,0)</f>
        <v>#N/A</v>
      </c>
      <c r="S141" s="5"/>
      <c r="T141" s="5" t="e">
        <f>VLOOKUP(G141,'Seismic Springs 2025'!$A:$I,9,0)</f>
        <v>#N/A</v>
      </c>
      <c r="U141" s="5" t="e">
        <f t="shared" si="1"/>
        <v>#N/A</v>
      </c>
    </row>
    <row r="142" spans="1:21" ht="12.75">
      <c r="A142" s="7">
        <v>93055532</v>
      </c>
      <c r="B142" s="7" t="s">
        <v>417</v>
      </c>
      <c r="C142" s="7">
        <v>3</v>
      </c>
      <c r="D142" s="7">
        <v>4</v>
      </c>
      <c r="E142" s="59"/>
      <c r="L142" s="21">
        <v>5611.4</v>
      </c>
      <c r="M142" s="21">
        <f t="shared" si="0"/>
        <v>2805.7</v>
      </c>
      <c r="R142" s="5" t="e">
        <f>VLOOKUP(E142,'Inertia Bases 2025'!$A:$H,8,0)</f>
        <v>#N/A</v>
      </c>
      <c r="S142" s="5"/>
      <c r="T142" s="5" t="e">
        <f>VLOOKUP(G142,'Seismic Springs 2025'!$A:$I,9,0)</f>
        <v>#N/A</v>
      </c>
      <c r="U142" s="5" t="e">
        <f t="shared" si="1"/>
        <v>#N/A</v>
      </c>
    </row>
    <row r="143" spans="1:21" ht="12.75">
      <c r="A143" s="7">
        <v>93055533</v>
      </c>
      <c r="B143" s="7" t="s">
        <v>418</v>
      </c>
      <c r="C143" s="7">
        <v>2.2000000000000002</v>
      </c>
      <c r="D143" s="7">
        <v>4</v>
      </c>
      <c r="E143" s="59"/>
      <c r="L143" s="21">
        <v>5494.93</v>
      </c>
      <c r="M143" s="21">
        <f t="shared" si="0"/>
        <v>2747.4650000000001</v>
      </c>
      <c r="R143" s="5" t="e">
        <f>VLOOKUP(E143,'Inertia Bases 2025'!$A:$H,8,0)</f>
        <v>#N/A</v>
      </c>
      <c r="S143" s="5"/>
      <c r="T143" s="5" t="e">
        <f>VLOOKUP(G143,'Seismic Springs 2025'!$A:$I,9,0)</f>
        <v>#N/A</v>
      </c>
      <c r="U143" s="5" t="e">
        <f t="shared" si="1"/>
        <v>#N/A</v>
      </c>
    </row>
    <row r="144" spans="1:21" ht="12.75">
      <c r="A144" s="7">
        <v>93055534</v>
      </c>
      <c r="B144" s="7" t="s">
        <v>419</v>
      </c>
      <c r="C144" s="7">
        <v>1.5</v>
      </c>
      <c r="D144" s="7">
        <v>4</v>
      </c>
      <c r="E144" s="59"/>
      <c r="L144" s="21">
        <v>5245.4</v>
      </c>
      <c r="M144" s="21">
        <f t="shared" si="0"/>
        <v>2622.7</v>
      </c>
      <c r="R144" s="5" t="e">
        <f>VLOOKUP(E144,'Inertia Bases 2025'!$A:$H,8,0)</f>
        <v>#N/A</v>
      </c>
      <c r="S144" s="5"/>
      <c r="T144" s="5" t="e">
        <f>VLOOKUP(G144,'Seismic Springs 2025'!$A:$I,9,0)</f>
        <v>#N/A</v>
      </c>
      <c r="U144" s="5" t="e">
        <f t="shared" si="1"/>
        <v>#N/A</v>
      </c>
    </row>
    <row r="145" spans="1:21" ht="12.75">
      <c r="A145" s="7">
        <v>93055535</v>
      </c>
      <c r="B145" s="7" t="s">
        <v>420</v>
      </c>
      <c r="C145" s="7">
        <v>1.1000000000000001</v>
      </c>
      <c r="D145" s="7">
        <v>4</v>
      </c>
      <c r="E145" s="59"/>
      <c r="L145" s="21">
        <v>5164.1499999999996</v>
      </c>
      <c r="M145" s="21">
        <f t="shared" si="0"/>
        <v>2582.0749999999998</v>
      </c>
      <c r="R145" s="5" t="e">
        <f>VLOOKUP(E145,'Inertia Bases 2025'!$A:$H,8,0)</f>
        <v>#N/A</v>
      </c>
      <c r="S145" s="5"/>
      <c r="T145" s="5" t="e">
        <f>VLOOKUP(G145,'Seismic Springs 2025'!$A:$I,9,0)</f>
        <v>#N/A</v>
      </c>
      <c r="U145" s="5" t="e">
        <f t="shared" si="1"/>
        <v>#N/A</v>
      </c>
    </row>
    <row r="146" spans="1:21" ht="12.75">
      <c r="A146" s="7">
        <v>93055537</v>
      </c>
      <c r="B146" s="7" t="s">
        <v>417</v>
      </c>
      <c r="C146" s="7">
        <v>1.1000000000000001</v>
      </c>
      <c r="D146" s="7">
        <v>6</v>
      </c>
      <c r="E146" s="59"/>
      <c r="L146" s="21">
        <v>6270.55</v>
      </c>
      <c r="M146" s="21">
        <f t="shared" si="0"/>
        <v>3135.2750000000001</v>
      </c>
      <c r="R146" s="5" t="e">
        <f>VLOOKUP(E146,'Inertia Bases 2025'!$A:$H,8,0)</f>
        <v>#N/A</v>
      </c>
      <c r="S146" s="5"/>
      <c r="T146" s="5" t="e">
        <f>VLOOKUP(G146,'Seismic Springs 2025'!$A:$I,9,0)</f>
        <v>#N/A</v>
      </c>
      <c r="U146" s="5" t="e">
        <f t="shared" si="1"/>
        <v>#N/A</v>
      </c>
    </row>
    <row r="147" spans="1:21" ht="12.75">
      <c r="A147" s="7">
        <v>93055538</v>
      </c>
      <c r="B147" s="7" t="s">
        <v>421</v>
      </c>
      <c r="C147" s="7">
        <v>0.75</v>
      </c>
      <c r="D147" s="7">
        <v>6</v>
      </c>
      <c r="E147" s="59"/>
      <c r="L147" s="21">
        <v>5909.28</v>
      </c>
      <c r="M147" s="21">
        <f t="shared" si="0"/>
        <v>2954.64</v>
      </c>
      <c r="R147" s="5" t="e">
        <f>VLOOKUP(E147,'Inertia Bases 2025'!$A:$H,8,0)</f>
        <v>#N/A</v>
      </c>
      <c r="S147" s="5"/>
      <c r="T147" s="5" t="e">
        <f>VLOOKUP(G147,'Seismic Springs 2025'!$A:$I,9,0)</f>
        <v>#N/A</v>
      </c>
      <c r="U147" s="5" t="e">
        <f t="shared" si="1"/>
        <v>#N/A</v>
      </c>
    </row>
    <row r="148" spans="1:21" ht="12.75">
      <c r="A148" s="7">
        <v>93055539</v>
      </c>
      <c r="B148" s="7" t="s">
        <v>422</v>
      </c>
      <c r="C148" s="7">
        <v>0.55000000000000004</v>
      </c>
      <c r="D148" s="7">
        <v>6</v>
      </c>
      <c r="E148" s="59"/>
      <c r="L148" s="21">
        <v>5867.07</v>
      </c>
      <c r="M148" s="21">
        <f t="shared" si="0"/>
        <v>2933.5349999999999</v>
      </c>
      <c r="R148" s="5" t="e">
        <f>VLOOKUP(E148,'Inertia Bases 2025'!$A:$H,8,0)</f>
        <v>#N/A</v>
      </c>
      <c r="S148" s="5"/>
      <c r="T148" s="5" t="e">
        <f>VLOOKUP(G148,'Seismic Springs 2025'!$A:$I,9,0)</f>
        <v>#N/A</v>
      </c>
      <c r="U148" s="5" t="e">
        <f t="shared" si="1"/>
        <v>#N/A</v>
      </c>
    </row>
    <row r="149" spans="1:21" ht="12.75">
      <c r="A149" s="7">
        <v>93055540</v>
      </c>
      <c r="B149" s="7" t="s">
        <v>423</v>
      </c>
      <c r="C149" s="7">
        <v>0.37</v>
      </c>
      <c r="D149" s="7">
        <v>6</v>
      </c>
      <c r="E149" s="59"/>
      <c r="L149" s="21">
        <v>5602.58</v>
      </c>
      <c r="M149" s="21">
        <f t="shared" si="0"/>
        <v>2801.29</v>
      </c>
      <c r="R149" s="5" t="e">
        <f>VLOOKUP(E149,'Inertia Bases 2025'!$A:$H,8,0)</f>
        <v>#N/A</v>
      </c>
      <c r="S149" s="5"/>
      <c r="T149" s="5" t="e">
        <f>VLOOKUP(G149,'Seismic Springs 2025'!$A:$I,9,0)</f>
        <v>#N/A</v>
      </c>
      <c r="U149" s="5" t="e">
        <f t="shared" si="1"/>
        <v>#N/A</v>
      </c>
    </row>
    <row r="150" spans="1:21" ht="12.75">
      <c r="A150" s="7">
        <v>93055541</v>
      </c>
      <c r="B150" s="7" t="s">
        <v>424</v>
      </c>
      <c r="C150" s="7">
        <v>75</v>
      </c>
      <c r="D150" s="7">
        <v>2</v>
      </c>
      <c r="E150" s="59"/>
      <c r="L150" s="21">
        <v>21412.54</v>
      </c>
      <c r="M150" s="21">
        <f t="shared" si="0"/>
        <v>10706.27</v>
      </c>
      <c r="R150" s="5" t="e">
        <f>VLOOKUP(E150,'Inertia Bases 2025'!$A:$H,8,0)</f>
        <v>#N/A</v>
      </c>
      <c r="S150" s="5"/>
      <c r="T150" s="5" t="e">
        <f>VLOOKUP(G150,'Seismic Springs 2025'!$A:$I,9,0)</f>
        <v>#N/A</v>
      </c>
      <c r="U150" s="5" t="e">
        <f t="shared" si="1"/>
        <v>#N/A</v>
      </c>
    </row>
    <row r="151" spans="1:21" ht="12.75">
      <c r="A151" s="7">
        <v>93055542</v>
      </c>
      <c r="B151" s="7" t="s">
        <v>425</v>
      </c>
      <c r="C151" s="7">
        <v>55</v>
      </c>
      <c r="D151" s="7">
        <v>2</v>
      </c>
      <c r="E151" s="59" t="s">
        <v>751</v>
      </c>
      <c r="F151" s="7" t="s">
        <v>752</v>
      </c>
      <c r="G151" s="7">
        <v>91338020</v>
      </c>
      <c r="H151" s="7" t="s">
        <v>737</v>
      </c>
      <c r="K151" s="7">
        <v>4</v>
      </c>
      <c r="L151" s="21">
        <v>17704.98</v>
      </c>
      <c r="M151" s="21">
        <f t="shared" si="0"/>
        <v>8852.49</v>
      </c>
      <c r="R151" s="5">
        <f>VLOOKUP(E151,'Inertia Bases 2025'!$A:$H,8,0)</f>
        <v>1550</v>
      </c>
      <c r="S151" s="5"/>
      <c r="T151" s="5">
        <f>VLOOKUP(G151,'Seismic Springs 2025'!$A:$I,9,0)</f>
        <v>170.3</v>
      </c>
      <c r="U151" s="5">
        <f t="shared" si="1"/>
        <v>681.2</v>
      </c>
    </row>
    <row r="152" spans="1:21" ht="12.75">
      <c r="A152" s="7">
        <v>93055544</v>
      </c>
      <c r="B152" s="7" t="s">
        <v>426</v>
      </c>
      <c r="C152" s="7">
        <v>45</v>
      </c>
      <c r="D152" s="7">
        <v>2</v>
      </c>
      <c r="E152" s="59"/>
      <c r="L152" s="21">
        <v>16470.97</v>
      </c>
      <c r="M152" s="21">
        <f t="shared" si="0"/>
        <v>8235.4850000000006</v>
      </c>
      <c r="R152" s="5" t="e">
        <f>VLOOKUP(E152,'Inertia Bases 2025'!$A:$H,8,0)</f>
        <v>#N/A</v>
      </c>
      <c r="S152" s="5"/>
      <c r="T152" s="5" t="e">
        <f>VLOOKUP(G152,'Seismic Springs 2025'!$A:$I,9,0)</f>
        <v>#N/A</v>
      </c>
      <c r="U152" s="5" t="e">
        <f t="shared" si="1"/>
        <v>#N/A</v>
      </c>
    </row>
    <row r="153" spans="1:21" ht="12.75">
      <c r="A153" s="7">
        <v>93055545</v>
      </c>
      <c r="B153" s="7" t="s">
        <v>427</v>
      </c>
      <c r="C153" s="7">
        <v>37</v>
      </c>
      <c r="D153" s="7">
        <v>2</v>
      </c>
      <c r="E153" s="59"/>
      <c r="L153" s="21">
        <v>12423.22</v>
      </c>
      <c r="M153" s="21">
        <f t="shared" si="0"/>
        <v>6211.61</v>
      </c>
      <c r="R153" s="5" t="e">
        <f>VLOOKUP(E153,'Inertia Bases 2025'!$A:$H,8,0)</f>
        <v>#N/A</v>
      </c>
      <c r="S153" s="5"/>
      <c r="T153" s="5" t="e">
        <f>VLOOKUP(G153,'Seismic Springs 2025'!$A:$I,9,0)</f>
        <v>#N/A</v>
      </c>
      <c r="U153" s="5" t="e">
        <f t="shared" si="1"/>
        <v>#N/A</v>
      </c>
    </row>
    <row r="154" spans="1:21" ht="12.75">
      <c r="A154" s="7">
        <v>93055546</v>
      </c>
      <c r="B154" s="7" t="s">
        <v>428</v>
      </c>
      <c r="C154" s="7">
        <v>30</v>
      </c>
      <c r="D154" s="7">
        <v>2</v>
      </c>
      <c r="E154" s="59"/>
      <c r="L154" s="21">
        <v>11650.87</v>
      </c>
      <c r="M154" s="21">
        <f t="shared" si="0"/>
        <v>5825.4350000000004</v>
      </c>
      <c r="R154" s="5" t="e">
        <f>VLOOKUP(E154,'Inertia Bases 2025'!$A:$H,8,0)</f>
        <v>#N/A</v>
      </c>
      <c r="S154" s="5"/>
      <c r="T154" s="5" t="e">
        <f>VLOOKUP(G154,'Seismic Springs 2025'!$A:$I,9,0)</f>
        <v>#N/A</v>
      </c>
      <c r="U154" s="5" t="e">
        <f t="shared" si="1"/>
        <v>#N/A</v>
      </c>
    </row>
    <row r="155" spans="1:21" ht="12.75">
      <c r="A155" s="7">
        <v>93055547</v>
      </c>
      <c r="B155" s="7" t="s">
        <v>429</v>
      </c>
      <c r="C155" s="7">
        <v>22</v>
      </c>
      <c r="D155" s="7">
        <v>2</v>
      </c>
      <c r="E155" s="59"/>
      <c r="L155" s="21">
        <v>10570.74</v>
      </c>
      <c r="M155" s="21">
        <f t="shared" si="0"/>
        <v>5285.37</v>
      </c>
      <c r="R155" s="5" t="e">
        <f>VLOOKUP(E155,'Inertia Bases 2025'!$A:$H,8,0)</f>
        <v>#N/A</v>
      </c>
      <c r="S155" s="5"/>
      <c r="T155" s="5" t="e">
        <f>VLOOKUP(G155,'Seismic Springs 2025'!$A:$I,9,0)</f>
        <v>#N/A</v>
      </c>
      <c r="U155" s="5" t="e">
        <f t="shared" si="1"/>
        <v>#N/A</v>
      </c>
    </row>
    <row r="156" spans="1:21" ht="12.75">
      <c r="A156" s="7">
        <v>93055548</v>
      </c>
      <c r="B156" s="7" t="s">
        <v>430</v>
      </c>
      <c r="C156" s="7">
        <v>7.5</v>
      </c>
      <c r="D156" s="7">
        <v>4</v>
      </c>
      <c r="E156" s="59">
        <v>91338087</v>
      </c>
      <c r="F156" s="7" t="s">
        <v>743</v>
      </c>
      <c r="G156" s="7">
        <v>91338157</v>
      </c>
      <c r="H156" s="7" t="s">
        <v>744</v>
      </c>
      <c r="K156" s="7">
        <v>4</v>
      </c>
      <c r="L156" s="21">
        <v>7496.62</v>
      </c>
      <c r="M156" s="21">
        <f t="shared" si="0"/>
        <v>3748.31</v>
      </c>
      <c r="R156" s="5">
        <f>VLOOKUP(E156,'Inertia Bases 2025'!$A:$H,8,0)</f>
        <v>541.04</v>
      </c>
      <c r="S156" s="5"/>
      <c r="T156" s="5">
        <f>VLOOKUP(G156,'Seismic Springs 2025'!$A:$I,9,0)</f>
        <v>66.3</v>
      </c>
      <c r="U156" s="5">
        <f t="shared" si="1"/>
        <v>265.2</v>
      </c>
    </row>
    <row r="157" spans="1:21" ht="12.75">
      <c r="A157" s="7">
        <v>93055549</v>
      </c>
      <c r="B157" s="7" t="s">
        <v>431</v>
      </c>
      <c r="C157" s="7">
        <v>5.5</v>
      </c>
      <c r="D157" s="7">
        <v>4</v>
      </c>
      <c r="E157" s="59"/>
      <c r="L157" s="21">
        <v>7182.04</v>
      </c>
      <c r="M157" s="21">
        <f t="shared" si="0"/>
        <v>3591.02</v>
      </c>
      <c r="R157" s="5" t="e">
        <f>VLOOKUP(E157,'Inertia Bases 2025'!$A:$H,8,0)</f>
        <v>#N/A</v>
      </c>
      <c r="S157" s="5"/>
      <c r="T157" s="5" t="e">
        <f>VLOOKUP(G157,'Seismic Springs 2025'!$A:$I,9,0)</f>
        <v>#N/A</v>
      </c>
      <c r="U157" s="5" t="e">
        <f t="shared" si="1"/>
        <v>#N/A</v>
      </c>
    </row>
    <row r="158" spans="1:21" ht="12.75">
      <c r="A158" s="7">
        <v>93055550</v>
      </c>
      <c r="B158" s="7" t="s">
        <v>432</v>
      </c>
      <c r="C158" s="7">
        <v>4</v>
      </c>
      <c r="D158" s="7">
        <v>4</v>
      </c>
      <c r="E158" s="59"/>
      <c r="L158" s="21">
        <v>6794.8</v>
      </c>
      <c r="M158" s="21">
        <f t="shared" si="0"/>
        <v>3397.4</v>
      </c>
      <c r="R158" s="5" t="e">
        <f>VLOOKUP(E158,'Inertia Bases 2025'!$A:$H,8,0)</f>
        <v>#N/A</v>
      </c>
      <c r="S158" s="5"/>
      <c r="T158" s="5" t="e">
        <f>VLOOKUP(G158,'Seismic Springs 2025'!$A:$I,9,0)</f>
        <v>#N/A</v>
      </c>
      <c r="U158" s="5" t="e">
        <f t="shared" si="1"/>
        <v>#N/A</v>
      </c>
    </row>
    <row r="159" spans="1:21" ht="12.75">
      <c r="A159" s="7">
        <v>93055551</v>
      </c>
      <c r="B159" s="7" t="s">
        <v>433</v>
      </c>
      <c r="C159" s="7">
        <v>3</v>
      </c>
      <c r="D159" s="7">
        <v>4</v>
      </c>
      <c r="E159" s="59"/>
      <c r="L159" s="21">
        <v>6521.49</v>
      </c>
      <c r="M159" s="21">
        <f t="shared" si="0"/>
        <v>3260.7449999999999</v>
      </c>
      <c r="R159" s="5" t="e">
        <f>VLOOKUP(E159,'Inertia Bases 2025'!$A:$H,8,0)</f>
        <v>#N/A</v>
      </c>
      <c r="S159" s="5"/>
      <c r="T159" s="5" t="e">
        <f>VLOOKUP(G159,'Seismic Springs 2025'!$A:$I,9,0)</f>
        <v>#N/A</v>
      </c>
      <c r="U159" s="5" t="e">
        <f t="shared" si="1"/>
        <v>#N/A</v>
      </c>
    </row>
    <row r="160" spans="1:21" ht="12.75">
      <c r="A160" s="7">
        <v>93055552</v>
      </c>
      <c r="B160" s="7" t="s">
        <v>424</v>
      </c>
      <c r="C160" s="7">
        <v>3</v>
      </c>
      <c r="D160" s="7">
        <v>6</v>
      </c>
      <c r="E160" s="59"/>
      <c r="L160" s="21">
        <v>8056.75</v>
      </c>
      <c r="M160" s="21">
        <f t="shared" si="0"/>
        <v>4028.375</v>
      </c>
      <c r="R160" s="5" t="e">
        <f>VLOOKUP(E160,'Inertia Bases 2025'!$A:$H,8,0)</f>
        <v>#N/A</v>
      </c>
      <c r="S160" s="5"/>
      <c r="T160" s="5" t="e">
        <f>VLOOKUP(G160,'Seismic Springs 2025'!$A:$I,9,0)</f>
        <v>#N/A</v>
      </c>
      <c r="U160" s="5" t="e">
        <f t="shared" si="1"/>
        <v>#N/A</v>
      </c>
    </row>
    <row r="161" spans="1:21" ht="12.75">
      <c r="A161" s="7">
        <v>93055553</v>
      </c>
      <c r="B161" s="7" t="s">
        <v>434</v>
      </c>
      <c r="C161" s="7">
        <v>2.2000000000000002</v>
      </c>
      <c r="D161" s="7">
        <v>6</v>
      </c>
      <c r="E161" s="59"/>
      <c r="L161" s="21">
        <v>7688.88</v>
      </c>
      <c r="M161" s="21">
        <f t="shared" si="0"/>
        <v>3844.44</v>
      </c>
      <c r="R161" s="5" t="e">
        <f>VLOOKUP(E161,'Inertia Bases 2025'!$A:$H,8,0)</f>
        <v>#N/A</v>
      </c>
      <c r="S161" s="5"/>
      <c r="T161" s="5" t="e">
        <f>VLOOKUP(G161,'Seismic Springs 2025'!$A:$I,9,0)</f>
        <v>#N/A</v>
      </c>
      <c r="U161" s="5" t="e">
        <f t="shared" si="1"/>
        <v>#N/A</v>
      </c>
    </row>
    <row r="162" spans="1:21" ht="12.75">
      <c r="A162" s="7">
        <v>93055554</v>
      </c>
      <c r="B162" s="7" t="s">
        <v>435</v>
      </c>
      <c r="C162" s="7">
        <v>1.5</v>
      </c>
      <c r="D162" s="7">
        <v>6</v>
      </c>
      <c r="E162" s="59"/>
      <c r="L162" s="21">
        <v>7784.15</v>
      </c>
      <c r="M162" s="21">
        <f t="shared" si="0"/>
        <v>3892.0749999999998</v>
      </c>
      <c r="R162" s="5" t="e">
        <f>VLOOKUP(E162,'Inertia Bases 2025'!$A:$H,8,0)</f>
        <v>#N/A</v>
      </c>
      <c r="S162" s="5"/>
      <c r="T162" s="5" t="e">
        <f>VLOOKUP(G162,'Seismic Springs 2025'!$A:$I,9,0)</f>
        <v>#N/A</v>
      </c>
      <c r="U162" s="5" t="e">
        <f t="shared" si="1"/>
        <v>#N/A</v>
      </c>
    </row>
    <row r="163" spans="1:21" ht="12.75">
      <c r="A163" s="7">
        <v>93055555</v>
      </c>
      <c r="B163" s="7" t="s">
        <v>436</v>
      </c>
      <c r="C163" s="7">
        <v>1.1000000000000001</v>
      </c>
      <c r="D163" s="7">
        <v>6</v>
      </c>
      <c r="E163" s="59"/>
      <c r="L163" s="21">
        <v>6774.03</v>
      </c>
      <c r="M163" s="21">
        <f t="shared" si="0"/>
        <v>3387.0149999999999</v>
      </c>
      <c r="R163" s="5" t="e">
        <f>VLOOKUP(E163,'Inertia Bases 2025'!$A:$H,8,0)</f>
        <v>#N/A</v>
      </c>
      <c r="S163" s="5"/>
      <c r="T163" s="5" t="e">
        <f>VLOOKUP(G163,'Seismic Springs 2025'!$A:$I,9,0)</f>
        <v>#N/A</v>
      </c>
      <c r="U163" s="5" t="e">
        <f t="shared" si="1"/>
        <v>#N/A</v>
      </c>
    </row>
    <row r="164" spans="1:21" ht="12.75">
      <c r="A164" s="7">
        <v>93055556</v>
      </c>
      <c r="B164" s="7" t="s">
        <v>437</v>
      </c>
      <c r="C164" s="7">
        <v>15</v>
      </c>
      <c r="D164" s="7">
        <v>4</v>
      </c>
      <c r="E164" s="59">
        <v>99051550</v>
      </c>
      <c r="F164" s="7" t="s">
        <v>749</v>
      </c>
      <c r="G164" s="7">
        <v>91338019</v>
      </c>
      <c r="H164" s="7" t="s">
        <v>733</v>
      </c>
      <c r="K164" s="7">
        <v>4</v>
      </c>
      <c r="L164" s="21">
        <v>10670.87</v>
      </c>
      <c r="M164" s="21">
        <f t="shared" si="0"/>
        <v>5335.4350000000004</v>
      </c>
      <c r="R164" s="5">
        <f>VLOOKUP(E164,'Inertia Bases 2025'!$A:$H,8,0)</f>
        <v>741.99</v>
      </c>
      <c r="S164" s="5"/>
      <c r="T164" s="5">
        <f>VLOOKUP(G164,'Seismic Springs 2025'!$A:$I,9,0)</f>
        <v>170.3</v>
      </c>
      <c r="U164" s="5">
        <f t="shared" si="1"/>
        <v>681.2</v>
      </c>
    </row>
    <row r="165" spans="1:21" ht="12.75">
      <c r="A165" s="7">
        <v>93055557</v>
      </c>
      <c r="B165" s="7" t="s">
        <v>438</v>
      </c>
      <c r="C165" s="7">
        <v>7.5</v>
      </c>
      <c r="D165" s="7">
        <v>4</v>
      </c>
      <c r="E165" s="59"/>
      <c r="L165" s="21">
        <v>9328.07</v>
      </c>
      <c r="M165" s="21">
        <f t="shared" si="0"/>
        <v>4664.0349999999999</v>
      </c>
      <c r="R165" s="5" t="e">
        <f>VLOOKUP(E165,'Inertia Bases 2025'!$A:$H,8,0)</f>
        <v>#N/A</v>
      </c>
      <c r="S165" s="5"/>
      <c r="T165" s="5" t="e">
        <f>VLOOKUP(G165,'Seismic Springs 2025'!$A:$I,9,0)</f>
        <v>#N/A</v>
      </c>
      <c r="U165" s="5" t="e">
        <f t="shared" si="1"/>
        <v>#N/A</v>
      </c>
    </row>
    <row r="166" spans="1:21" ht="12.75">
      <c r="A166" s="7">
        <v>93055558</v>
      </c>
      <c r="B166" s="7" t="s">
        <v>439</v>
      </c>
      <c r="C166" s="7">
        <v>5.5</v>
      </c>
      <c r="D166" s="7">
        <v>4</v>
      </c>
      <c r="E166" s="59"/>
      <c r="L166" s="21">
        <v>9073.15</v>
      </c>
      <c r="M166" s="21">
        <f t="shared" si="0"/>
        <v>4536.5749999999998</v>
      </c>
      <c r="R166" s="5" t="e">
        <f>VLOOKUP(E166,'Inertia Bases 2025'!$A:$H,8,0)</f>
        <v>#N/A</v>
      </c>
      <c r="S166" s="5"/>
      <c r="T166" s="5" t="e">
        <f>VLOOKUP(G166,'Seismic Springs 2025'!$A:$I,9,0)</f>
        <v>#N/A</v>
      </c>
      <c r="U166" s="5" t="e">
        <f t="shared" si="1"/>
        <v>#N/A</v>
      </c>
    </row>
    <row r="167" spans="1:21" ht="12.75">
      <c r="A167" s="7">
        <v>93055559</v>
      </c>
      <c r="B167" s="7" t="s">
        <v>437</v>
      </c>
      <c r="C167" s="7">
        <v>4</v>
      </c>
      <c r="D167" s="7">
        <v>6</v>
      </c>
      <c r="E167" s="59"/>
      <c r="L167" s="21">
        <v>10062.290000000001</v>
      </c>
      <c r="M167" s="21">
        <f t="shared" si="0"/>
        <v>5031.1450000000004</v>
      </c>
      <c r="R167" s="5" t="e">
        <f>VLOOKUP(E167,'Inertia Bases 2025'!$A:$H,8,0)</f>
        <v>#N/A</v>
      </c>
      <c r="S167" s="5"/>
      <c r="T167" s="5" t="e">
        <f>VLOOKUP(G167,'Seismic Springs 2025'!$A:$I,9,0)</f>
        <v>#N/A</v>
      </c>
      <c r="U167" s="5" t="e">
        <f t="shared" si="1"/>
        <v>#N/A</v>
      </c>
    </row>
    <row r="168" spans="1:21" ht="12.75">
      <c r="A168" s="7">
        <v>93055560</v>
      </c>
      <c r="B168" s="7" t="s">
        <v>440</v>
      </c>
      <c r="C168" s="7">
        <v>3</v>
      </c>
      <c r="D168" s="7">
        <v>6</v>
      </c>
      <c r="E168" s="59"/>
      <c r="L168" s="21">
        <v>9590.51</v>
      </c>
      <c r="M168" s="21">
        <f t="shared" si="0"/>
        <v>4795.2550000000001</v>
      </c>
      <c r="R168" s="5" t="e">
        <f>VLOOKUP(E168,'Inertia Bases 2025'!$A:$H,8,0)</f>
        <v>#N/A</v>
      </c>
      <c r="S168" s="5"/>
      <c r="T168" s="5" t="e">
        <f>VLOOKUP(G168,'Seismic Springs 2025'!$A:$I,9,0)</f>
        <v>#N/A</v>
      </c>
      <c r="U168" s="5" t="e">
        <f t="shared" si="1"/>
        <v>#N/A</v>
      </c>
    </row>
    <row r="169" spans="1:21" ht="12.75">
      <c r="A169" s="7">
        <v>93055562</v>
      </c>
      <c r="B169" s="7" t="s">
        <v>441</v>
      </c>
      <c r="C169" s="7">
        <v>2.2000000000000002</v>
      </c>
      <c r="D169" s="7">
        <v>6</v>
      </c>
      <c r="E169" s="59"/>
      <c r="L169" s="21">
        <v>8756.61</v>
      </c>
      <c r="M169" s="21">
        <f t="shared" si="0"/>
        <v>4378.3050000000003</v>
      </c>
      <c r="R169" s="5" t="e">
        <f>VLOOKUP(E169,'Inertia Bases 2025'!$A:$H,8,0)</f>
        <v>#N/A</v>
      </c>
      <c r="S169" s="5"/>
      <c r="T169" s="5" t="e">
        <f>VLOOKUP(G169,'Seismic Springs 2025'!$A:$I,9,0)</f>
        <v>#N/A</v>
      </c>
      <c r="U169" s="5" t="e">
        <f t="shared" si="1"/>
        <v>#N/A</v>
      </c>
    </row>
    <row r="170" spans="1:21" ht="12.75">
      <c r="A170" s="7">
        <v>93055563</v>
      </c>
      <c r="B170" s="7" t="s">
        <v>442</v>
      </c>
      <c r="C170" s="7">
        <v>1.5</v>
      </c>
      <c r="D170" s="7">
        <v>6</v>
      </c>
      <c r="E170" s="59"/>
      <c r="L170" s="21">
        <v>8383.91</v>
      </c>
      <c r="M170" s="21">
        <f t="shared" si="0"/>
        <v>4191.9549999999999</v>
      </c>
      <c r="R170" s="5" t="e">
        <f>VLOOKUP(E170,'Inertia Bases 2025'!$A:$H,8,0)</f>
        <v>#N/A</v>
      </c>
      <c r="S170" s="5"/>
      <c r="T170" s="5" t="e">
        <f>VLOOKUP(G170,'Seismic Springs 2025'!$A:$I,9,0)</f>
        <v>#N/A</v>
      </c>
      <c r="U170" s="5" t="e">
        <f t="shared" si="1"/>
        <v>#N/A</v>
      </c>
    </row>
    <row r="171" spans="1:21" ht="12.75">
      <c r="A171" s="7">
        <v>93055564</v>
      </c>
      <c r="B171" s="7" t="s">
        <v>443</v>
      </c>
      <c r="C171" s="7">
        <v>22</v>
      </c>
      <c r="D171" s="7">
        <v>4</v>
      </c>
      <c r="E171" s="59">
        <v>93047624</v>
      </c>
      <c r="F171" s="7" t="s">
        <v>753</v>
      </c>
      <c r="G171" s="7">
        <v>91338019</v>
      </c>
      <c r="H171" s="7" t="s">
        <v>733</v>
      </c>
      <c r="K171" s="7">
        <v>4</v>
      </c>
      <c r="L171" s="21">
        <v>12134</v>
      </c>
      <c r="M171" s="21">
        <f t="shared" si="0"/>
        <v>6067</v>
      </c>
      <c r="R171" s="5">
        <f>VLOOKUP(E171,'Inertia Bases 2025'!$A:$H,8,0)</f>
        <v>785.8</v>
      </c>
      <c r="S171" s="5"/>
      <c r="T171" s="5">
        <f>VLOOKUP(G171,'Seismic Springs 2025'!$A:$I,9,0)</f>
        <v>170.3</v>
      </c>
      <c r="U171" s="5">
        <f t="shared" si="1"/>
        <v>681.2</v>
      </c>
    </row>
    <row r="172" spans="1:21" ht="12.75">
      <c r="A172" s="7">
        <v>93055565</v>
      </c>
      <c r="B172" s="7" t="s">
        <v>444</v>
      </c>
      <c r="C172" s="7">
        <v>18.5</v>
      </c>
      <c r="D172" s="7">
        <v>4</v>
      </c>
      <c r="E172" s="59">
        <v>93047624</v>
      </c>
      <c r="F172" s="7" t="s">
        <v>753</v>
      </c>
      <c r="G172" s="7">
        <v>91338019</v>
      </c>
      <c r="H172" s="7" t="s">
        <v>733</v>
      </c>
      <c r="K172" s="7">
        <v>4</v>
      </c>
      <c r="L172" s="21">
        <v>11761.04</v>
      </c>
      <c r="M172" s="21">
        <f t="shared" si="0"/>
        <v>5880.52</v>
      </c>
      <c r="R172" s="5">
        <f>VLOOKUP(E172,'Inertia Bases 2025'!$A:$H,8,0)</f>
        <v>785.8</v>
      </c>
      <c r="S172" s="5"/>
      <c r="T172" s="5">
        <f>VLOOKUP(G172,'Seismic Springs 2025'!$A:$I,9,0)</f>
        <v>170.3</v>
      </c>
      <c r="U172" s="5">
        <f t="shared" ref="U172:U173" si="3">T172*K173</f>
        <v>681.2</v>
      </c>
    </row>
    <row r="173" spans="1:21" ht="12.75">
      <c r="A173" s="7">
        <v>93055566</v>
      </c>
      <c r="B173" s="7" t="s">
        <v>445</v>
      </c>
      <c r="C173" s="7">
        <v>15</v>
      </c>
      <c r="D173" s="7">
        <v>4</v>
      </c>
      <c r="E173" s="59">
        <v>99051550</v>
      </c>
      <c r="F173" s="7" t="s">
        <v>749</v>
      </c>
      <c r="G173" s="7">
        <v>91338019</v>
      </c>
      <c r="H173" s="7" t="s">
        <v>733</v>
      </c>
      <c r="K173" s="7">
        <v>4</v>
      </c>
      <c r="L173" s="21">
        <v>10805.44</v>
      </c>
      <c r="M173" s="21">
        <f t="shared" si="0"/>
        <v>5402.72</v>
      </c>
      <c r="R173" s="5">
        <f>VLOOKUP(E173,'Inertia Bases 2025'!$A:$H,8,0)</f>
        <v>741.99</v>
      </c>
      <c r="S173" s="5"/>
      <c r="T173" s="5">
        <f>VLOOKUP(G173,'Seismic Springs 2025'!$A:$I,9,0)</f>
        <v>170.3</v>
      </c>
      <c r="U173" s="5">
        <f t="shared" si="3"/>
        <v>681.2</v>
      </c>
    </row>
    <row r="174" spans="1:21" ht="12.75">
      <c r="A174" s="7">
        <v>93055567</v>
      </c>
      <c r="B174" s="7" t="s">
        <v>446</v>
      </c>
      <c r="C174" s="7">
        <v>11</v>
      </c>
      <c r="D174" s="7">
        <v>4</v>
      </c>
      <c r="E174" s="59"/>
      <c r="K174" s="7">
        <v>4</v>
      </c>
      <c r="L174" s="21">
        <v>10311.4</v>
      </c>
      <c r="M174" s="21">
        <f t="shared" si="0"/>
        <v>5155.7</v>
      </c>
      <c r="R174" s="5" t="e">
        <f>VLOOKUP(E174,'Inertia Bases 2025'!$A:$H,8,0)</f>
        <v>#N/A</v>
      </c>
      <c r="S174" s="5"/>
      <c r="T174" s="5" t="e">
        <f>VLOOKUP(G174,'Seismic Springs 2025'!$A:$I,9,0)</f>
        <v>#N/A</v>
      </c>
      <c r="U174" s="5" t="e">
        <f t="shared" ref="U174:U428" si="4">T174*K174</f>
        <v>#N/A</v>
      </c>
    </row>
    <row r="175" spans="1:21" ht="12.75">
      <c r="A175" s="7">
        <v>93055568</v>
      </c>
      <c r="B175" s="7" t="s">
        <v>447</v>
      </c>
      <c r="C175" s="7">
        <v>7.5</v>
      </c>
      <c r="D175" s="7">
        <v>4</v>
      </c>
      <c r="E175" s="59"/>
      <c r="L175" s="21">
        <v>9476.36</v>
      </c>
      <c r="M175" s="21">
        <f t="shared" si="0"/>
        <v>4738.18</v>
      </c>
      <c r="R175" s="5" t="e">
        <f>VLOOKUP(E175,'Inertia Bases 2025'!$A:$H,8,0)</f>
        <v>#N/A</v>
      </c>
      <c r="S175" s="5"/>
      <c r="T175" s="5" t="e">
        <f>VLOOKUP(G175,'Seismic Springs 2025'!$A:$I,9,0)</f>
        <v>#N/A</v>
      </c>
      <c r="U175" s="5" t="e">
        <f t="shared" si="4"/>
        <v>#N/A</v>
      </c>
    </row>
    <row r="176" spans="1:21" ht="12.75">
      <c r="A176" s="7">
        <v>93055569</v>
      </c>
      <c r="B176" s="7" t="s">
        <v>443</v>
      </c>
      <c r="C176" s="7">
        <v>7.5</v>
      </c>
      <c r="D176" s="7">
        <v>6</v>
      </c>
      <c r="E176" s="59"/>
      <c r="L176" s="21">
        <v>11145.34</v>
      </c>
      <c r="M176" s="21">
        <f t="shared" si="0"/>
        <v>5572.67</v>
      </c>
      <c r="R176" s="5" t="e">
        <f>VLOOKUP(E176,'Inertia Bases 2025'!$A:$H,8,0)</f>
        <v>#N/A</v>
      </c>
      <c r="S176" s="5"/>
      <c r="T176" s="5" t="e">
        <f>VLOOKUP(G176,'Seismic Springs 2025'!$A:$I,9,0)</f>
        <v>#N/A</v>
      </c>
      <c r="U176" s="5" t="e">
        <f t="shared" si="4"/>
        <v>#N/A</v>
      </c>
    </row>
    <row r="177" spans="1:21" ht="12.75">
      <c r="A177" s="7">
        <v>93055570</v>
      </c>
      <c r="B177" s="7" t="s">
        <v>448</v>
      </c>
      <c r="C177" s="7">
        <v>5.5</v>
      </c>
      <c r="D177" s="7">
        <v>6</v>
      </c>
      <c r="E177" s="59"/>
      <c r="L177" s="21">
        <v>10177.16</v>
      </c>
      <c r="M177" s="21">
        <f t="shared" si="0"/>
        <v>5088.58</v>
      </c>
      <c r="R177" s="5" t="e">
        <f>VLOOKUP(E177,'Inertia Bases 2025'!$A:$H,8,0)</f>
        <v>#N/A</v>
      </c>
      <c r="S177" s="5"/>
      <c r="T177" s="5" t="e">
        <f>VLOOKUP(G177,'Seismic Springs 2025'!$A:$I,9,0)</f>
        <v>#N/A</v>
      </c>
      <c r="U177" s="5" t="e">
        <f t="shared" si="4"/>
        <v>#N/A</v>
      </c>
    </row>
    <row r="178" spans="1:21" ht="12.75">
      <c r="A178" s="7">
        <v>93055571</v>
      </c>
      <c r="B178" s="7" t="s">
        <v>449</v>
      </c>
      <c r="C178" s="7">
        <v>4</v>
      </c>
      <c r="D178" s="7">
        <v>6</v>
      </c>
      <c r="E178" s="59"/>
      <c r="L178" s="21">
        <v>10926.02</v>
      </c>
      <c r="M178" s="21">
        <f t="shared" si="0"/>
        <v>5463.01</v>
      </c>
      <c r="R178" s="5" t="e">
        <f>VLOOKUP(E178,'Inertia Bases 2025'!$A:$H,8,0)</f>
        <v>#N/A</v>
      </c>
      <c r="S178" s="5"/>
      <c r="T178" s="5" t="e">
        <f>VLOOKUP(G178,'Seismic Springs 2025'!$A:$I,9,0)</f>
        <v>#N/A</v>
      </c>
      <c r="U178" s="5" t="e">
        <f t="shared" si="4"/>
        <v>#N/A</v>
      </c>
    </row>
    <row r="179" spans="1:21" ht="12.75">
      <c r="A179" s="7">
        <v>93055572</v>
      </c>
      <c r="B179" s="7" t="s">
        <v>450</v>
      </c>
      <c r="C179" s="7">
        <v>3</v>
      </c>
      <c r="D179" s="7">
        <v>6</v>
      </c>
      <c r="E179" s="59"/>
      <c r="L179" s="21">
        <v>9707.76</v>
      </c>
      <c r="M179" s="21">
        <f t="shared" si="0"/>
        <v>4853.88</v>
      </c>
      <c r="R179" s="5" t="e">
        <f>VLOOKUP(E179,'Inertia Bases 2025'!$A:$H,8,0)</f>
        <v>#N/A</v>
      </c>
      <c r="S179" s="5"/>
      <c r="T179" s="5" t="e">
        <f>VLOOKUP(G179,'Seismic Springs 2025'!$A:$I,9,0)</f>
        <v>#N/A</v>
      </c>
      <c r="U179" s="5" t="e">
        <f t="shared" si="4"/>
        <v>#N/A</v>
      </c>
    </row>
    <row r="180" spans="1:21" ht="12.75">
      <c r="A180" s="7">
        <v>93055573</v>
      </c>
      <c r="B180" s="7" t="s">
        <v>447</v>
      </c>
      <c r="C180" s="7">
        <v>2.2000000000000002</v>
      </c>
      <c r="D180" s="7">
        <v>6</v>
      </c>
      <c r="E180" s="59"/>
      <c r="L180" s="21">
        <v>9262.5300000000007</v>
      </c>
      <c r="M180" s="21">
        <f t="shared" si="0"/>
        <v>4631.2650000000003</v>
      </c>
      <c r="R180" s="5" t="e">
        <f>VLOOKUP(E180,'Inertia Bases 2025'!$A:$H,8,0)</f>
        <v>#N/A</v>
      </c>
      <c r="S180" s="5"/>
      <c r="T180" s="5" t="e">
        <f>VLOOKUP(G180,'Seismic Springs 2025'!$A:$I,9,0)</f>
        <v>#N/A</v>
      </c>
      <c r="U180" s="5" t="e">
        <f t="shared" si="4"/>
        <v>#N/A</v>
      </c>
    </row>
    <row r="181" spans="1:21" ht="12.75">
      <c r="A181" s="7">
        <v>93055574</v>
      </c>
      <c r="B181" s="7" t="s">
        <v>451</v>
      </c>
      <c r="C181" s="7">
        <v>15</v>
      </c>
      <c r="D181" s="7">
        <v>4</v>
      </c>
      <c r="E181" s="59"/>
      <c r="L181" s="21">
        <v>10263.64</v>
      </c>
      <c r="M181" s="21">
        <f t="shared" si="0"/>
        <v>5131.82</v>
      </c>
      <c r="R181" s="5" t="e">
        <f>VLOOKUP(E181,'Inertia Bases 2025'!$A:$H,8,0)</f>
        <v>#N/A</v>
      </c>
      <c r="S181" s="5"/>
      <c r="T181" s="5" t="e">
        <f>VLOOKUP(G181,'Seismic Springs 2025'!$A:$I,9,0)</f>
        <v>#N/A</v>
      </c>
      <c r="U181" s="5" t="e">
        <f t="shared" si="4"/>
        <v>#N/A</v>
      </c>
    </row>
    <row r="182" spans="1:21" ht="12.75">
      <c r="A182" s="7">
        <v>93055575</v>
      </c>
      <c r="B182" s="7" t="s">
        <v>452</v>
      </c>
      <c r="C182" s="7">
        <v>11</v>
      </c>
      <c r="D182" s="7">
        <v>4</v>
      </c>
      <c r="E182" s="59"/>
      <c r="L182" s="21">
        <v>9721.35</v>
      </c>
      <c r="M182" s="21">
        <f t="shared" si="0"/>
        <v>4860.6750000000002</v>
      </c>
      <c r="R182" s="5" t="e">
        <f>VLOOKUP(E182,'Inertia Bases 2025'!$A:$H,8,0)</f>
        <v>#N/A</v>
      </c>
      <c r="S182" s="5"/>
      <c r="T182" s="5" t="e">
        <f>VLOOKUP(G182,'Seismic Springs 2025'!$A:$I,9,0)</f>
        <v>#N/A</v>
      </c>
      <c r="U182" s="5" t="e">
        <f t="shared" si="4"/>
        <v>#N/A</v>
      </c>
    </row>
    <row r="183" spans="1:21" ht="12.75">
      <c r="A183" s="7">
        <v>93055576</v>
      </c>
      <c r="B183" s="7" t="s">
        <v>453</v>
      </c>
      <c r="C183" s="7">
        <v>7.5</v>
      </c>
      <c r="D183" s="7">
        <v>4</v>
      </c>
      <c r="E183" s="59"/>
      <c r="L183" s="21">
        <v>8737.7199999999993</v>
      </c>
      <c r="M183" s="21">
        <f t="shared" si="0"/>
        <v>4368.8599999999997</v>
      </c>
      <c r="R183" s="5" t="e">
        <f>VLOOKUP(E183,'Inertia Bases 2025'!$A:$H,8,0)</f>
        <v>#N/A</v>
      </c>
      <c r="S183" s="5"/>
      <c r="T183" s="5" t="e">
        <f>VLOOKUP(G183,'Seismic Springs 2025'!$A:$I,9,0)</f>
        <v>#N/A</v>
      </c>
      <c r="U183" s="5" t="e">
        <f t="shared" si="4"/>
        <v>#N/A</v>
      </c>
    </row>
    <row r="184" spans="1:21" ht="12.75">
      <c r="A184" s="7">
        <v>93055577</v>
      </c>
      <c r="B184" s="7" t="s">
        <v>454</v>
      </c>
      <c r="C184" s="7">
        <v>5.5</v>
      </c>
      <c r="D184" s="7">
        <v>4</v>
      </c>
      <c r="E184" s="59"/>
      <c r="L184" s="21">
        <v>8496.7800000000007</v>
      </c>
      <c r="M184" s="21">
        <f t="shared" si="0"/>
        <v>4248.3900000000003</v>
      </c>
      <c r="R184" s="5" t="e">
        <f>VLOOKUP(E184,'Inertia Bases 2025'!$A:$H,8,0)</f>
        <v>#N/A</v>
      </c>
      <c r="S184" s="5"/>
      <c r="T184" s="5" t="e">
        <f>VLOOKUP(G184,'Seismic Springs 2025'!$A:$I,9,0)</f>
        <v>#N/A</v>
      </c>
      <c r="U184" s="5" t="e">
        <f t="shared" si="4"/>
        <v>#N/A</v>
      </c>
    </row>
    <row r="185" spans="1:21" ht="12.75">
      <c r="A185" s="7">
        <v>93055578</v>
      </c>
      <c r="B185" s="7" t="s">
        <v>451</v>
      </c>
      <c r="C185" s="7">
        <v>4</v>
      </c>
      <c r="D185" s="7">
        <v>6</v>
      </c>
      <c r="E185" s="59"/>
      <c r="L185" s="21">
        <v>9755.69</v>
      </c>
      <c r="M185" s="21">
        <f t="shared" si="0"/>
        <v>4877.8450000000003</v>
      </c>
      <c r="R185" s="5" t="e">
        <f>VLOOKUP(E185,'Inertia Bases 2025'!$A:$H,8,0)</f>
        <v>#N/A</v>
      </c>
      <c r="S185" s="5"/>
      <c r="T185" s="5" t="e">
        <f>VLOOKUP(G185,'Seismic Springs 2025'!$A:$I,9,0)</f>
        <v>#N/A</v>
      </c>
      <c r="U185" s="5" t="e">
        <f t="shared" si="4"/>
        <v>#N/A</v>
      </c>
    </row>
    <row r="186" spans="1:21" ht="12.75">
      <c r="A186" s="7">
        <v>93055579</v>
      </c>
      <c r="B186" s="7" t="s">
        <v>455</v>
      </c>
      <c r="C186" s="7">
        <v>3</v>
      </c>
      <c r="D186" s="7">
        <v>6</v>
      </c>
      <c r="E186" s="59"/>
      <c r="L186" s="21">
        <v>9569.14</v>
      </c>
      <c r="M186" s="21">
        <f t="shared" si="0"/>
        <v>4784.57</v>
      </c>
      <c r="R186" s="5" t="e">
        <f>VLOOKUP(E186,'Inertia Bases 2025'!$A:$H,8,0)</f>
        <v>#N/A</v>
      </c>
      <c r="S186" s="5"/>
      <c r="T186" s="5" t="e">
        <f>VLOOKUP(G186,'Seismic Springs 2025'!$A:$I,9,0)</f>
        <v>#N/A</v>
      </c>
      <c r="U186" s="5" t="e">
        <f t="shared" si="4"/>
        <v>#N/A</v>
      </c>
    </row>
    <row r="187" spans="1:21" ht="12.75">
      <c r="A187" s="7">
        <v>93055580</v>
      </c>
      <c r="B187" s="7" t="s">
        <v>456</v>
      </c>
      <c r="C187" s="7">
        <v>2.2000000000000002</v>
      </c>
      <c r="D187" s="7">
        <v>6</v>
      </c>
      <c r="E187" s="59"/>
      <c r="L187" s="21">
        <v>8894.9599999999991</v>
      </c>
      <c r="M187" s="21">
        <f t="shared" si="0"/>
        <v>4447.4799999999996</v>
      </c>
      <c r="R187" s="5" t="e">
        <f>VLOOKUP(E187,'Inertia Bases 2025'!$A:$H,8,0)</f>
        <v>#N/A</v>
      </c>
      <c r="S187" s="5"/>
      <c r="T187" s="5" t="e">
        <f>VLOOKUP(G187,'Seismic Springs 2025'!$A:$I,9,0)</f>
        <v>#N/A</v>
      </c>
      <c r="U187" s="5" t="e">
        <f t="shared" si="4"/>
        <v>#N/A</v>
      </c>
    </row>
    <row r="188" spans="1:21" ht="12.75">
      <c r="A188" s="7">
        <v>93055581</v>
      </c>
      <c r="B188" s="7" t="s">
        <v>457</v>
      </c>
      <c r="C188" s="7">
        <v>1.5</v>
      </c>
      <c r="D188" s="7">
        <v>6</v>
      </c>
      <c r="E188" s="59"/>
      <c r="L188" s="21">
        <v>8675.32</v>
      </c>
      <c r="M188" s="21">
        <f t="shared" si="0"/>
        <v>4337.66</v>
      </c>
      <c r="R188" s="5" t="e">
        <f>VLOOKUP(E188,'Inertia Bases 2025'!$A:$H,8,0)</f>
        <v>#N/A</v>
      </c>
      <c r="S188" s="5"/>
      <c r="T188" s="5" t="e">
        <f>VLOOKUP(G188,'Seismic Springs 2025'!$A:$I,9,0)</f>
        <v>#N/A</v>
      </c>
      <c r="U188" s="5" t="e">
        <f t="shared" si="4"/>
        <v>#N/A</v>
      </c>
    </row>
    <row r="189" spans="1:21" ht="12.75">
      <c r="A189" s="7">
        <v>93055582</v>
      </c>
      <c r="B189" s="7" t="s">
        <v>458</v>
      </c>
      <c r="C189" s="7">
        <v>18.5</v>
      </c>
      <c r="D189" s="7">
        <v>4</v>
      </c>
      <c r="E189" s="59">
        <v>91338088</v>
      </c>
      <c r="F189" s="7" t="s">
        <v>732</v>
      </c>
      <c r="G189" s="7">
        <v>91338019</v>
      </c>
      <c r="H189" s="7" t="s">
        <v>733</v>
      </c>
      <c r="K189" s="7">
        <v>4</v>
      </c>
      <c r="L189" s="21">
        <v>11394.54</v>
      </c>
      <c r="M189" s="21">
        <f t="shared" si="0"/>
        <v>5697.27</v>
      </c>
      <c r="R189" s="5">
        <f>VLOOKUP(E189,'Inertia Bases 2025'!$A:$H,8,0)</f>
        <v>547.49</v>
      </c>
      <c r="S189" s="5"/>
      <c r="T189" s="5">
        <f>VLOOKUP(G189,'Seismic Springs 2025'!$A:$I,9,0)</f>
        <v>170.3</v>
      </c>
      <c r="U189" s="5">
        <f t="shared" si="4"/>
        <v>681.2</v>
      </c>
    </row>
    <row r="190" spans="1:21" ht="12.75">
      <c r="A190" s="7">
        <v>93055583</v>
      </c>
      <c r="B190" s="7" t="s">
        <v>459</v>
      </c>
      <c r="C190" s="7">
        <v>15</v>
      </c>
      <c r="D190" s="7">
        <v>4</v>
      </c>
      <c r="E190" s="59">
        <v>98565389</v>
      </c>
      <c r="F190" s="7" t="s">
        <v>754</v>
      </c>
      <c r="G190" s="7">
        <v>91338019</v>
      </c>
      <c r="H190" s="7" t="s">
        <v>733</v>
      </c>
      <c r="K190" s="7">
        <v>4</v>
      </c>
      <c r="L190" s="21">
        <v>10988.62</v>
      </c>
      <c r="M190" s="21">
        <f t="shared" si="0"/>
        <v>5494.31</v>
      </c>
      <c r="R190" s="5">
        <f>VLOOKUP(E190,'Inertia Bases 2025'!$A:$H,8,0)</f>
        <v>785.8</v>
      </c>
      <c r="S190" s="5"/>
      <c r="T190" s="5">
        <f>VLOOKUP(G190,'Seismic Springs 2025'!$A:$I,9,0)</f>
        <v>170.3</v>
      </c>
      <c r="U190" s="5">
        <f t="shared" si="4"/>
        <v>681.2</v>
      </c>
    </row>
    <row r="191" spans="1:21" ht="12.75">
      <c r="A191" s="7">
        <v>93055584</v>
      </c>
      <c r="B191" s="7" t="s">
        <v>460</v>
      </c>
      <c r="C191" s="7">
        <v>11</v>
      </c>
      <c r="D191" s="7">
        <v>4</v>
      </c>
      <c r="E191" s="59">
        <v>99051549</v>
      </c>
      <c r="F191" s="7" t="s">
        <v>734</v>
      </c>
      <c r="G191" s="7">
        <v>91338018</v>
      </c>
      <c r="H191" s="7" t="s">
        <v>735</v>
      </c>
      <c r="K191" s="7">
        <v>4</v>
      </c>
      <c r="L191" s="21">
        <v>10502.03</v>
      </c>
      <c r="M191" s="21">
        <f t="shared" si="0"/>
        <v>5251.0150000000003</v>
      </c>
      <c r="R191" s="5">
        <f>VLOOKUP(E191,'Inertia Bases 2025'!$A:$H,8,0)</f>
        <v>525.59</v>
      </c>
      <c r="S191" s="5"/>
      <c r="T191" s="5">
        <f>VLOOKUP(G191,'Seismic Springs 2025'!$A:$I,9,0)</f>
        <v>170.3</v>
      </c>
      <c r="U191" s="5">
        <f t="shared" si="4"/>
        <v>681.2</v>
      </c>
    </row>
    <row r="192" spans="1:21" ht="12.75">
      <c r="A192" s="7">
        <v>93055585</v>
      </c>
      <c r="B192" s="7" t="s">
        <v>461</v>
      </c>
      <c r="C192" s="7">
        <v>7.5</v>
      </c>
      <c r="D192" s="7">
        <v>4</v>
      </c>
      <c r="E192" s="59"/>
      <c r="L192" s="21">
        <v>9945.5300000000007</v>
      </c>
      <c r="M192" s="21">
        <f t="shared" si="0"/>
        <v>4972.7650000000003</v>
      </c>
      <c r="R192" s="5" t="e">
        <f>VLOOKUP(E192,'Inertia Bases 2025'!$A:$H,8,0)</f>
        <v>#N/A</v>
      </c>
      <c r="S192" s="5"/>
      <c r="T192" s="5" t="e">
        <f>VLOOKUP(G192,'Seismic Springs 2025'!$A:$I,9,0)</f>
        <v>#N/A</v>
      </c>
      <c r="U192" s="5" t="e">
        <f t="shared" si="4"/>
        <v>#N/A</v>
      </c>
    </row>
    <row r="193" spans="1:21" ht="12.75">
      <c r="A193" s="7">
        <v>93055586</v>
      </c>
      <c r="B193" s="7" t="s">
        <v>458</v>
      </c>
      <c r="C193" s="7">
        <v>5.5</v>
      </c>
      <c r="D193" s="7">
        <v>6</v>
      </c>
      <c r="E193" s="59"/>
      <c r="L193" s="21">
        <v>9944.09</v>
      </c>
      <c r="M193" s="21">
        <f t="shared" si="0"/>
        <v>4972.0450000000001</v>
      </c>
      <c r="R193" s="5" t="e">
        <f>VLOOKUP(E193,'Inertia Bases 2025'!$A:$H,8,0)</f>
        <v>#N/A</v>
      </c>
      <c r="S193" s="5"/>
      <c r="T193" s="5" t="e">
        <f>VLOOKUP(G193,'Seismic Springs 2025'!$A:$I,9,0)</f>
        <v>#N/A</v>
      </c>
      <c r="U193" s="5" t="e">
        <f t="shared" si="4"/>
        <v>#N/A</v>
      </c>
    </row>
    <row r="194" spans="1:21" ht="12.75">
      <c r="A194" s="7">
        <v>93055587</v>
      </c>
      <c r="B194" s="7" t="s">
        <v>462</v>
      </c>
      <c r="C194" s="7">
        <v>4</v>
      </c>
      <c r="D194" s="7">
        <v>6</v>
      </c>
      <c r="E194" s="59"/>
      <c r="L194" s="21">
        <v>10585.6</v>
      </c>
      <c r="M194" s="21">
        <f t="shared" si="0"/>
        <v>5292.8</v>
      </c>
      <c r="R194" s="5" t="e">
        <f>VLOOKUP(E194,'Inertia Bases 2025'!$A:$H,8,0)</f>
        <v>#N/A</v>
      </c>
      <c r="S194" s="5"/>
      <c r="T194" s="5" t="e">
        <f>VLOOKUP(G194,'Seismic Springs 2025'!$A:$I,9,0)</f>
        <v>#N/A</v>
      </c>
      <c r="U194" s="5" t="e">
        <f t="shared" si="4"/>
        <v>#N/A</v>
      </c>
    </row>
    <row r="195" spans="1:21" ht="12.75">
      <c r="A195" s="7">
        <v>93055588</v>
      </c>
      <c r="B195" s="7" t="s">
        <v>460</v>
      </c>
      <c r="C195" s="7">
        <v>3</v>
      </c>
      <c r="D195" s="7">
        <v>6</v>
      </c>
      <c r="E195" s="59"/>
      <c r="L195" s="21">
        <v>11376.48</v>
      </c>
      <c r="M195" s="21">
        <f t="shared" si="0"/>
        <v>5688.24</v>
      </c>
      <c r="R195" s="5" t="e">
        <f>VLOOKUP(E195,'Inertia Bases 2025'!$A:$H,8,0)</f>
        <v>#N/A</v>
      </c>
      <c r="S195" s="5"/>
      <c r="T195" s="5" t="e">
        <f>VLOOKUP(G195,'Seismic Springs 2025'!$A:$I,9,0)</f>
        <v>#N/A</v>
      </c>
      <c r="U195" s="5" t="e">
        <f t="shared" si="4"/>
        <v>#N/A</v>
      </c>
    </row>
    <row r="196" spans="1:21" ht="12.75">
      <c r="A196" s="7">
        <v>93055589</v>
      </c>
      <c r="B196" s="7" t="s">
        <v>463</v>
      </c>
      <c r="C196" s="7">
        <v>2.2000000000000002</v>
      </c>
      <c r="D196" s="7">
        <v>6</v>
      </c>
      <c r="E196" s="59"/>
      <c r="L196" s="21">
        <v>9391.32</v>
      </c>
      <c r="M196" s="21">
        <f t="shared" si="0"/>
        <v>4695.66</v>
      </c>
      <c r="R196" s="5" t="e">
        <f>VLOOKUP(E196,'Inertia Bases 2025'!$A:$H,8,0)</f>
        <v>#N/A</v>
      </c>
      <c r="S196" s="5"/>
      <c r="T196" s="5" t="e">
        <f>VLOOKUP(G196,'Seismic Springs 2025'!$A:$I,9,0)</f>
        <v>#N/A</v>
      </c>
      <c r="U196" s="5" t="e">
        <f t="shared" si="4"/>
        <v>#N/A</v>
      </c>
    </row>
    <row r="197" spans="1:21" ht="12.75">
      <c r="A197" s="7">
        <v>93055590</v>
      </c>
      <c r="B197" s="7" t="s">
        <v>464</v>
      </c>
      <c r="C197" s="7">
        <v>37</v>
      </c>
      <c r="D197" s="7">
        <v>4</v>
      </c>
      <c r="E197" s="59">
        <v>93369540</v>
      </c>
      <c r="F197" s="7" t="s">
        <v>755</v>
      </c>
      <c r="G197" s="7">
        <v>91338020</v>
      </c>
      <c r="H197" s="7" t="s">
        <v>737</v>
      </c>
      <c r="L197" s="21">
        <v>17182.490000000002</v>
      </c>
      <c r="M197" s="21">
        <f t="shared" si="0"/>
        <v>8591.2450000000008</v>
      </c>
      <c r="R197" s="5">
        <f>VLOOKUP(E197,'Inertia Bases 2025'!$A:$H,8,0)</f>
        <v>859.95</v>
      </c>
      <c r="S197" s="5"/>
      <c r="T197" s="5">
        <f>VLOOKUP(G197,'Seismic Springs 2025'!$A:$I,9,0)</f>
        <v>170.3</v>
      </c>
      <c r="U197" s="5">
        <f t="shared" si="4"/>
        <v>0</v>
      </c>
    </row>
    <row r="198" spans="1:21" ht="12.75">
      <c r="A198" s="7">
        <v>93055591</v>
      </c>
      <c r="B198" s="7" t="s">
        <v>465</v>
      </c>
      <c r="C198" s="7">
        <v>18.5</v>
      </c>
      <c r="D198" s="7">
        <v>4</v>
      </c>
      <c r="E198" s="59"/>
      <c r="L198" s="21">
        <v>12517.71</v>
      </c>
      <c r="M198" s="21">
        <f t="shared" si="0"/>
        <v>6258.8549999999996</v>
      </c>
      <c r="R198" s="5" t="e">
        <f>VLOOKUP(E198,'Inertia Bases 2025'!$A:$H,8,0)</f>
        <v>#N/A</v>
      </c>
      <c r="S198" s="5"/>
      <c r="T198" s="5" t="e">
        <f>VLOOKUP(G198,'Seismic Springs 2025'!$A:$I,9,0)</f>
        <v>#N/A</v>
      </c>
      <c r="U198" s="5" t="e">
        <f t="shared" si="4"/>
        <v>#N/A</v>
      </c>
    </row>
    <row r="199" spans="1:21" ht="12.75">
      <c r="A199" s="7">
        <v>93055592</v>
      </c>
      <c r="B199" s="7" t="s">
        <v>466</v>
      </c>
      <c r="C199" s="7">
        <v>15</v>
      </c>
      <c r="D199" s="7">
        <v>4</v>
      </c>
      <c r="E199" s="59"/>
      <c r="L199" s="21">
        <v>11504.28</v>
      </c>
      <c r="M199" s="21">
        <f t="shared" si="0"/>
        <v>5752.14</v>
      </c>
      <c r="R199" s="5" t="e">
        <f>VLOOKUP(E199,'Inertia Bases 2025'!$A:$H,8,0)</f>
        <v>#N/A</v>
      </c>
      <c r="S199" s="5"/>
      <c r="T199" s="5" t="e">
        <f>VLOOKUP(G199,'Seismic Springs 2025'!$A:$I,9,0)</f>
        <v>#N/A</v>
      </c>
      <c r="U199" s="5" t="e">
        <f t="shared" si="4"/>
        <v>#N/A</v>
      </c>
    </row>
    <row r="200" spans="1:21" ht="12.75">
      <c r="A200" s="7">
        <v>93055593</v>
      </c>
      <c r="B200" s="7" t="s">
        <v>467</v>
      </c>
      <c r="C200" s="7">
        <v>11</v>
      </c>
      <c r="D200" s="7">
        <v>4</v>
      </c>
      <c r="E200" s="59"/>
      <c r="L200" s="21">
        <v>11119.01</v>
      </c>
      <c r="M200" s="21">
        <f t="shared" si="0"/>
        <v>5559.5050000000001</v>
      </c>
      <c r="R200" s="5" t="e">
        <f>VLOOKUP(E200,'Inertia Bases 2025'!$A:$H,8,0)</f>
        <v>#N/A</v>
      </c>
      <c r="S200" s="5"/>
      <c r="T200" s="5" t="e">
        <f>VLOOKUP(G200,'Seismic Springs 2025'!$A:$I,9,0)</f>
        <v>#N/A</v>
      </c>
      <c r="U200" s="5" t="e">
        <f t="shared" si="4"/>
        <v>#N/A</v>
      </c>
    </row>
    <row r="201" spans="1:21" ht="12.75">
      <c r="A201" s="7">
        <v>93055594</v>
      </c>
      <c r="B201" s="7" t="s">
        <v>464</v>
      </c>
      <c r="C201" s="7">
        <v>11</v>
      </c>
      <c r="D201" s="7">
        <v>6</v>
      </c>
      <c r="E201" s="59"/>
      <c r="L201" s="21">
        <v>12816.38</v>
      </c>
      <c r="M201" s="21">
        <f t="shared" si="0"/>
        <v>6408.19</v>
      </c>
      <c r="R201" s="5" t="e">
        <f>VLOOKUP(E201,'Inertia Bases 2025'!$A:$H,8,0)</f>
        <v>#N/A</v>
      </c>
      <c r="S201" s="5"/>
      <c r="T201" s="5" t="e">
        <f>VLOOKUP(G201,'Seismic Springs 2025'!$A:$I,9,0)</f>
        <v>#N/A</v>
      </c>
      <c r="U201" s="5" t="e">
        <f t="shared" si="4"/>
        <v>#N/A</v>
      </c>
    </row>
    <row r="202" spans="1:21" ht="12.75">
      <c r="A202" s="7">
        <v>93055595</v>
      </c>
      <c r="B202" s="7" t="s">
        <v>468</v>
      </c>
      <c r="C202" s="7">
        <v>7.5</v>
      </c>
      <c r="D202" s="7">
        <v>6</v>
      </c>
      <c r="E202" s="59"/>
      <c r="L202" s="21">
        <v>11852.84</v>
      </c>
      <c r="M202" s="21">
        <f t="shared" si="0"/>
        <v>5926.42</v>
      </c>
      <c r="R202" s="5" t="e">
        <f>VLOOKUP(E202,'Inertia Bases 2025'!$A:$H,8,0)</f>
        <v>#N/A</v>
      </c>
      <c r="S202" s="5"/>
      <c r="T202" s="5" t="e">
        <f>VLOOKUP(G202,'Seismic Springs 2025'!$A:$I,9,0)</f>
        <v>#N/A</v>
      </c>
      <c r="U202" s="5" t="e">
        <f t="shared" si="4"/>
        <v>#N/A</v>
      </c>
    </row>
    <row r="203" spans="1:21" ht="12.75">
      <c r="A203" s="7">
        <v>93055596</v>
      </c>
      <c r="B203" s="7" t="s">
        <v>469</v>
      </c>
      <c r="C203" s="7">
        <v>5.5</v>
      </c>
      <c r="D203" s="7">
        <v>6</v>
      </c>
      <c r="E203" s="59"/>
      <c r="L203" s="21">
        <v>11131.62</v>
      </c>
      <c r="M203" s="21">
        <f t="shared" si="0"/>
        <v>5565.81</v>
      </c>
      <c r="R203" s="5" t="e">
        <f>VLOOKUP(E203,'Inertia Bases 2025'!$A:$H,8,0)</f>
        <v>#N/A</v>
      </c>
      <c r="S203" s="5"/>
      <c r="T203" s="5" t="e">
        <f>VLOOKUP(G203,'Seismic Springs 2025'!$A:$I,9,0)</f>
        <v>#N/A</v>
      </c>
      <c r="U203" s="5" t="e">
        <f t="shared" si="4"/>
        <v>#N/A</v>
      </c>
    </row>
    <row r="204" spans="1:21" ht="12.75">
      <c r="A204" s="7">
        <v>93055597</v>
      </c>
      <c r="B204" s="7" t="s">
        <v>470</v>
      </c>
      <c r="C204" s="7">
        <v>4</v>
      </c>
      <c r="D204" s="7">
        <v>6</v>
      </c>
      <c r="E204" s="59"/>
      <c r="L204" s="21">
        <v>11100.58</v>
      </c>
      <c r="M204" s="21">
        <f t="shared" si="0"/>
        <v>5550.29</v>
      </c>
      <c r="R204" s="5" t="e">
        <f>VLOOKUP(E204,'Inertia Bases 2025'!$A:$H,8,0)</f>
        <v>#N/A</v>
      </c>
      <c r="S204" s="5"/>
      <c r="T204" s="5" t="e">
        <f>VLOOKUP(G204,'Seismic Springs 2025'!$A:$I,9,0)</f>
        <v>#N/A</v>
      </c>
      <c r="U204" s="5" t="e">
        <f t="shared" si="4"/>
        <v>#N/A</v>
      </c>
    </row>
    <row r="205" spans="1:21" ht="12.75">
      <c r="A205" s="7">
        <v>93055598</v>
      </c>
      <c r="B205" s="7" t="s">
        <v>471</v>
      </c>
      <c r="C205" s="7">
        <v>18.5</v>
      </c>
      <c r="D205" s="7">
        <v>4</v>
      </c>
      <c r="E205" s="59"/>
      <c r="L205" s="21">
        <v>11551</v>
      </c>
      <c r="M205" s="21">
        <f t="shared" si="0"/>
        <v>5775.5</v>
      </c>
      <c r="R205" s="5" t="e">
        <f>VLOOKUP(E205,'Inertia Bases 2025'!$A:$H,8,0)</f>
        <v>#N/A</v>
      </c>
      <c r="S205" s="5"/>
      <c r="T205" s="5" t="e">
        <f>VLOOKUP(G205,'Seismic Springs 2025'!$A:$I,9,0)</f>
        <v>#N/A</v>
      </c>
      <c r="U205" s="5" t="e">
        <f t="shared" si="4"/>
        <v>#N/A</v>
      </c>
    </row>
    <row r="206" spans="1:21" ht="12.75">
      <c r="A206" s="7">
        <v>93055599</v>
      </c>
      <c r="B206" s="7" t="s">
        <v>472</v>
      </c>
      <c r="C206" s="7">
        <v>15</v>
      </c>
      <c r="D206" s="7">
        <v>4</v>
      </c>
      <c r="E206" s="59"/>
      <c r="L206" s="21">
        <v>10430.52</v>
      </c>
      <c r="M206" s="21">
        <f t="shared" si="0"/>
        <v>5215.26</v>
      </c>
      <c r="R206" s="5" t="e">
        <f>VLOOKUP(E206,'Inertia Bases 2025'!$A:$H,8,0)</f>
        <v>#N/A</v>
      </c>
      <c r="S206" s="5"/>
      <c r="T206" s="5" t="e">
        <f>VLOOKUP(G206,'Seismic Springs 2025'!$A:$I,9,0)</f>
        <v>#N/A</v>
      </c>
      <c r="U206" s="5" t="e">
        <f t="shared" si="4"/>
        <v>#N/A</v>
      </c>
    </row>
    <row r="207" spans="1:21" ht="12.75">
      <c r="A207" s="7">
        <v>93055600</v>
      </c>
      <c r="B207" s="7" t="s">
        <v>473</v>
      </c>
      <c r="C207" s="7">
        <v>11</v>
      </c>
      <c r="D207" s="7">
        <v>4</v>
      </c>
      <c r="E207" s="59"/>
      <c r="L207" s="21">
        <v>10111.01</v>
      </c>
      <c r="M207" s="21">
        <f t="shared" si="0"/>
        <v>5055.5050000000001</v>
      </c>
      <c r="R207" s="5" t="e">
        <f>VLOOKUP(E207,'Inertia Bases 2025'!$A:$H,8,0)</f>
        <v>#N/A</v>
      </c>
      <c r="S207" s="5"/>
      <c r="T207" s="5" t="e">
        <f>VLOOKUP(G207,'Seismic Springs 2025'!$A:$I,9,0)</f>
        <v>#N/A</v>
      </c>
      <c r="U207" s="5" t="e">
        <f t="shared" si="4"/>
        <v>#N/A</v>
      </c>
    </row>
    <row r="208" spans="1:21" ht="12.75">
      <c r="A208" s="7">
        <v>93055601</v>
      </c>
      <c r="B208" s="7" t="s">
        <v>474</v>
      </c>
      <c r="C208" s="7">
        <v>7.5</v>
      </c>
      <c r="D208" s="7">
        <v>4</v>
      </c>
      <c r="E208" s="59"/>
      <c r="L208" s="21">
        <v>8973.7000000000007</v>
      </c>
      <c r="M208" s="21">
        <f t="shared" si="0"/>
        <v>4486.8500000000004</v>
      </c>
      <c r="R208" s="5" t="e">
        <f>VLOOKUP(E208,'Inertia Bases 2025'!$A:$H,8,0)</f>
        <v>#N/A</v>
      </c>
      <c r="S208" s="5"/>
      <c r="T208" s="5" t="e">
        <f>VLOOKUP(G208,'Seismic Springs 2025'!$A:$I,9,0)</f>
        <v>#N/A</v>
      </c>
      <c r="U208" s="5" t="e">
        <f t="shared" si="4"/>
        <v>#N/A</v>
      </c>
    </row>
    <row r="209" spans="1:21" ht="12.75">
      <c r="A209" s="7">
        <v>93055602</v>
      </c>
      <c r="B209" s="7" t="s">
        <v>475</v>
      </c>
      <c r="C209" s="7">
        <v>5.5</v>
      </c>
      <c r="D209" s="7">
        <v>4</v>
      </c>
      <c r="E209" s="59"/>
      <c r="L209" s="21">
        <v>8766.2800000000007</v>
      </c>
      <c r="M209" s="21">
        <f t="shared" si="0"/>
        <v>4383.1400000000003</v>
      </c>
      <c r="R209" s="5" t="e">
        <f>VLOOKUP(E209,'Inertia Bases 2025'!$A:$H,8,0)</f>
        <v>#N/A</v>
      </c>
      <c r="S209" s="5"/>
      <c r="T209" s="5" t="e">
        <f>VLOOKUP(G209,'Seismic Springs 2025'!$A:$I,9,0)</f>
        <v>#N/A</v>
      </c>
      <c r="U209" s="5" t="e">
        <f t="shared" si="4"/>
        <v>#N/A</v>
      </c>
    </row>
    <row r="210" spans="1:21" ht="12.75">
      <c r="A210" s="7">
        <v>93055603</v>
      </c>
      <c r="B210" s="7" t="s">
        <v>471</v>
      </c>
      <c r="C210" s="7">
        <v>5.5</v>
      </c>
      <c r="D210" s="7">
        <v>6</v>
      </c>
      <c r="E210" s="59"/>
      <c r="L210" s="21">
        <v>10912.63</v>
      </c>
      <c r="M210" s="21">
        <f t="shared" si="0"/>
        <v>5456.3149999999996</v>
      </c>
      <c r="R210" s="5" t="e">
        <f>VLOOKUP(E210,'Inertia Bases 2025'!$A:$H,8,0)</f>
        <v>#N/A</v>
      </c>
      <c r="S210" s="5"/>
      <c r="T210" s="5" t="e">
        <f>VLOOKUP(G210,'Seismic Springs 2025'!$A:$I,9,0)</f>
        <v>#N/A</v>
      </c>
      <c r="U210" s="5" t="e">
        <f t="shared" si="4"/>
        <v>#N/A</v>
      </c>
    </row>
    <row r="211" spans="1:21" ht="12.75">
      <c r="A211" s="7">
        <v>93055604</v>
      </c>
      <c r="B211" s="7" t="s">
        <v>476</v>
      </c>
      <c r="C211" s="7">
        <v>4</v>
      </c>
      <c r="D211" s="7">
        <v>6</v>
      </c>
      <c r="E211" s="59"/>
      <c r="L211" s="21">
        <v>10736.77</v>
      </c>
      <c r="M211" s="21">
        <f t="shared" si="0"/>
        <v>5368.3850000000002</v>
      </c>
      <c r="R211" s="5" t="e">
        <f>VLOOKUP(E211,'Inertia Bases 2025'!$A:$H,8,0)</f>
        <v>#N/A</v>
      </c>
      <c r="S211" s="5"/>
      <c r="T211" s="5" t="e">
        <f>VLOOKUP(G211,'Seismic Springs 2025'!$A:$I,9,0)</f>
        <v>#N/A</v>
      </c>
      <c r="U211" s="5" t="e">
        <f t="shared" si="4"/>
        <v>#N/A</v>
      </c>
    </row>
    <row r="212" spans="1:21" ht="12.75">
      <c r="A212" s="7">
        <v>93055605</v>
      </c>
      <c r="B212" s="7" t="s">
        <v>477</v>
      </c>
      <c r="C212" s="7">
        <v>3</v>
      </c>
      <c r="D212" s="7">
        <v>6</v>
      </c>
      <c r="E212" s="59"/>
      <c r="L212" s="21">
        <v>10190.719999999999</v>
      </c>
      <c r="M212" s="21">
        <f t="shared" si="0"/>
        <v>5095.3599999999997</v>
      </c>
      <c r="R212" s="5" t="e">
        <f>VLOOKUP(E212,'Inertia Bases 2025'!$A:$H,8,0)</f>
        <v>#N/A</v>
      </c>
      <c r="S212" s="5"/>
      <c r="T212" s="5" t="e">
        <f>VLOOKUP(G212,'Seismic Springs 2025'!$A:$I,9,0)</f>
        <v>#N/A</v>
      </c>
      <c r="U212" s="5" t="e">
        <f t="shared" si="4"/>
        <v>#N/A</v>
      </c>
    </row>
    <row r="213" spans="1:21" ht="12.75">
      <c r="A213" s="7">
        <v>93055606</v>
      </c>
      <c r="B213" s="7" t="s">
        <v>478</v>
      </c>
      <c r="C213" s="7">
        <v>2.2000000000000002</v>
      </c>
      <c r="D213" s="7">
        <v>6</v>
      </c>
      <c r="E213" s="59"/>
      <c r="L213" s="21">
        <v>9616.77</v>
      </c>
      <c r="M213" s="21">
        <f t="shared" si="0"/>
        <v>4808.3850000000002</v>
      </c>
      <c r="R213" s="5" t="e">
        <f>VLOOKUP(E213,'Inertia Bases 2025'!$A:$H,8,0)</f>
        <v>#N/A</v>
      </c>
      <c r="S213" s="5"/>
      <c r="T213" s="5" t="e">
        <f>VLOOKUP(G213,'Seismic Springs 2025'!$A:$I,9,0)</f>
        <v>#N/A</v>
      </c>
      <c r="U213" s="5" t="e">
        <f t="shared" si="4"/>
        <v>#N/A</v>
      </c>
    </row>
    <row r="214" spans="1:21" ht="12.75">
      <c r="A214" s="7">
        <v>93055607</v>
      </c>
      <c r="B214" s="7" t="s">
        <v>479</v>
      </c>
      <c r="C214" s="7">
        <v>22</v>
      </c>
      <c r="D214" s="7">
        <v>4</v>
      </c>
      <c r="E214" s="59"/>
      <c r="L214" s="21">
        <v>12313.22</v>
      </c>
      <c r="M214" s="21">
        <f t="shared" si="0"/>
        <v>6156.61</v>
      </c>
      <c r="R214" s="5" t="e">
        <f>VLOOKUP(E214,'Inertia Bases 2025'!$A:$H,8,0)</f>
        <v>#N/A</v>
      </c>
      <c r="S214" s="5"/>
      <c r="T214" s="5" t="e">
        <f>VLOOKUP(G214,'Seismic Springs 2025'!$A:$I,9,0)</f>
        <v>#N/A</v>
      </c>
      <c r="U214" s="5" t="e">
        <f t="shared" si="4"/>
        <v>#N/A</v>
      </c>
    </row>
    <row r="215" spans="1:21" ht="12.75">
      <c r="A215" s="7">
        <v>93055608</v>
      </c>
      <c r="B215" s="7" t="s">
        <v>480</v>
      </c>
      <c r="C215" s="7">
        <v>18.5</v>
      </c>
      <c r="D215" s="7">
        <v>4</v>
      </c>
      <c r="E215" s="59">
        <v>91338088</v>
      </c>
      <c r="F215" s="7" t="s">
        <v>732</v>
      </c>
      <c r="G215" s="7">
        <v>91338019</v>
      </c>
      <c r="H215" s="7" t="s">
        <v>733</v>
      </c>
      <c r="K215" s="7">
        <v>4</v>
      </c>
      <c r="L215" s="21">
        <v>12029.39</v>
      </c>
      <c r="M215" s="21">
        <f t="shared" si="0"/>
        <v>6014.6949999999997</v>
      </c>
      <c r="R215" s="5">
        <f>VLOOKUP(E215,'Inertia Bases 2025'!$A:$H,8,0)</f>
        <v>547.49</v>
      </c>
      <c r="S215" s="5"/>
      <c r="T215" s="5">
        <f>VLOOKUP(G215,'Seismic Springs 2025'!$A:$I,9,0)</f>
        <v>170.3</v>
      </c>
      <c r="U215" s="5">
        <f t="shared" si="4"/>
        <v>681.2</v>
      </c>
    </row>
    <row r="216" spans="1:21" ht="12.75">
      <c r="A216" s="7">
        <v>93055609</v>
      </c>
      <c r="B216" s="7" t="s">
        <v>481</v>
      </c>
      <c r="C216" s="7">
        <v>15</v>
      </c>
      <c r="D216" s="7">
        <v>4</v>
      </c>
      <c r="E216" s="59"/>
      <c r="L216" s="21">
        <v>11196.34</v>
      </c>
      <c r="M216" s="21">
        <f t="shared" si="0"/>
        <v>5598.17</v>
      </c>
      <c r="R216" s="5" t="e">
        <f>VLOOKUP(E216,'Inertia Bases 2025'!$A:$H,8,0)</f>
        <v>#N/A</v>
      </c>
      <c r="S216" s="5"/>
      <c r="T216" s="5" t="e">
        <f>VLOOKUP(G216,'Seismic Springs 2025'!$A:$I,9,0)</f>
        <v>#N/A</v>
      </c>
      <c r="U216" s="5" t="e">
        <f t="shared" si="4"/>
        <v>#N/A</v>
      </c>
    </row>
    <row r="217" spans="1:21" ht="12.75">
      <c r="A217" s="7">
        <v>93055610</v>
      </c>
      <c r="B217" s="7" t="s">
        <v>482</v>
      </c>
      <c r="C217" s="7">
        <v>11</v>
      </c>
      <c r="D217" s="7">
        <v>4</v>
      </c>
      <c r="E217" s="59"/>
      <c r="L217" s="21">
        <v>10819.62</v>
      </c>
      <c r="M217" s="21">
        <f t="shared" si="0"/>
        <v>5409.81</v>
      </c>
      <c r="R217" s="5" t="e">
        <f>VLOOKUP(E217,'Inertia Bases 2025'!$A:$H,8,0)</f>
        <v>#N/A</v>
      </c>
      <c r="S217" s="5"/>
      <c r="T217" s="5" t="e">
        <f>VLOOKUP(G217,'Seismic Springs 2025'!$A:$I,9,0)</f>
        <v>#N/A</v>
      </c>
      <c r="U217" s="5" t="e">
        <f t="shared" si="4"/>
        <v>#N/A</v>
      </c>
    </row>
    <row r="218" spans="1:21" ht="12.75">
      <c r="A218" s="7">
        <v>93055611</v>
      </c>
      <c r="B218" s="7" t="s">
        <v>289</v>
      </c>
      <c r="C218" s="7">
        <v>7.5</v>
      </c>
      <c r="D218" s="7">
        <v>6</v>
      </c>
      <c r="E218" s="59"/>
      <c r="L218" s="21">
        <v>12085.87</v>
      </c>
      <c r="M218" s="21">
        <f t="shared" si="0"/>
        <v>6042.9350000000004</v>
      </c>
      <c r="R218" s="5" t="e">
        <f>VLOOKUP(E218,'Inertia Bases 2025'!$A:$H,8,0)</f>
        <v>#N/A</v>
      </c>
      <c r="S218" s="5"/>
      <c r="T218" s="5" t="e">
        <f>VLOOKUP(G218,'Seismic Springs 2025'!$A:$I,9,0)</f>
        <v>#N/A</v>
      </c>
      <c r="U218" s="5" t="e">
        <f t="shared" si="4"/>
        <v>#N/A</v>
      </c>
    </row>
    <row r="219" spans="1:21" ht="12.75">
      <c r="A219" s="7">
        <v>93055612</v>
      </c>
      <c r="B219" s="7" t="s">
        <v>483</v>
      </c>
      <c r="C219" s="7">
        <v>5.5</v>
      </c>
      <c r="D219" s="7">
        <v>6</v>
      </c>
      <c r="E219" s="59"/>
      <c r="L219" s="21">
        <v>11600.5</v>
      </c>
      <c r="M219" s="21">
        <f t="shared" si="0"/>
        <v>5800.25</v>
      </c>
      <c r="R219" s="5" t="e">
        <f>VLOOKUP(E219,'Inertia Bases 2025'!$A:$H,8,0)</f>
        <v>#N/A</v>
      </c>
      <c r="S219" s="5"/>
      <c r="T219" s="5" t="e">
        <f>VLOOKUP(G219,'Seismic Springs 2025'!$A:$I,9,0)</f>
        <v>#N/A</v>
      </c>
      <c r="U219" s="5" t="e">
        <f t="shared" si="4"/>
        <v>#N/A</v>
      </c>
    </row>
    <row r="220" spans="1:21" ht="12.75">
      <c r="A220" s="7">
        <v>93055613</v>
      </c>
      <c r="B220" s="7" t="s">
        <v>484</v>
      </c>
      <c r="C220" s="7">
        <v>4</v>
      </c>
      <c r="D220" s="7">
        <v>6</v>
      </c>
      <c r="E220" s="59"/>
      <c r="L220" s="21">
        <v>11008.68</v>
      </c>
      <c r="M220" s="21">
        <f t="shared" si="0"/>
        <v>5504.34</v>
      </c>
      <c r="R220" s="5" t="e">
        <f>VLOOKUP(E220,'Inertia Bases 2025'!$A:$H,8,0)</f>
        <v>#N/A</v>
      </c>
      <c r="S220" s="5"/>
      <c r="T220" s="5" t="e">
        <f>VLOOKUP(G220,'Seismic Springs 2025'!$A:$I,9,0)</f>
        <v>#N/A</v>
      </c>
      <c r="U220" s="5" t="e">
        <f t="shared" si="4"/>
        <v>#N/A</v>
      </c>
    </row>
    <row r="221" spans="1:21" ht="12.75">
      <c r="A221" s="7">
        <v>93055614</v>
      </c>
      <c r="B221" s="7" t="s">
        <v>485</v>
      </c>
      <c r="C221" s="7">
        <v>3</v>
      </c>
      <c r="D221" s="7">
        <v>6</v>
      </c>
      <c r="E221" s="59"/>
      <c r="L221" s="21">
        <v>11836.7</v>
      </c>
      <c r="M221" s="21">
        <f t="shared" si="0"/>
        <v>5918.35</v>
      </c>
      <c r="R221" s="5" t="e">
        <f>VLOOKUP(E221,'Inertia Bases 2025'!$A:$H,8,0)</f>
        <v>#N/A</v>
      </c>
      <c r="S221" s="5"/>
      <c r="T221" s="5" t="e">
        <f>VLOOKUP(G221,'Seismic Springs 2025'!$A:$I,9,0)</f>
        <v>#N/A</v>
      </c>
      <c r="U221" s="5" t="e">
        <f t="shared" si="4"/>
        <v>#N/A</v>
      </c>
    </row>
    <row r="222" spans="1:21" ht="12.75">
      <c r="A222" s="7">
        <v>93055615</v>
      </c>
      <c r="B222" s="7" t="s">
        <v>486</v>
      </c>
      <c r="C222" s="7">
        <v>55</v>
      </c>
      <c r="D222" s="7">
        <v>4</v>
      </c>
      <c r="E222" s="59"/>
      <c r="L222" s="21">
        <v>22315.01</v>
      </c>
      <c r="M222" s="21">
        <f t="shared" si="0"/>
        <v>11157.504999999999</v>
      </c>
      <c r="R222" s="5" t="e">
        <f>VLOOKUP(E222,'Inertia Bases 2025'!$A:$H,8,0)</f>
        <v>#N/A</v>
      </c>
      <c r="S222" s="5"/>
      <c r="T222" s="5" t="e">
        <f>VLOOKUP(G222,'Seismic Springs 2025'!$A:$I,9,0)</f>
        <v>#N/A</v>
      </c>
      <c r="U222" s="5" t="e">
        <f t="shared" si="4"/>
        <v>#N/A</v>
      </c>
    </row>
    <row r="223" spans="1:21" ht="12.75">
      <c r="A223" s="7">
        <v>93055616</v>
      </c>
      <c r="B223" s="7" t="s">
        <v>487</v>
      </c>
      <c r="C223" s="7">
        <v>45</v>
      </c>
      <c r="D223" s="7">
        <v>4</v>
      </c>
      <c r="E223" s="59"/>
      <c r="L223" s="21">
        <v>19897.7</v>
      </c>
      <c r="M223" s="21">
        <f t="shared" si="0"/>
        <v>9948.85</v>
      </c>
      <c r="R223" s="5" t="e">
        <f>VLOOKUP(E223,'Inertia Bases 2025'!$A:$H,8,0)</f>
        <v>#N/A</v>
      </c>
      <c r="S223" s="5"/>
      <c r="T223" s="5" t="e">
        <f>VLOOKUP(G223,'Seismic Springs 2025'!$A:$I,9,0)</f>
        <v>#N/A</v>
      </c>
      <c r="U223" s="5" t="e">
        <f t="shared" si="4"/>
        <v>#N/A</v>
      </c>
    </row>
    <row r="224" spans="1:21" ht="12.75">
      <c r="A224" s="7">
        <v>93055617</v>
      </c>
      <c r="B224" s="7" t="s">
        <v>488</v>
      </c>
      <c r="C224" s="7">
        <v>37</v>
      </c>
      <c r="D224" s="7">
        <v>4</v>
      </c>
      <c r="E224" s="59" t="s">
        <v>720</v>
      </c>
      <c r="F224" s="7" t="s">
        <v>756</v>
      </c>
      <c r="G224" s="1">
        <v>91338020</v>
      </c>
      <c r="H224" s="7" t="s">
        <v>737</v>
      </c>
      <c r="K224" s="7">
        <v>4</v>
      </c>
      <c r="L224" s="21">
        <v>18203.79</v>
      </c>
      <c r="M224" s="21">
        <f t="shared" si="0"/>
        <v>9101.8950000000004</v>
      </c>
      <c r="R224" s="5">
        <v>1550</v>
      </c>
      <c r="S224" s="5"/>
      <c r="T224" s="5">
        <f>VLOOKUP(G224,'Seismic Springs 2025'!$A:$I,9,0)</f>
        <v>170.3</v>
      </c>
      <c r="U224" s="5">
        <f t="shared" si="4"/>
        <v>681.2</v>
      </c>
    </row>
    <row r="225" spans="1:23" ht="12.75">
      <c r="A225" s="7">
        <v>93055618</v>
      </c>
      <c r="B225" s="7" t="s">
        <v>489</v>
      </c>
      <c r="C225" s="7">
        <v>30</v>
      </c>
      <c r="D225" s="7">
        <v>4</v>
      </c>
      <c r="E225" s="59"/>
      <c r="L225" s="21">
        <v>16291.97</v>
      </c>
      <c r="M225" s="21">
        <f t="shared" si="0"/>
        <v>8145.9849999999997</v>
      </c>
      <c r="R225" s="5" t="e">
        <f>VLOOKUP(E225,'Inertia Bases 2025'!$A:$H,8,0)</f>
        <v>#N/A</v>
      </c>
      <c r="S225" s="5"/>
      <c r="T225" s="5" t="e">
        <f>VLOOKUP(G225,'Seismic Springs 2025'!$A:$I,9,0)</f>
        <v>#N/A</v>
      </c>
      <c r="U225" s="5" t="e">
        <f t="shared" si="4"/>
        <v>#N/A</v>
      </c>
    </row>
    <row r="226" spans="1:23" ht="12.75">
      <c r="A226" s="7">
        <v>93055619</v>
      </c>
      <c r="B226" s="7" t="s">
        <v>490</v>
      </c>
      <c r="C226" s="7">
        <v>22</v>
      </c>
      <c r="D226" s="7">
        <v>4</v>
      </c>
      <c r="E226" s="59"/>
      <c r="L226" s="21">
        <v>14518.29</v>
      </c>
      <c r="M226" s="21">
        <f t="shared" si="0"/>
        <v>7259.1450000000004</v>
      </c>
      <c r="R226" s="5" t="e">
        <f>VLOOKUP(E226,'Inertia Bases 2025'!$A:$H,8,0)</f>
        <v>#N/A</v>
      </c>
      <c r="S226" s="5"/>
      <c r="T226" s="5" t="e">
        <f>VLOOKUP(G226,'Seismic Springs 2025'!$A:$I,9,0)</f>
        <v>#N/A</v>
      </c>
      <c r="U226" s="5" t="e">
        <f t="shared" si="4"/>
        <v>#N/A</v>
      </c>
    </row>
    <row r="227" spans="1:23" ht="12.75">
      <c r="A227" s="7">
        <v>93055621</v>
      </c>
      <c r="B227" s="7" t="s">
        <v>491</v>
      </c>
      <c r="C227" s="7">
        <v>18.5</v>
      </c>
      <c r="D227" s="7">
        <v>4</v>
      </c>
      <c r="E227" s="59"/>
      <c r="L227" s="21">
        <v>14241.15</v>
      </c>
      <c r="M227" s="21">
        <f t="shared" si="0"/>
        <v>7120.5749999999998</v>
      </c>
      <c r="R227" s="5" t="e">
        <f>VLOOKUP(E227,'Inertia Bases 2025'!$A:$H,8,0)</f>
        <v>#N/A</v>
      </c>
      <c r="S227" s="5"/>
      <c r="T227" s="5" t="e">
        <f>VLOOKUP(G227,'Seismic Springs 2025'!$A:$I,9,0)</f>
        <v>#N/A</v>
      </c>
      <c r="U227" s="5" t="e">
        <f t="shared" si="4"/>
        <v>#N/A</v>
      </c>
    </row>
    <row r="228" spans="1:23" ht="12.75">
      <c r="A228" s="7">
        <v>93055622</v>
      </c>
      <c r="B228" s="7" t="s">
        <v>486</v>
      </c>
      <c r="C228" s="7">
        <v>15</v>
      </c>
      <c r="D228" s="7">
        <v>6</v>
      </c>
      <c r="E228" s="59"/>
      <c r="L228" s="21">
        <v>14828.91</v>
      </c>
      <c r="M228" s="21">
        <f t="shared" si="0"/>
        <v>7414.4549999999999</v>
      </c>
      <c r="R228" s="5" t="e">
        <f>VLOOKUP(E228,'Inertia Bases 2025'!$A:$H,8,0)</f>
        <v>#N/A</v>
      </c>
      <c r="S228" s="5"/>
      <c r="T228" s="5" t="e">
        <f>VLOOKUP(G228,'Seismic Springs 2025'!$A:$I,9,0)</f>
        <v>#N/A</v>
      </c>
      <c r="U228" s="5" t="e">
        <f t="shared" si="4"/>
        <v>#N/A</v>
      </c>
    </row>
    <row r="229" spans="1:23" ht="12.75">
      <c r="A229" s="7">
        <v>93055623</v>
      </c>
      <c r="B229" s="7" t="s">
        <v>492</v>
      </c>
      <c r="C229" s="7">
        <v>11</v>
      </c>
      <c r="D229" s="7">
        <v>6</v>
      </c>
      <c r="E229" s="59"/>
      <c r="L229" s="21">
        <v>13776.38</v>
      </c>
      <c r="M229" s="21">
        <f t="shared" si="0"/>
        <v>6888.19</v>
      </c>
      <c r="R229" s="5" t="e">
        <f>VLOOKUP(E229,'Inertia Bases 2025'!$A:$H,8,0)</f>
        <v>#N/A</v>
      </c>
      <c r="S229" s="5"/>
      <c r="T229" s="5" t="e">
        <f>VLOOKUP(G229,'Seismic Springs 2025'!$A:$I,9,0)</f>
        <v>#N/A</v>
      </c>
      <c r="U229" s="5" t="e">
        <f t="shared" si="4"/>
        <v>#N/A</v>
      </c>
    </row>
    <row r="230" spans="1:23" ht="12.75">
      <c r="A230" s="7">
        <v>93055624</v>
      </c>
      <c r="B230" s="7" t="s">
        <v>493</v>
      </c>
      <c r="C230" s="7">
        <v>7.5</v>
      </c>
      <c r="D230" s="7">
        <v>6</v>
      </c>
      <c r="E230" s="59"/>
      <c r="L230" s="21">
        <v>12874.14</v>
      </c>
      <c r="M230" s="21">
        <f t="shared" si="0"/>
        <v>6437.07</v>
      </c>
      <c r="R230" s="5" t="e">
        <f>VLOOKUP(E230,'Inertia Bases 2025'!$A:$H,8,0)</f>
        <v>#N/A</v>
      </c>
      <c r="S230" s="5"/>
      <c r="T230" s="5" t="e">
        <f>VLOOKUP(G230,'Seismic Springs 2025'!$A:$I,9,0)</f>
        <v>#N/A</v>
      </c>
      <c r="U230" s="5" t="e">
        <f t="shared" si="4"/>
        <v>#N/A</v>
      </c>
    </row>
    <row r="231" spans="1:23" ht="12.75">
      <c r="A231" s="7">
        <v>93055625</v>
      </c>
      <c r="B231" s="7" t="s">
        <v>494</v>
      </c>
      <c r="C231" s="7">
        <v>5.5</v>
      </c>
      <c r="D231" s="7">
        <v>6</v>
      </c>
      <c r="E231" s="59"/>
      <c r="L231" s="21">
        <v>12338.9</v>
      </c>
      <c r="M231" s="21">
        <f t="shared" si="0"/>
        <v>6169.45</v>
      </c>
      <c r="R231" s="5" t="e">
        <f>VLOOKUP(E231,'Inertia Bases 2025'!$A:$H,8,0)</f>
        <v>#N/A</v>
      </c>
      <c r="S231" s="5"/>
      <c r="T231" s="5" t="e">
        <f>VLOOKUP(G231,'Seismic Springs 2025'!$A:$I,9,0)</f>
        <v>#N/A</v>
      </c>
      <c r="U231" s="5" t="e">
        <f t="shared" si="4"/>
        <v>#N/A</v>
      </c>
    </row>
    <row r="232" spans="1:23" ht="12.75">
      <c r="A232" s="7">
        <v>93055626</v>
      </c>
      <c r="B232" s="7" t="s">
        <v>495</v>
      </c>
      <c r="C232" s="7">
        <v>4</v>
      </c>
      <c r="D232" s="7">
        <v>6</v>
      </c>
      <c r="E232" s="59"/>
      <c r="L232" s="21">
        <v>11665.93</v>
      </c>
      <c r="M232" s="21">
        <f t="shared" si="0"/>
        <v>5832.9650000000001</v>
      </c>
      <c r="R232" s="5" t="e">
        <f>VLOOKUP(E232,'Inertia Bases 2025'!$A:$H,8,0)</f>
        <v>#N/A</v>
      </c>
      <c r="S232" s="5"/>
      <c r="T232" s="5" t="e">
        <f>VLOOKUP(G232,'Seismic Springs 2025'!$A:$I,9,0)</f>
        <v>#N/A</v>
      </c>
      <c r="U232" s="5" t="e">
        <f t="shared" si="4"/>
        <v>#N/A</v>
      </c>
    </row>
    <row r="233" spans="1:23" ht="12.75">
      <c r="A233" s="7">
        <v>93055627</v>
      </c>
      <c r="B233" s="7" t="s">
        <v>496</v>
      </c>
      <c r="C233" s="7">
        <v>132</v>
      </c>
      <c r="D233" s="7">
        <v>4</v>
      </c>
      <c r="E233" s="59"/>
      <c r="L233" s="21">
        <v>39194.69</v>
      </c>
      <c r="M233" s="21">
        <f t="shared" si="0"/>
        <v>19597.345000000001</v>
      </c>
      <c r="R233" s="5" t="e">
        <f>VLOOKUP(E233,'Inertia Bases 2025'!$A:$H,8,0)</f>
        <v>#N/A</v>
      </c>
      <c r="S233" s="5"/>
      <c r="T233" s="5" t="e">
        <f>VLOOKUP(G233,'Seismic Springs 2025'!$A:$I,9,0)</f>
        <v>#N/A</v>
      </c>
      <c r="U233" s="5" t="e">
        <f t="shared" si="4"/>
        <v>#N/A</v>
      </c>
    </row>
    <row r="234" spans="1:23" ht="12.75">
      <c r="A234" s="7">
        <v>93055629</v>
      </c>
      <c r="B234" s="7" t="s">
        <v>497</v>
      </c>
      <c r="C234" s="7">
        <v>110</v>
      </c>
      <c r="D234" s="7">
        <v>4</v>
      </c>
      <c r="E234" s="59">
        <v>93452601</v>
      </c>
      <c r="F234" s="7" t="s">
        <v>757</v>
      </c>
      <c r="H234" s="7" t="s">
        <v>758</v>
      </c>
      <c r="K234" s="7">
        <v>6</v>
      </c>
      <c r="L234" s="21">
        <v>36865.94</v>
      </c>
      <c r="M234" s="21">
        <f t="shared" si="0"/>
        <v>18432.97</v>
      </c>
      <c r="R234" s="5">
        <v>2687.1</v>
      </c>
      <c r="S234" s="5"/>
      <c r="T234" s="5">
        <v>653.25</v>
      </c>
      <c r="U234" s="5">
        <f t="shared" si="4"/>
        <v>3919.5</v>
      </c>
      <c r="V234" s="7">
        <v>652.25</v>
      </c>
      <c r="W234" s="5">
        <f>V234*K234</f>
        <v>3913.5</v>
      </c>
    </row>
    <row r="235" spans="1:23" ht="12.75">
      <c r="A235" s="7">
        <v>93055630</v>
      </c>
      <c r="B235" s="7" t="s">
        <v>498</v>
      </c>
      <c r="C235" s="7">
        <v>90</v>
      </c>
      <c r="D235" s="7">
        <v>4</v>
      </c>
      <c r="E235" s="59" t="s">
        <v>759</v>
      </c>
      <c r="F235" s="7" t="s">
        <v>760</v>
      </c>
      <c r="G235" s="7">
        <v>91338021</v>
      </c>
      <c r="H235" s="7" t="s">
        <v>718</v>
      </c>
      <c r="K235" s="7">
        <v>6</v>
      </c>
      <c r="L235" s="21">
        <v>26474.23</v>
      </c>
      <c r="M235" s="21">
        <f t="shared" si="0"/>
        <v>13237.115</v>
      </c>
      <c r="R235" s="5">
        <f>VLOOKUP(E235,'Inertia Bases 2025'!$A:$H,8,0)</f>
        <v>1550</v>
      </c>
      <c r="S235" s="5"/>
      <c r="T235" s="5">
        <f>VLOOKUP(G235,'Seismic Springs 2025'!$A:$I,9,0)</f>
        <v>170.3</v>
      </c>
      <c r="U235" s="5">
        <f t="shared" si="4"/>
        <v>1021.8000000000001</v>
      </c>
    </row>
    <row r="236" spans="1:23" ht="12.75">
      <c r="A236" s="7">
        <v>93055631</v>
      </c>
      <c r="B236" s="7" t="s">
        <v>499</v>
      </c>
      <c r="C236" s="7">
        <v>75</v>
      </c>
      <c r="D236" s="7">
        <v>4</v>
      </c>
      <c r="E236" s="59"/>
      <c r="L236" s="21">
        <v>25132.51</v>
      </c>
      <c r="M236" s="21">
        <f t="shared" si="0"/>
        <v>12566.254999999999</v>
      </c>
      <c r="R236" s="5" t="e">
        <f>VLOOKUP(E236,'Inertia Bases 2025'!$A:$H,8,0)</f>
        <v>#N/A</v>
      </c>
      <c r="S236" s="5"/>
      <c r="T236" s="5" t="e">
        <f>VLOOKUP(G236,'Seismic Springs 2025'!$A:$I,9,0)</f>
        <v>#N/A</v>
      </c>
      <c r="U236" s="5" t="e">
        <f t="shared" si="4"/>
        <v>#N/A</v>
      </c>
    </row>
    <row r="237" spans="1:23" ht="12.75">
      <c r="A237" s="7">
        <v>93055632</v>
      </c>
      <c r="B237" s="7" t="s">
        <v>500</v>
      </c>
      <c r="C237" s="7">
        <v>55</v>
      </c>
      <c r="D237" s="7">
        <v>4</v>
      </c>
      <c r="E237" s="59"/>
      <c r="L237" s="21">
        <v>23415.21</v>
      </c>
      <c r="M237" s="21">
        <f t="shared" si="0"/>
        <v>11707.605</v>
      </c>
      <c r="R237" s="5" t="e">
        <f>VLOOKUP(E237,'Inertia Bases 2025'!$A:$H,8,0)</f>
        <v>#N/A</v>
      </c>
      <c r="S237" s="5"/>
      <c r="T237" s="5" t="e">
        <f>VLOOKUP(G237,'Seismic Springs 2025'!$A:$I,9,0)</f>
        <v>#N/A</v>
      </c>
      <c r="U237" s="5" t="e">
        <f t="shared" si="4"/>
        <v>#N/A</v>
      </c>
    </row>
    <row r="238" spans="1:23" ht="12.75">
      <c r="A238" s="7">
        <v>93055633</v>
      </c>
      <c r="B238" s="7" t="s">
        <v>496</v>
      </c>
      <c r="C238" s="7">
        <v>37</v>
      </c>
      <c r="D238" s="7">
        <v>6</v>
      </c>
      <c r="E238" s="59"/>
      <c r="L238" s="21">
        <v>21691.25</v>
      </c>
      <c r="M238" s="21">
        <f t="shared" si="0"/>
        <v>10845.625</v>
      </c>
      <c r="R238" s="5" t="e">
        <f>VLOOKUP(E238,'Inertia Bases 2025'!$A:$H,8,0)</f>
        <v>#N/A</v>
      </c>
      <c r="S238" s="5"/>
      <c r="T238" s="5" t="e">
        <f>VLOOKUP(G238,'Seismic Springs 2025'!$A:$I,9,0)</f>
        <v>#N/A</v>
      </c>
      <c r="U238" s="5" t="e">
        <f t="shared" si="4"/>
        <v>#N/A</v>
      </c>
    </row>
    <row r="239" spans="1:23" ht="12.75">
      <c r="A239" s="7">
        <v>93055635</v>
      </c>
      <c r="B239" s="7" t="s">
        <v>501</v>
      </c>
      <c r="C239" s="7">
        <v>30</v>
      </c>
      <c r="D239" s="7">
        <v>6</v>
      </c>
      <c r="E239" s="59"/>
      <c r="L239" s="21">
        <v>19738.009999999998</v>
      </c>
      <c r="M239" s="21">
        <f t="shared" si="0"/>
        <v>9869.0049999999992</v>
      </c>
      <c r="R239" s="5" t="e">
        <f>VLOOKUP(E239,'Inertia Bases 2025'!$A:$H,8,0)</f>
        <v>#N/A</v>
      </c>
      <c r="S239" s="5"/>
      <c r="T239" s="5" t="e">
        <f>VLOOKUP(G239,'Seismic Springs 2025'!$A:$I,9,0)</f>
        <v>#N/A</v>
      </c>
      <c r="U239" s="5" t="e">
        <f t="shared" si="4"/>
        <v>#N/A</v>
      </c>
    </row>
    <row r="240" spans="1:23" ht="12.75">
      <c r="A240" s="7">
        <v>93055636</v>
      </c>
      <c r="B240" s="7" t="s">
        <v>502</v>
      </c>
      <c r="C240" s="7">
        <v>22</v>
      </c>
      <c r="D240" s="7">
        <v>6</v>
      </c>
      <c r="E240" s="59"/>
      <c r="L240" s="21">
        <v>17189.810000000001</v>
      </c>
      <c r="M240" s="21">
        <f t="shared" si="0"/>
        <v>8594.9050000000007</v>
      </c>
      <c r="R240" s="5" t="e">
        <f>VLOOKUP(E240,'Inertia Bases 2025'!$A:$H,8,0)</f>
        <v>#N/A</v>
      </c>
      <c r="S240" s="5"/>
      <c r="T240" s="5" t="e">
        <f>VLOOKUP(G240,'Seismic Springs 2025'!$A:$I,9,0)</f>
        <v>#N/A</v>
      </c>
      <c r="U240" s="5" t="e">
        <f t="shared" si="4"/>
        <v>#N/A</v>
      </c>
    </row>
    <row r="241" spans="1:21" ht="12.75">
      <c r="A241" s="7">
        <v>93055637</v>
      </c>
      <c r="B241" s="7" t="s">
        <v>503</v>
      </c>
      <c r="C241" s="7">
        <v>18.5</v>
      </c>
      <c r="D241" s="7">
        <v>6</v>
      </c>
      <c r="E241" s="59"/>
      <c r="L241" s="21">
        <v>16911.36</v>
      </c>
      <c r="M241" s="21">
        <f t="shared" si="0"/>
        <v>8455.68</v>
      </c>
      <c r="R241" s="5" t="e">
        <f>VLOOKUP(E241,'Inertia Bases 2025'!$A:$H,8,0)</f>
        <v>#N/A</v>
      </c>
      <c r="S241" s="5"/>
      <c r="T241" s="5" t="e">
        <f>VLOOKUP(G241,'Seismic Springs 2025'!$A:$I,9,0)</f>
        <v>#N/A</v>
      </c>
      <c r="U241" s="5" t="e">
        <f t="shared" si="4"/>
        <v>#N/A</v>
      </c>
    </row>
    <row r="242" spans="1:21" ht="12.75">
      <c r="A242" s="7">
        <v>93055638</v>
      </c>
      <c r="B242" s="7" t="s">
        <v>504</v>
      </c>
      <c r="C242" s="7">
        <v>15</v>
      </c>
      <c r="D242" s="7">
        <v>6</v>
      </c>
      <c r="E242" s="59"/>
      <c r="L242" s="21">
        <v>15758.31</v>
      </c>
      <c r="M242" s="21">
        <f t="shared" si="0"/>
        <v>7879.1549999999997</v>
      </c>
      <c r="R242" s="5" t="e">
        <f>VLOOKUP(E242,'Inertia Bases 2025'!$A:$H,8,0)</f>
        <v>#N/A</v>
      </c>
      <c r="S242" s="5"/>
      <c r="T242" s="5" t="e">
        <f>VLOOKUP(G242,'Seismic Springs 2025'!$A:$I,9,0)</f>
        <v>#N/A</v>
      </c>
      <c r="U242" s="5" t="e">
        <f t="shared" si="4"/>
        <v>#N/A</v>
      </c>
    </row>
    <row r="243" spans="1:21" ht="12.75">
      <c r="A243" s="7">
        <v>93055639</v>
      </c>
      <c r="B243" s="7" t="s">
        <v>505</v>
      </c>
      <c r="C243" s="7">
        <v>160</v>
      </c>
      <c r="D243" s="7">
        <v>4</v>
      </c>
      <c r="E243" s="59"/>
      <c r="L243" s="21">
        <v>50541.440000000002</v>
      </c>
      <c r="M243" s="21">
        <f t="shared" si="0"/>
        <v>25270.720000000001</v>
      </c>
      <c r="R243" s="5" t="e">
        <f>VLOOKUP(E243,'Inertia Bases 2025'!$A:$H,8,0)</f>
        <v>#N/A</v>
      </c>
      <c r="S243" s="5"/>
      <c r="T243" s="5" t="e">
        <f>VLOOKUP(G243,'Seismic Springs 2025'!$A:$I,9,0)</f>
        <v>#N/A</v>
      </c>
      <c r="U243" s="5" t="e">
        <f t="shared" si="4"/>
        <v>#N/A</v>
      </c>
    </row>
    <row r="244" spans="1:21" ht="12.75">
      <c r="A244" s="7">
        <v>93055640</v>
      </c>
      <c r="B244" s="7" t="s">
        <v>506</v>
      </c>
      <c r="C244" s="7">
        <v>132</v>
      </c>
      <c r="D244" s="7">
        <v>4</v>
      </c>
      <c r="E244" s="59"/>
      <c r="L244" s="21">
        <v>44794.33</v>
      </c>
      <c r="M244" s="21">
        <f t="shared" si="0"/>
        <v>22397.165000000001</v>
      </c>
      <c r="R244" s="5" t="e">
        <f>VLOOKUP(E244,'Inertia Bases 2025'!$A:$H,8,0)</f>
        <v>#N/A</v>
      </c>
      <c r="S244" s="5"/>
      <c r="T244" s="5" t="e">
        <f>VLOOKUP(G244,'Seismic Springs 2025'!$A:$I,9,0)</f>
        <v>#N/A</v>
      </c>
      <c r="U244" s="5" t="e">
        <f t="shared" si="4"/>
        <v>#N/A</v>
      </c>
    </row>
    <row r="245" spans="1:21" ht="12.75">
      <c r="A245" s="7">
        <v>93055641</v>
      </c>
      <c r="B245" s="7" t="s">
        <v>507</v>
      </c>
      <c r="C245" s="7">
        <v>110</v>
      </c>
      <c r="D245" s="7">
        <v>4</v>
      </c>
      <c r="E245" s="59"/>
      <c r="L245" s="21">
        <v>42225.35</v>
      </c>
      <c r="M245" s="21">
        <f t="shared" si="0"/>
        <v>21112.674999999999</v>
      </c>
      <c r="R245" s="5" t="e">
        <f>VLOOKUP(E245,'Inertia Bases 2025'!$A:$H,8,0)</f>
        <v>#N/A</v>
      </c>
      <c r="S245" s="5"/>
      <c r="T245" s="5" t="e">
        <f>VLOOKUP(G245,'Seismic Springs 2025'!$A:$I,9,0)</f>
        <v>#N/A</v>
      </c>
      <c r="U245" s="5" t="e">
        <f t="shared" si="4"/>
        <v>#N/A</v>
      </c>
    </row>
    <row r="246" spans="1:21" ht="12.75">
      <c r="A246" s="7">
        <v>93055642</v>
      </c>
      <c r="B246" s="7" t="s">
        <v>508</v>
      </c>
      <c r="C246" s="7">
        <v>90</v>
      </c>
      <c r="D246" s="7">
        <v>4</v>
      </c>
      <c r="E246" s="59" t="s">
        <v>720</v>
      </c>
      <c r="F246" s="7" t="s">
        <v>761</v>
      </c>
      <c r="G246" s="22"/>
      <c r="H246" s="22"/>
      <c r="L246" s="21">
        <v>34994.050000000003</v>
      </c>
      <c r="M246" s="21">
        <f t="shared" si="0"/>
        <v>17497.025000000001</v>
      </c>
      <c r="R246" s="5">
        <v>2000</v>
      </c>
      <c r="S246" s="5"/>
      <c r="T246" s="5" t="e">
        <f>VLOOKUP(G246,'Seismic Springs 2025'!$A:$I,9,0)</f>
        <v>#N/A</v>
      </c>
      <c r="U246" s="5" t="e">
        <f t="shared" si="4"/>
        <v>#N/A</v>
      </c>
    </row>
    <row r="247" spans="1:21" ht="12.75">
      <c r="A247" s="7">
        <v>93055643</v>
      </c>
      <c r="B247" s="7" t="s">
        <v>509</v>
      </c>
      <c r="C247" s="7">
        <v>75</v>
      </c>
      <c r="D247" s="7">
        <v>4</v>
      </c>
      <c r="E247" s="59" t="s">
        <v>762</v>
      </c>
      <c r="F247" s="7" t="s">
        <v>763</v>
      </c>
      <c r="G247" s="1" t="s">
        <v>764</v>
      </c>
      <c r="H247" s="1" t="s">
        <v>764</v>
      </c>
      <c r="K247" s="7">
        <v>6</v>
      </c>
      <c r="L247" s="21">
        <v>33533.47</v>
      </c>
      <c r="M247" s="21">
        <f t="shared" si="0"/>
        <v>16766.735000000001</v>
      </c>
      <c r="R247" s="5">
        <f>VLOOKUP(E247,'Inertia Bases 2025'!$A:$H,8,0)</f>
        <v>1550</v>
      </c>
      <c r="S247" s="5"/>
      <c r="T247" s="5">
        <f>VLOOKUP(G247,'Seismic Springs 2025'!$A:$I,9,0)</f>
        <v>800</v>
      </c>
      <c r="U247" s="5">
        <f t="shared" si="4"/>
        <v>4800</v>
      </c>
    </row>
    <row r="248" spans="1:21" ht="12.75">
      <c r="A248" s="7">
        <v>93055644</v>
      </c>
      <c r="B248" s="7" t="s">
        <v>510</v>
      </c>
      <c r="C248" s="7">
        <v>55</v>
      </c>
      <c r="D248" s="7">
        <v>4</v>
      </c>
      <c r="E248" s="59"/>
      <c r="L248" s="21">
        <v>30716.92</v>
      </c>
      <c r="M248" s="21">
        <f t="shared" si="0"/>
        <v>15358.46</v>
      </c>
      <c r="R248" s="5" t="e">
        <f>VLOOKUP(E248,'Inertia Bases 2025'!$A:$H,8,0)</f>
        <v>#N/A</v>
      </c>
      <c r="S248" s="5"/>
      <c r="T248" s="5" t="e">
        <f>VLOOKUP(G248,'Seismic Springs 2025'!$A:$I,9,0)</f>
        <v>#N/A</v>
      </c>
      <c r="U248" s="5" t="e">
        <f t="shared" si="4"/>
        <v>#N/A</v>
      </c>
    </row>
    <row r="249" spans="1:21" ht="12.75">
      <c r="A249" s="7">
        <v>93055645</v>
      </c>
      <c r="B249" s="7" t="s">
        <v>505</v>
      </c>
      <c r="C249" s="7">
        <v>45</v>
      </c>
      <c r="D249" s="7">
        <v>6</v>
      </c>
      <c r="E249" s="59"/>
      <c r="L249" s="21">
        <v>33334.54</v>
      </c>
      <c r="M249" s="21">
        <f t="shared" si="0"/>
        <v>16667.27</v>
      </c>
      <c r="R249" s="5" t="e">
        <f>VLOOKUP(E249,'Inertia Bases 2025'!$A:$H,8,0)</f>
        <v>#N/A</v>
      </c>
      <c r="S249" s="5"/>
      <c r="T249" s="5" t="e">
        <f>VLOOKUP(G249,'Seismic Springs 2025'!$A:$I,9,0)</f>
        <v>#N/A</v>
      </c>
      <c r="U249" s="5" t="e">
        <f t="shared" si="4"/>
        <v>#N/A</v>
      </c>
    </row>
    <row r="250" spans="1:21" ht="12.75">
      <c r="A250" s="7">
        <v>93055646</v>
      </c>
      <c r="B250" s="7" t="s">
        <v>511</v>
      </c>
      <c r="C250" s="7">
        <v>37</v>
      </c>
      <c r="D250" s="7">
        <v>6</v>
      </c>
      <c r="E250" s="59"/>
      <c r="L250" s="21">
        <v>30793.599999999999</v>
      </c>
      <c r="M250" s="21">
        <f t="shared" si="0"/>
        <v>15396.8</v>
      </c>
      <c r="R250" s="5" t="e">
        <f>VLOOKUP(E250,'Inertia Bases 2025'!$A:$H,8,0)</f>
        <v>#N/A</v>
      </c>
      <c r="S250" s="5"/>
      <c r="T250" s="5" t="e">
        <f>VLOOKUP(G250,'Seismic Springs 2025'!$A:$I,9,0)</f>
        <v>#N/A</v>
      </c>
      <c r="U250" s="5" t="e">
        <f t="shared" si="4"/>
        <v>#N/A</v>
      </c>
    </row>
    <row r="251" spans="1:21" ht="12.75">
      <c r="A251" s="7">
        <v>93055647</v>
      </c>
      <c r="B251" s="7" t="s">
        <v>512</v>
      </c>
      <c r="C251" s="7">
        <v>30</v>
      </c>
      <c r="D251" s="7">
        <v>6</v>
      </c>
      <c r="E251" s="59"/>
      <c r="L251" s="21">
        <v>28792.63</v>
      </c>
      <c r="M251" s="21">
        <f t="shared" si="0"/>
        <v>14396.315000000001</v>
      </c>
      <c r="R251" s="5" t="e">
        <f>VLOOKUP(E251,'Inertia Bases 2025'!$A:$H,8,0)</f>
        <v>#N/A</v>
      </c>
      <c r="S251" s="5"/>
      <c r="T251" s="5" t="e">
        <f>VLOOKUP(G251,'Seismic Springs 2025'!$A:$I,9,0)</f>
        <v>#N/A</v>
      </c>
      <c r="U251" s="5" t="e">
        <f t="shared" si="4"/>
        <v>#N/A</v>
      </c>
    </row>
    <row r="252" spans="1:21" ht="12.75">
      <c r="A252" s="7">
        <v>93055648</v>
      </c>
      <c r="B252" s="7" t="s">
        <v>513</v>
      </c>
      <c r="C252" s="7">
        <v>22</v>
      </c>
      <c r="D252" s="7">
        <v>6</v>
      </c>
      <c r="E252" s="59"/>
      <c r="L252" s="21">
        <v>26263.02</v>
      </c>
      <c r="M252" s="21">
        <f t="shared" si="0"/>
        <v>13131.51</v>
      </c>
      <c r="R252" s="5" t="e">
        <f>VLOOKUP(E252,'Inertia Bases 2025'!$A:$H,8,0)</f>
        <v>#N/A</v>
      </c>
      <c r="S252" s="5"/>
      <c r="T252" s="5" t="e">
        <f>VLOOKUP(G252,'Seismic Springs 2025'!$A:$I,9,0)</f>
        <v>#N/A</v>
      </c>
      <c r="U252" s="5" t="e">
        <f t="shared" si="4"/>
        <v>#N/A</v>
      </c>
    </row>
    <row r="253" spans="1:21" ht="12.75">
      <c r="A253" s="7">
        <v>93055649</v>
      </c>
      <c r="B253" s="7" t="s">
        <v>514</v>
      </c>
      <c r="C253" s="7">
        <v>18.5</v>
      </c>
      <c r="D253" s="7">
        <v>6</v>
      </c>
      <c r="E253" s="59"/>
      <c r="L253" s="21">
        <v>25501.74</v>
      </c>
      <c r="M253" s="21">
        <f t="shared" si="0"/>
        <v>12750.87</v>
      </c>
      <c r="R253" s="5" t="e">
        <f>VLOOKUP(E253,'Inertia Bases 2025'!$A:$H,8,0)</f>
        <v>#N/A</v>
      </c>
      <c r="S253" s="5"/>
      <c r="T253" s="5" t="e">
        <f>VLOOKUP(G253,'Seismic Springs 2025'!$A:$I,9,0)</f>
        <v>#N/A</v>
      </c>
      <c r="U253" s="5" t="e">
        <f t="shared" si="4"/>
        <v>#N/A</v>
      </c>
    </row>
    <row r="254" spans="1:21" ht="12.75">
      <c r="A254" s="7">
        <v>93055650</v>
      </c>
      <c r="B254" s="7" t="s">
        <v>515</v>
      </c>
      <c r="C254" s="7">
        <v>5.5</v>
      </c>
      <c r="D254" s="7">
        <v>2</v>
      </c>
      <c r="E254" s="59">
        <v>92513065</v>
      </c>
      <c r="F254" s="7" t="s">
        <v>742</v>
      </c>
      <c r="G254" s="7">
        <v>92932673</v>
      </c>
      <c r="H254" s="7" t="s">
        <v>741</v>
      </c>
      <c r="K254" s="7">
        <v>4</v>
      </c>
      <c r="L254" s="21">
        <v>4836.6000000000004</v>
      </c>
      <c r="M254" s="21">
        <f t="shared" si="0"/>
        <v>2418.3000000000002</v>
      </c>
      <c r="O254" s="21">
        <f>2480.37-M254</f>
        <v>62.069999999999709</v>
      </c>
      <c r="R254" s="5">
        <f>VLOOKUP(E254,'Inertia Bases 2025'!$A:$H,8,0)</f>
        <v>610.6</v>
      </c>
      <c r="S254" s="5"/>
      <c r="T254" s="5">
        <f>VLOOKUP(G254,'Seismic Springs 2025'!$A:$I,9,0)</f>
        <v>66.3</v>
      </c>
      <c r="U254" s="5">
        <f t="shared" si="4"/>
        <v>265.2</v>
      </c>
    </row>
    <row r="255" spans="1:21" ht="12.75">
      <c r="A255" s="7">
        <v>93055651</v>
      </c>
      <c r="B255" s="7" t="s">
        <v>516</v>
      </c>
      <c r="C255" s="7">
        <v>4</v>
      </c>
      <c r="D255" s="7">
        <v>2</v>
      </c>
      <c r="E255" s="59"/>
      <c r="L255" s="21">
        <v>4462.5600000000004</v>
      </c>
      <c r="M255" s="21">
        <f t="shared" si="0"/>
        <v>2231.2800000000002</v>
      </c>
      <c r="R255" s="5" t="e">
        <f>VLOOKUP(E255,'Inertia Bases 2025'!$A:$H,8,0)</f>
        <v>#N/A</v>
      </c>
      <c r="S255" s="5"/>
      <c r="T255" s="5" t="e">
        <f>VLOOKUP(G255,'Seismic Springs 2025'!$A:$I,9,0)</f>
        <v>#N/A</v>
      </c>
      <c r="U255" s="5" t="e">
        <f t="shared" si="4"/>
        <v>#N/A</v>
      </c>
    </row>
    <row r="256" spans="1:21" ht="12.75">
      <c r="A256" s="7">
        <v>93055652</v>
      </c>
      <c r="B256" s="7" t="s">
        <v>517</v>
      </c>
      <c r="C256" s="7">
        <v>3</v>
      </c>
      <c r="D256" s="7">
        <v>2</v>
      </c>
      <c r="E256" s="59">
        <v>92513065</v>
      </c>
      <c r="F256" s="7" t="s">
        <v>742</v>
      </c>
      <c r="G256" s="7">
        <v>92932673</v>
      </c>
      <c r="H256" s="7" t="s">
        <v>741</v>
      </c>
      <c r="K256" s="7">
        <v>4</v>
      </c>
      <c r="L256" s="21">
        <v>4203.0600000000004</v>
      </c>
      <c r="M256" s="21">
        <f t="shared" si="0"/>
        <v>2101.5300000000002</v>
      </c>
      <c r="R256" s="5">
        <f>VLOOKUP(E256,'Inertia Bases 2025'!$A:$H,8,0)</f>
        <v>610.6</v>
      </c>
      <c r="S256" s="5"/>
      <c r="T256" s="5">
        <f>VLOOKUP(G256,'Seismic Springs 2025'!$A:$I,9,0)</f>
        <v>66.3</v>
      </c>
      <c r="U256" s="5">
        <f t="shared" si="4"/>
        <v>265.2</v>
      </c>
    </row>
    <row r="257" spans="1:21" ht="12.75">
      <c r="A257" s="7">
        <v>93055653</v>
      </c>
      <c r="B257" s="7" t="s">
        <v>518</v>
      </c>
      <c r="C257" s="7">
        <v>2.2000000000000002</v>
      </c>
      <c r="D257" s="7">
        <v>2</v>
      </c>
      <c r="E257" s="59"/>
      <c r="L257" s="21">
        <v>3914.03</v>
      </c>
      <c r="M257" s="21">
        <f t="shared" ref="M257:M454" si="5">L257/2</f>
        <v>1957.0150000000001</v>
      </c>
      <c r="R257" s="5" t="e">
        <f>VLOOKUP(E257,'Inertia Bases 2025'!$A:$H,8,0)</f>
        <v>#N/A</v>
      </c>
      <c r="S257" s="5"/>
      <c r="T257" s="5" t="e">
        <f>VLOOKUP(G257,'Seismic Springs 2025'!$A:$I,9,0)</f>
        <v>#N/A</v>
      </c>
      <c r="U257" s="5" t="e">
        <f t="shared" si="4"/>
        <v>#N/A</v>
      </c>
    </row>
    <row r="258" spans="1:21" ht="12.75">
      <c r="A258" s="7">
        <v>93055654</v>
      </c>
      <c r="B258" s="7" t="s">
        <v>519</v>
      </c>
      <c r="C258" s="7">
        <v>1.5</v>
      </c>
      <c r="D258" s="7">
        <v>2</v>
      </c>
      <c r="E258" s="59"/>
      <c r="L258" s="21">
        <v>3805.86</v>
      </c>
      <c r="M258" s="21">
        <f t="shared" si="5"/>
        <v>1902.93</v>
      </c>
      <c r="R258" s="5" t="e">
        <f>VLOOKUP(E258,'Inertia Bases 2025'!$A:$H,8,0)</f>
        <v>#N/A</v>
      </c>
      <c r="S258" s="5"/>
      <c r="T258" s="5" t="e">
        <f>VLOOKUP(G258,'Seismic Springs 2025'!$A:$I,9,0)</f>
        <v>#N/A</v>
      </c>
      <c r="U258" s="5" t="e">
        <f t="shared" si="4"/>
        <v>#N/A</v>
      </c>
    </row>
    <row r="259" spans="1:21" ht="12.75">
      <c r="A259" s="7">
        <v>93055655</v>
      </c>
      <c r="B259" s="7" t="s">
        <v>515</v>
      </c>
      <c r="C259" s="7">
        <v>0.75</v>
      </c>
      <c r="D259" s="7">
        <v>4</v>
      </c>
      <c r="E259" s="59"/>
      <c r="L259" s="21">
        <v>3639.05</v>
      </c>
      <c r="M259" s="21">
        <f t="shared" si="5"/>
        <v>1819.5250000000001</v>
      </c>
      <c r="R259" s="5" t="e">
        <f>VLOOKUP(E259,'Inertia Bases 2025'!$A:$H,8,0)</f>
        <v>#N/A</v>
      </c>
      <c r="S259" s="5"/>
      <c r="T259" s="5" t="e">
        <f>VLOOKUP(G259,'Seismic Springs 2025'!$A:$I,9,0)</f>
        <v>#N/A</v>
      </c>
      <c r="U259" s="5" t="e">
        <f t="shared" si="4"/>
        <v>#N/A</v>
      </c>
    </row>
    <row r="260" spans="1:21" ht="12.75">
      <c r="A260" s="7">
        <v>93055656</v>
      </c>
      <c r="B260" s="7" t="s">
        <v>520</v>
      </c>
      <c r="C260" s="7">
        <v>0.55000000000000004</v>
      </c>
      <c r="D260" s="7">
        <v>4</v>
      </c>
      <c r="E260" s="59"/>
      <c r="L260" s="21">
        <v>3577.23</v>
      </c>
      <c r="M260" s="21">
        <f t="shared" si="5"/>
        <v>1788.615</v>
      </c>
      <c r="R260" s="5" t="e">
        <f>VLOOKUP(E260,'Inertia Bases 2025'!$A:$H,8,0)</f>
        <v>#N/A</v>
      </c>
      <c r="S260" s="5"/>
      <c r="T260" s="5" t="e">
        <f>VLOOKUP(G260,'Seismic Springs 2025'!$A:$I,9,0)</f>
        <v>#N/A</v>
      </c>
      <c r="U260" s="5" t="e">
        <f t="shared" si="4"/>
        <v>#N/A</v>
      </c>
    </row>
    <row r="261" spans="1:21" ht="12.75">
      <c r="A261" s="7">
        <v>93055657</v>
      </c>
      <c r="B261" s="7" t="s">
        <v>521</v>
      </c>
      <c r="C261" s="7">
        <v>0.37</v>
      </c>
      <c r="D261" s="7">
        <v>4</v>
      </c>
      <c r="E261" s="59"/>
      <c r="L261" s="21">
        <v>3343.64</v>
      </c>
      <c r="M261" s="21">
        <f t="shared" si="5"/>
        <v>1671.82</v>
      </c>
      <c r="R261" s="5" t="e">
        <f>VLOOKUP(E261,'Inertia Bases 2025'!$A:$H,8,0)</f>
        <v>#N/A</v>
      </c>
      <c r="S261" s="5"/>
      <c r="T261" s="5" t="e">
        <f>VLOOKUP(G261,'Seismic Springs 2025'!$A:$I,9,0)</f>
        <v>#N/A</v>
      </c>
      <c r="U261" s="5" t="e">
        <f t="shared" si="4"/>
        <v>#N/A</v>
      </c>
    </row>
    <row r="262" spans="1:21" ht="12.75">
      <c r="A262" s="7">
        <v>93055658</v>
      </c>
      <c r="B262" s="7" t="s">
        <v>522</v>
      </c>
      <c r="C262" s="7">
        <v>0.25</v>
      </c>
      <c r="D262" s="7">
        <v>4</v>
      </c>
      <c r="E262" s="59"/>
      <c r="L262" s="21">
        <v>3321.36</v>
      </c>
      <c r="M262" s="21">
        <f t="shared" si="5"/>
        <v>1660.68</v>
      </c>
      <c r="R262" s="5" t="e">
        <f>VLOOKUP(E262,'Inertia Bases 2025'!$A:$H,8,0)</f>
        <v>#N/A</v>
      </c>
      <c r="S262" s="5"/>
      <c r="T262" s="5" t="e">
        <f>VLOOKUP(G262,'Seismic Springs 2025'!$A:$I,9,0)</f>
        <v>#N/A</v>
      </c>
      <c r="U262" s="5" t="e">
        <f t="shared" si="4"/>
        <v>#N/A</v>
      </c>
    </row>
    <row r="263" spans="1:21" ht="12.75">
      <c r="A263" s="7">
        <v>93055659</v>
      </c>
      <c r="B263" s="7" t="s">
        <v>523</v>
      </c>
      <c r="C263" s="7">
        <v>75</v>
      </c>
      <c r="D263" s="7">
        <v>4</v>
      </c>
      <c r="E263" s="59" t="s">
        <v>738</v>
      </c>
      <c r="F263" s="7" t="s">
        <v>739</v>
      </c>
      <c r="G263" s="7">
        <v>91338020</v>
      </c>
      <c r="H263" s="7" t="s">
        <v>737</v>
      </c>
      <c r="K263" s="7">
        <v>6</v>
      </c>
      <c r="L263" s="21">
        <v>22597.64</v>
      </c>
      <c r="M263" s="21">
        <f t="shared" si="5"/>
        <v>11298.82</v>
      </c>
      <c r="R263" s="5">
        <f>VLOOKUP(E263,'Inertia Bases 2025'!$A:$H,8,0)</f>
        <v>1550</v>
      </c>
      <c r="S263" s="5"/>
      <c r="T263" s="5">
        <f>VLOOKUP(G263,'Seismic Springs 2025'!$A:$I,9,0)</f>
        <v>170.3</v>
      </c>
      <c r="U263" s="5">
        <f t="shared" si="4"/>
        <v>1021.8000000000001</v>
      </c>
    </row>
    <row r="264" spans="1:21" ht="12.75">
      <c r="A264" s="7">
        <v>93055660</v>
      </c>
      <c r="B264" s="7" t="s">
        <v>524</v>
      </c>
      <c r="C264" s="7">
        <v>55</v>
      </c>
      <c r="D264" s="7">
        <v>4</v>
      </c>
      <c r="E264" s="59"/>
      <c r="L264" s="21">
        <v>19573.54</v>
      </c>
      <c r="M264" s="21">
        <f t="shared" si="5"/>
        <v>9786.77</v>
      </c>
      <c r="R264" s="5" t="e">
        <f>VLOOKUP(E264,'Inertia Bases 2025'!$A:$H,8,0)</f>
        <v>#N/A</v>
      </c>
      <c r="S264" s="5"/>
      <c r="T264" s="5" t="e">
        <f>VLOOKUP(G264,'Seismic Springs 2025'!$A:$I,9,0)</f>
        <v>#N/A</v>
      </c>
      <c r="U264" s="5" t="e">
        <f t="shared" si="4"/>
        <v>#N/A</v>
      </c>
    </row>
    <row r="265" spans="1:21" ht="12.75">
      <c r="A265" s="7">
        <v>93055661</v>
      </c>
      <c r="B265" s="7" t="s">
        <v>525</v>
      </c>
      <c r="C265" s="7">
        <v>45</v>
      </c>
      <c r="D265" s="7">
        <v>4</v>
      </c>
      <c r="E265" s="59" t="s">
        <v>751</v>
      </c>
      <c r="F265" s="7" t="s">
        <v>752</v>
      </c>
      <c r="G265" s="7">
        <v>91338021</v>
      </c>
      <c r="H265" s="7" t="s">
        <v>718</v>
      </c>
      <c r="K265" s="7">
        <v>4</v>
      </c>
      <c r="L265" s="21">
        <v>17270.080000000002</v>
      </c>
      <c r="M265" s="21">
        <f t="shared" si="5"/>
        <v>8635.0400000000009</v>
      </c>
      <c r="R265" s="5">
        <f>VLOOKUP(E265,'Inertia Bases 2025'!$A:$H,8,0)</f>
        <v>1550</v>
      </c>
      <c r="S265" s="5"/>
      <c r="T265" s="5">
        <f>VLOOKUP(G265,'Seismic Springs 2025'!$A:$I,9,0)</f>
        <v>170.3</v>
      </c>
      <c r="U265" s="5">
        <f t="shared" si="4"/>
        <v>681.2</v>
      </c>
    </row>
    <row r="266" spans="1:21" ht="12.75">
      <c r="A266" s="7">
        <v>93055662</v>
      </c>
      <c r="B266" s="7" t="s">
        <v>526</v>
      </c>
      <c r="C266" s="7">
        <v>37</v>
      </c>
      <c r="D266" s="7">
        <v>4</v>
      </c>
      <c r="E266" s="59" t="s">
        <v>751</v>
      </c>
      <c r="F266" s="7" t="s">
        <v>752</v>
      </c>
      <c r="G266" s="7">
        <v>91338020</v>
      </c>
      <c r="H266" s="7" t="s">
        <v>737</v>
      </c>
      <c r="K266" s="7">
        <v>4</v>
      </c>
      <c r="L266" s="21">
        <v>16586.3</v>
      </c>
      <c r="M266" s="21">
        <f t="shared" si="5"/>
        <v>8293.15</v>
      </c>
      <c r="R266" s="5">
        <f>VLOOKUP(E266,'Inertia Bases 2025'!$A:$H,8,0)</f>
        <v>1550</v>
      </c>
      <c r="S266" s="5"/>
      <c r="T266" s="5">
        <f>VLOOKUP(G266,'Seismic Springs 2025'!$A:$I,9,0)</f>
        <v>170.3</v>
      </c>
      <c r="U266" s="5">
        <f t="shared" si="4"/>
        <v>681.2</v>
      </c>
    </row>
    <row r="267" spans="1:21" ht="12.75">
      <c r="A267" s="7">
        <v>93055663</v>
      </c>
      <c r="B267" s="7" t="s">
        <v>527</v>
      </c>
      <c r="C267" s="7">
        <v>30</v>
      </c>
      <c r="D267" s="7">
        <v>4</v>
      </c>
      <c r="E267" s="59" t="s">
        <v>751</v>
      </c>
      <c r="F267" s="7" t="s">
        <v>752</v>
      </c>
      <c r="G267" s="7">
        <v>91338020</v>
      </c>
      <c r="H267" s="7" t="s">
        <v>737</v>
      </c>
      <c r="K267" s="7">
        <v>4</v>
      </c>
      <c r="L267" s="21">
        <v>14355.07</v>
      </c>
      <c r="M267" s="21">
        <f t="shared" si="5"/>
        <v>7177.5349999999999</v>
      </c>
      <c r="R267" s="5">
        <f>VLOOKUP(E267,'Inertia Bases 2025'!$A:$H,8,0)</f>
        <v>1550</v>
      </c>
      <c r="S267" s="5"/>
      <c r="T267" s="5">
        <f>VLOOKUP(G267,'Seismic Springs 2025'!$A:$I,9,0)</f>
        <v>170.3</v>
      </c>
      <c r="U267" s="5">
        <f t="shared" si="4"/>
        <v>681.2</v>
      </c>
    </row>
    <row r="268" spans="1:21" ht="12.75">
      <c r="A268" s="7">
        <v>93055664</v>
      </c>
      <c r="B268" s="7" t="s">
        <v>528</v>
      </c>
      <c r="C268" s="7">
        <v>22</v>
      </c>
      <c r="D268" s="7">
        <v>4</v>
      </c>
      <c r="E268" s="59"/>
      <c r="L268" s="21">
        <v>12612.97</v>
      </c>
      <c r="M268" s="21">
        <f t="shared" si="5"/>
        <v>6306.4849999999997</v>
      </c>
      <c r="R268" s="5" t="e">
        <f>VLOOKUP(E268,'Inertia Bases 2025'!$A:$H,8,0)</f>
        <v>#N/A</v>
      </c>
      <c r="S268" s="5"/>
      <c r="T268" s="5" t="e">
        <f>VLOOKUP(G268,'Seismic Springs 2025'!$A:$I,9,0)</f>
        <v>#N/A</v>
      </c>
      <c r="U268" s="5" t="e">
        <f t="shared" si="4"/>
        <v>#N/A</v>
      </c>
    </row>
    <row r="269" spans="1:21" ht="12.75">
      <c r="A269" s="7">
        <v>93055665</v>
      </c>
      <c r="B269" s="7" t="s">
        <v>523</v>
      </c>
      <c r="C269" s="7">
        <v>18.5</v>
      </c>
      <c r="D269" s="7">
        <v>6</v>
      </c>
      <c r="E269" s="59"/>
      <c r="L269" s="21">
        <v>12284.77</v>
      </c>
      <c r="M269" s="21">
        <f t="shared" si="5"/>
        <v>6142.3850000000002</v>
      </c>
      <c r="R269" s="5" t="e">
        <f>VLOOKUP(E269,'Inertia Bases 2025'!$A:$H,8,0)</f>
        <v>#N/A</v>
      </c>
      <c r="S269" s="5"/>
      <c r="T269" s="5" t="e">
        <f>VLOOKUP(G269,'Seismic Springs 2025'!$A:$I,9,0)</f>
        <v>#N/A</v>
      </c>
      <c r="U269" s="5" t="e">
        <f t="shared" si="4"/>
        <v>#N/A</v>
      </c>
    </row>
    <row r="270" spans="1:21" ht="12.75">
      <c r="A270" s="7">
        <v>93055666</v>
      </c>
      <c r="B270" s="7" t="s">
        <v>529</v>
      </c>
      <c r="C270" s="7">
        <v>15</v>
      </c>
      <c r="D270" s="7">
        <v>6</v>
      </c>
      <c r="E270" s="59"/>
      <c r="L270" s="21">
        <v>11109.43</v>
      </c>
      <c r="M270" s="21">
        <f t="shared" si="5"/>
        <v>5554.7150000000001</v>
      </c>
      <c r="R270" s="5" t="e">
        <f>VLOOKUP(E270,'Inertia Bases 2025'!$A:$H,8,0)</f>
        <v>#N/A</v>
      </c>
      <c r="S270" s="5"/>
      <c r="T270" s="5" t="e">
        <f>VLOOKUP(G270,'Seismic Springs 2025'!$A:$I,9,0)</f>
        <v>#N/A</v>
      </c>
      <c r="U270" s="5" t="e">
        <f t="shared" si="4"/>
        <v>#N/A</v>
      </c>
    </row>
    <row r="271" spans="1:21" ht="12.75">
      <c r="A271" s="7">
        <v>93055667</v>
      </c>
      <c r="B271" s="7" t="s">
        <v>530</v>
      </c>
      <c r="C271" s="7">
        <v>11</v>
      </c>
      <c r="D271" s="7">
        <v>6</v>
      </c>
      <c r="E271" s="59"/>
      <c r="L271" s="21">
        <v>13037.71</v>
      </c>
      <c r="M271" s="21">
        <f t="shared" si="5"/>
        <v>6518.8549999999996</v>
      </c>
      <c r="R271" s="5" t="e">
        <f>VLOOKUP(E271,'Inertia Bases 2025'!$A:$H,8,0)</f>
        <v>#N/A</v>
      </c>
      <c r="S271" s="5"/>
      <c r="T271" s="5" t="e">
        <f>VLOOKUP(G271,'Seismic Springs 2025'!$A:$I,9,0)</f>
        <v>#N/A</v>
      </c>
      <c r="U271" s="5" t="e">
        <f t="shared" si="4"/>
        <v>#N/A</v>
      </c>
    </row>
    <row r="272" spans="1:21" ht="12.75">
      <c r="A272" s="7">
        <v>93055668</v>
      </c>
      <c r="B272" s="7" t="s">
        <v>531</v>
      </c>
      <c r="C272" s="7">
        <v>7.5</v>
      </c>
      <c r="D272" s="7">
        <v>6</v>
      </c>
      <c r="E272" s="59"/>
      <c r="L272" s="21">
        <v>11381.71</v>
      </c>
      <c r="M272" s="21">
        <f t="shared" si="5"/>
        <v>5690.8549999999996</v>
      </c>
      <c r="R272" s="5" t="e">
        <f>VLOOKUP(E272,'Inertia Bases 2025'!$A:$H,8,0)</f>
        <v>#N/A</v>
      </c>
      <c r="S272" s="5"/>
      <c r="T272" s="5" t="e">
        <f>VLOOKUP(G272,'Seismic Springs 2025'!$A:$I,9,0)</f>
        <v>#N/A</v>
      </c>
      <c r="U272" s="5" t="e">
        <f t="shared" si="4"/>
        <v>#N/A</v>
      </c>
    </row>
    <row r="273" spans="1:21" ht="12.75">
      <c r="A273" s="7">
        <v>93055669</v>
      </c>
      <c r="B273" s="7" t="s">
        <v>532</v>
      </c>
      <c r="C273" s="7">
        <v>5.5</v>
      </c>
      <c r="D273" s="7">
        <v>6</v>
      </c>
      <c r="E273" s="59"/>
      <c r="L273" s="21">
        <v>10810.96</v>
      </c>
      <c r="M273" s="21">
        <f t="shared" si="5"/>
        <v>5405.48</v>
      </c>
      <c r="R273" s="5" t="e">
        <f>VLOOKUP(E273,'Inertia Bases 2025'!$A:$H,8,0)</f>
        <v>#N/A</v>
      </c>
      <c r="S273" s="5"/>
      <c r="T273" s="5" t="e">
        <f>VLOOKUP(G273,'Seismic Springs 2025'!$A:$I,9,0)</f>
        <v>#N/A</v>
      </c>
      <c r="U273" s="5" t="e">
        <f t="shared" si="4"/>
        <v>#N/A</v>
      </c>
    </row>
    <row r="274" spans="1:21" ht="12.75">
      <c r="A274" s="7">
        <v>93055671</v>
      </c>
      <c r="B274" s="7" t="s">
        <v>533</v>
      </c>
      <c r="C274" s="7">
        <v>30</v>
      </c>
      <c r="D274" s="7">
        <v>2</v>
      </c>
      <c r="E274" s="59"/>
      <c r="L274" s="21">
        <v>12877.37</v>
      </c>
      <c r="M274" s="21">
        <f t="shared" si="5"/>
        <v>6438.6850000000004</v>
      </c>
      <c r="R274" s="5" t="e">
        <f>VLOOKUP(E274,'Inertia Bases 2025'!$A:$H,8,0)</f>
        <v>#N/A</v>
      </c>
      <c r="S274" s="5"/>
      <c r="T274" s="5" t="e">
        <f>VLOOKUP(G274,'Seismic Springs 2025'!$A:$I,9,0)</f>
        <v>#N/A</v>
      </c>
      <c r="U274" s="5" t="e">
        <f t="shared" si="4"/>
        <v>#N/A</v>
      </c>
    </row>
    <row r="275" spans="1:21" ht="12.75">
      <c r="A275" s="7">
        <v>93055672</v>
      </c>
      <c r="B275" s="7" t="s">
        <v>534</v>
      </c>
      <c r="C275" s="7">
        <v>22</v>
      </c>
      <c r="D275" s="7">
        <v>2</v>
      </c>
      <c r="E275" s="59"/>
      <c r="L275" s="21">
        <v>10662.51</v>
      </c>
      <c r="M275" s="21">
        <f t="shared" si="5"/>
        <v>5331.2550000000001</v>
      </c>
      <c r="R275" s="5" t="e">
        <f>VLOOKUP(E275,'Inertia Bases 2025'!$A:$H,8,0)</f>
        <v>#N/A</v>
      </c>
      <c r="S275" s="5"/>
      <c r="T275" s="5" t="e">
        <f>VLOOKUP(G275,'Seismic Springs 2025'!$A:$I,9,0)</f>
        <v>#N/A</v>
      </c>
      <c r="U275" s="5" t="e">
        <f t="shared" si="4"/>
        <v>#N/A</v>
      </c>
    </row>
    <row r="276" spans="1:21" ht="12.75">
      <c r="A276" s="7">
        <v>93055673</v>
      </c>
      <c r="B276" s="7" t="s">
        <v>535</v>
      </c>
      <c r="C276" s="7">
        <v>18.5</v>
      </c>
      <c r="D276" s="7">
        <v>2</v>
      </c>
      <c r="E276" s="59"/>
      <c r="L276" s="21">
        <v>9748.83</v>
      </c>
      <c r="M276" s="21">
        <f t="shared" si="5"/>
        <v>4874.415</v>
      </c>
      <c r="R276" s="5" t="e">
        <f>VLOOKUP(E276,'Inertia Bases 2025'!$A:$H,8,0)</f>
        <v>#N/A</v>
      </c>
      <c r="S276" s="5"/>
      <c r="T276" s="5" t="e">
        <f>VLOOKUP(G276,'Seismic Springs 2025'!$A:$I,9,0)</f>
        <v>#N/A</v>
      </c>
      <c r="U276" s="5" t="e">
        <f t="shared" si="4"/>
        <v>#N/A</v>
      </c>
    </row>
    <row r="277" spans="1:21" ht="12.75">
      <c r="A277" s="7">
        <v>93055674</v>
      </c>
      <c r="B277" s="7" t="s">
        <v>536</v>
      </c>
      <c r="C277" s="7">
        <v>15</v>
      </c>
      <c r="D277" s="7">
        <v>2</v>
      </c>
      <c r="E277" s="59"/>
      <c r="L277" s="21">
        <v>8236.6</v>
      </c>
      <c r="M277" s="21">
        <f t="shared" si="5"/>
        <v>4118.3</v>
      </c>
      <c r="R277" s="5" t="e">
        <f>VLOOKUP(E277,'Inertia Bases 2025'!$A:$H,8,0)</f>
        <v>#N/A</v>
      </c>
      <c r="S277" s="5"/>
      <c r="T277" s="5" t="e">
        <f>VLOOKUP(G277,'Seismic Springs 2025'!$A:$I,9,0)</f>
        <v>#N/A</v>
      </c>
      <c r="U277" s="5" t="e">
        <f t="shared" si="4"/>
        <v>#N/A</v>
      </c>
    </row>
    <row r="278" spans="1:21" ht="12.75">
      <c r="A278" s="7">
        <v>93055675</v>
      </c>
      <c r="B278" s="7" t="s">
        <v>537</v>
      </c>
      <c r="C278" s="7">
        <v>11</v>
      </c>
      <c r="D278" s="7">
        <v>2</v>
      </c>
      <c r="E278" s="59"/>
      <c r="L278" s="21">
        <v>8022.41</v>
      </c>
      <c r="M278" s="21">
        <f t="shared" si="5"/>
        <v>4011.2049999999999</v>
      </c>
      <c r="R278" s="5" t="e">
        <f>VLOOKUP(E278,'Inertia Bases 2025'!$A:$H,8,0)</f>
        <v>#N/A</v>
      </c>
      <c r="S278" s="5"/>
      <c r="T278" s="5" t="e">
        <f>VLOOKUP(G278,'Seismic Springs 2025'!$A:$I,9,0)</f>
        <v>#N/A</v>
      </c>
      <c r="U278" s="5" t="e">
        <f t="shared" si="4"/>
        <v>#N/A</v>
      </c>
    </row>
    <row r="279" spans="1:21" ht="12.75">
      <c r="A279" s="7">
        <v>93055676</v>
      </c>
      <c r="B279" s="7" t="s">
        <v>533</v>
      </c>
      <c r="C279" s="7">
        <v>4</v>
      </c>
      <c r="D279" s="7">
        <v>4</v>
      </c>
      <c r="E279" s="59"/>
      <c r="L279" s="21">
        <v>6654.94</v>
      </c>
      <c r="M279" s="21">
        <f t="shared" si="5"/>
        <v>3327.47</v>
      </c>
      <c r="R279" s="5" t="e">
        <f>VLOOKUP(E279,'Inertia Bases 2025'!$A:$H,8,0)</f>
        <v>#N/A</v>
      </c>
      <c r="S279" s="5"/>
      <c r="T279" s="5" t="e">
        <f>VLOOKUP(G279,'Seismic Springs 2025'!$A:$I,9,0)</f>
        <v>#N/A</v>
      </c>
      <c r="U279" s="5" t="e">
        <f t="shared" si="4"/>
        <v>#N/A</v>
      </c>
    </row>
    <row r="280" spans="1:21" ht="12.75">
      <c r="A280" s="7">
        <v>93055677</v>
      </c>
      <c r="B280" s="7" t="s">
        <v>538</v>
      </c>
      <c r="C280" s="7">
        <v>3</v>
      </c>
      <c r="D280" s="7">
        <v>4</v>
      </c>
      <c r="E280" s="59"/>
      <c r="L280" s="21">
        <v>6399.89</v>
      </c>
      <c r="M280" s="21">
        <f t="shared" si="5"/>
        <v>3199.9450000000002</v>
      </c>
      <c r="R280" s="5" t="e">
        <f>VLOOKUP(E280,'Inertia Bases 2025'!$A:$H,8,0)</f>
        <v>#N/A</v>
      </c>
      <c r="S280" s="5"/>
      <c r="T280" s="5" t="e">
        <f>VLOOKUP(G280,'Seismic Springs 2025'!$A:$I,9,0)</f>
        <v>#N/A</v>
      </c>
      <c r="U280" s="5" t="e">
        <f t="shared" si="4"/>
        <v>#N/A</v>
      </c>
    </row>
    <row r="281" spans="1:21" ht="12.75">
      <c r="A281" s="7">
        <v>93055678</v>
      </c>
      <c r="B281" s="7" t="s">
        <v>539</v>
      </c>
      <c r="C281" s="7">
        <v>2.2000000000000002</v>
      </c>
      <c r="D281" s="7">
        <v>4</v>
      </c>
      <c r="E281" s="59"/>
      <c r="L281" s="21">
        <v>6261.99</v>
      </c>
      <c r="M281" s="21">
        <f t="shared" si="5"/>
        <v>3130.9949999999999</v>
      </c>
      <c r="R281" s="5" t="e">
        <f>VLOOKUP(E281,'Inertia Bases 2025'!$A:$H,8,0)</f>
        <v>#N/A</v>
      </c>
      <c r="S281" s="5"/>
      <c r="T281" s="5" t="e">
        <f>VLOOKUP(G281,'Seismic Springs 2025'!$A:$I,9,0)</f>
        <v>#N/A</v>
      </c>
      <c r="U281" s="5" t="e">
        <f t="shared" si="4"/>
        <v>#N/A</v>
      </c>
    </row>
    <row r="282" spans="1:21" ht="12.75">
      <c r="A282" s="7">
        <v>93055679</v>
      </c>
      <c r="B282" s="7" t="s">
        <v>540</v>
      </c>
      <c r="C282" s="7">
        <v>1.5</v>
      </c>
      <c r="D282" s="7">
        <v>4</v>
      </c>
      <c r="E282" s="59"/>
      <c r="L282" s="21">
        <v>6069.6</v>
      </c>
      <c r="M282" s="21">
        <f t="shared" si="5"/>
        <v>3034.8</v>
      </c>
      <c r="R282" s="5" t="e">
        <f>VLOOKUP(E282,'Inertia Bases 2025'!$A:$H,8,0)</f>
        <v>#N/A</v>
      </c>
      <c r="S282" s="5"/>
      <c r="T282" s="5" t="e">
        <f>VLOOKUP(G282,'Seismic Springs 2025'!$A:$I,9,0)</f>
        <v>#N/A</v>
      </c>
      <c r="U282" s="5" t="e">
        <f t="shared" si="4"/>
        <v>#N/A</v>
      </c>
    </row>
    <row r="283" spans="1:21" ht="12.75">
      <c r="A283" s="7">
        <v>93055680</v>
      </c>
      <c r="B283" s="7" t="s">
        <v>533</v>
      </c>
      <c r="C283" s="7">
        <v>1.1000000000000001</v>
      </c>
      <c r="D283" s="7">
        <v>6</v>
      </c>
      <c r="E283" s="59"/>
      <c r="L283" s="21">
        <v>6732.63</v>
      </c>
      <c r="M283" s="21">
        <f t="shared" si="5"/>
        <v>3366.3150000000001</v>
      </c>
      <c r="R283" s="5" t="e">
        <f>VLOOKUP(E283,'Inertia Bases 2025'!$A:$H,8,0)</f>
        <v>#N/A</v>
      </c>
      <c r="S283" s="5"/>
      <c r="T283" s="5" t="e">
        <f>VLOOKUP(G283,'Seismic Springs 2025'!$A:$I,9,0)</f>
        <v>#N/A</v>
      </c>
      <c r="U283" s="5" t="e">
        <f t="shared" si="4"/>
        <v>#N/A</v>
      </c>
    </row>
    <row r="284" spans="1:21" ht="12.75">
      <c r="A284" s="7">
        <v>93055681</v>
      </c>
      <c r="B284" s="7" t="s">
        <v>534</v>
      </c>
      <c r="C284" s="7">
        <v>0.75</v>
      </c>
      <c r="D284" s="7">
        <v>6</v>
      </c>
      <c r="E284" s="59"/>
      <c r="L284" s="21">
        <v>6677.88</v>
      </c>
      <c r="M284" s="21">
        <f t="shared" si="5"/>
        <v>3338.94</v>
      </c>
      <c r="R284" s="5" t="e">
        <f>VLOOKUP(E284,'Inertia Bases 2025'!$A:$H,8,0)</f>
        <v>#N/A</v>
      </c>
      <c r="S284" s="5"/>
      <c r="T284" s="5" t="e">
        <f>VLOOKUP(G284,'Seismic Springs 2025'!$A:$I,9,0)</f>
        <v>#N/A</v>
      </c>
      <c r="U284" s="5" t="e">
        <f t="shared" si="4"/>
        <v>#N/A</v>
      </c>
    </row>
    <row r="285" spans="1:21" ht="12.75">
      <c r="A285" s="7">
        <v>93055682</v>
      </c>
      <c r="B285" s="7" t="s">
        <v>541</v>
      </c>
      <c r="C285" s="7">
        <v>0.55000000000000004</v>
      </c>
      <c r="D285" s="7">
        <v>6</v>
      </c>
      <c r="E285" s="59"/>
      <c r="L285" s="21">
        <v>6616.98</v>
      </c>
      <c r="M285" s="21">
        <f t="shared" si="5"/>
        <v>3308.49</v>
      </c>
      <c r="R285" s="5" t="e">
        <f>VLOOKUP(E285,'Inertia Bases 2025'!$A:$H,8,0)</f>
        <v>#N/A</v>
      </c>
      <c r="S285" s="5"/>
      <c r="T285" s="5" t="e">
        <f>VLOOKUP(G285,'Seismic Springs 2025'!$A:$I,9,0)</f>
        <v>#N/A</v>
      </c>
      <c r="U285" s="5" t="e">
        <f t="shared" si="4"/>
        <v>#N/A</v>
      </c>
    </row>
    <row r="286" spans="1:21" ht="12.75">
      <c r="A286" s="7">
        <v>93055683</v>
      </c>
      <c r="B286" s="7" t="s">
        <v>542</v>
      </c>
      <c r="C286" s="7">
        <v>0.37</v>
      </c>
      <c r="D286" s="7">
        <v>6</v>
      </c>
      <c r="E286" s="59"/>
      <c r="L286" s="21">
        <v>6348.79</v>
      </c>
      <c r="M286" s="21">
        <f t="shared" si="5"/>
        <v>3174.395</v>
      </c>
      <c r="R286" s="5" t="e">
        <f>VLOOKUP(E286,'Inertia Bases 2025'!$A:$H,8,0)</f>
        <v>#N/A</v>
      </c>
      <c r="S286" s="5"/>
      <c r="T286" s="5" t="e">
        <f>VLOOKUP(G286,'Seismic Springs 2025'!$A:$I,9,0)</f>
        <v>#N/A</v>
      </c>
      <c r="U286" s="5" t="e">
        <f t="shared" si="4"/>
        <v>#N/A</v>
      </c>
    </row>
    <row r="287" spans="1:21" ht="12.75">
      <c r="A287" s="7">
        <v>93055684</v>
      </c>
      <c r="B287" s="7" t="s">
        <v>543</v>
      </c>
      <c r="C287" s="7">
        <v>90</v>
      </c>
      <c r="D287" s="7">
        <v>4</v>
      </c>
      <c r="E287" s="59"/>
      <c r="L287" s="21">
        <v>26299.279999999999</v>
      </c>
      <c r="M287" s="21">
        <f t="shared" si="5"/>
        <v>13149.64</v>
      </c>
      <c r="R287" s="5" t="e">
        <f>VLOOKUP(E287,'Inertia Bases 2025'!$A:$H,8,0)</f>
        <v>#N/A</v>
      </c>
      <c r="S287" s="5"/>
      <c r="T287" s="5" t="e">
        <f>VLOOKUP(G287,'Seismic Springs 2025'!$A:$I,9,0)</f>
        <v>#N/A</v>
      </c>
      <c r="U287" s="5" t="e">
        <f t="shared" si="4"/>
        <v>#N/A</v>
      </c>
    </row>
    <row r="288" spans="1:21" ht="12.75">
      <c r="A288" s="7">
        <v>93055685</v>
      </c>
      <c r="B288" s="7" t="s">
        <v>544</v>
      </c>
      <c r="C288" s="7">
        <v>75</v>
      </c>
      <c r="D288" s="7">
        <v>4</v>
      </c>
      <c r="E288" s="59" t="s">
        <v>720</v>
      </c>
      <c r="F288" s="7" t="s">
        <v>739</v>
      </c>
      <c r="G288" s="1">
        <v>91338020</v>
      </c>
      <c r="H288" s="7" t="s">
        <v>737</v>
      </c>
      <c r="K288" s="7">
        <v>6</v>
      </c>
      <c r="L288" s="21">
        <v>23739.82</v>
      </c>
      <c r="M288" s="21">
        <f t="shared" si="5"/>
        <v>11869.91</v>
      </c>
      <c r="R288" s="5">
        <v>1550</v>
      </c>
      <c r="S288" s="5"/>
      <c r="T288" s="5">
        <f>VLOOKUP(G288,'Seismic Springs 2025'!$A:$I,9,0)</f>
        <v>170.3</v>
      </c>
      <c r="U288" s="5">
        <f t="shared" si="4"/>
        <v>1021.8000000000001</v>
      </c>
    </row>
    <row r="289" spans="1:21" ht="12.75">
      <c r="A289" s="7">
        <v>93055686</v>
      </c>
      <c r="B289" s="7" t="s">
        <v>545</v>
      </c>
      <c r="C289" s="7">
        <v>55</v>
      </c>
      <c r="D289" s="7">
        <v>4</v>
      </c>
      <c r="E289" s="59" t="s">
        <v>765</v>
      </c>
      <c r="F289" s="7" t="s">
        <v>766</v>
      </c>
      <c r="G289" s="7">
        <v>91338021</v>
      </c>
      <c r="H289" s="7" t="s">
        <v>718</v>
      </c>
      <c r="K289" s="7">
        <v>4</v>
      </c>
      <c r="L289" s="21">
        <v>22531.32</v>
      </c>
      <c r="M289" s="21">
        <f t="shared" si="5"/>
        <v>11265.66</v>
      </c>
      <c r="R289" s="5">
        <f>VLOOKUP(E289,'Inertia Bases 2025'!$A:$H,8,0)</f>
        <v>1550</v>
      </c>
      <c r="S289" s="5"/>
      <c r="T289" s="5">
        <f>VLOOKUP(G289,'Seismic Springs 2025'!$A:$I,9,0)</f>
        <v>170.3</v>
      </c>
      <c r="U289" s="5">
        <f t="shared" si="4"/>
        <v>681.2</v>
      </c>
    </row>
    <row r="290" spans="1:21" ht="12.75">
      <c r="A290" s="7">
        <v>93055687</v>
      </c>
      <c r="B290" s="7" t="s">
        <v>546</v>
      </c>
      <c r="C290" s="7">
        <v>45</v>
      </c>
      <c r="D290" s="7">
        <v>4</v>
      </c>
      <c r="E290" s="59" t="s">
        <v>738</v>
      </c>
      <c r="F290" s="7" t="s">
        <v>767</v>
      </c>
      <c r="G290" s="7">
        <v>91338020</v>
      </c>
      <c r="H290" s="7" t="s">
        <v>737</v>
      </c>
      <c r="K290" s="7">
        <v>4</v>
      </c>
      <c r="L290" s="21">
        <v>19553.29</v>
      </c>
      <c r="M290" s="21">
        <f t="shared" si="5"/>
        <v>9776.6450000000004</v>
      </c>
      <c r="R290" s="5">
        <f>VLOOKUP(E290,'Inertia Bases 2025'!$A:$H,8,0)</f>
        <v>1550</v>
      </c>
      <c r="S290" s="5"/>
      <c r="T290" s="5">
        <f>VLOOKUP(G290,'Seismic Springs 2025'!$A:$I,9,0)</f>
        <v>170.3</v>
      </c>
      <c r="U290" s="5">
        <f t="shared" si="4"/>
        <v>681.2</v>
      </c>
    </row>
    <row r="291" spans="1:21" ht="12.75">
      <c r="A291" s="7">
        <v>93055688</v>
      </c>
      <c r="B291" s="7" t="s">
        <v>547</v>
      </c>
      <c r="C291" s="7">
        <v>30</v>
      </c>
      <c r="D291" s="7">
        <v>4</v>
      </c>
      <c r="E291" s="59">
        <v>92792038</v>
      </c>
      <c r="F291" s="7" t="s">
        <v>736</v>
      </c>
      <c r="G291" s="7">
        <v>91338020</v>
      </c>
      <c r="H291" s="7" t="s">
        <v>737</v>
      </c>
      <c r="K291" s="7">
        <v>4</v>
      </c>
      <c r="L291" s="21">
        <v>15375.61</v>
      </c>
      <c r="M291" s="21">
        <f t="shared" si="5"/>
        <v>7687.8050000000003</v>
      </c>
      <c r="R291" s="5">
        <f>VLOOKUP(E291,'Inertia Bases 2025'!$A:$H,8,0)</f>
        <v>780.65</v>
      </c>
      <c r="S291" s="5"/>
      <c r="T291" s="5">
        <f>VLOOKUP(G291,'Seismic Springs 2025'!$A:$I,9,0)</f>
        <v>170.3</v>
      </c>
      <c r="U291" s="5">
        <f t="shared" si="4"/>
        <v>681.2</v>
      </c>
    </row>
    <row r="292" spans="1:21" ht="12.75">
      <c r="A292" s="7">
        <v>93055689</v>
      </c>
      <c r="B292" s="7" t="s">
        <v>543</v>
      </c>
      <c r="C292" s="7">
        <v>30</v>
      </c>
      <c r="D292" s="7">
        <v>6</v>
      </c>
      <c r="E292" s="59"/>
      <c r="L292" s="21">
        <v>17160.57</v>
      </c>
      <c r="M292" s="21">
        <f t="shared" si="5"/>
        <v>8580.2849999999999</v>
      </c>
      <c r="R292" s="5" t="e">
        <f>VLOOKUP(E292,'Inertia Bases 2025'!$A:$H,8,0)</f>
        <v>#N/A</v>
      </c>
      <c r="S292" s="5"/>
      <c r="T292" s="5" t="e">
        <f>VLOOKUP(G292,'Seismic Springs 2025'!$A:$I,9,0)</f>
        <v>#N/A</v>
      </c>
      <c r="U292" s="5" t="e">
        <f t="shared" si="4"/>
        <v>#N/A</v>
      </c>
    </row>
    <row r="293" spans="1:21" ht="12.75">
      <c r="A293" s="7">
        <v>93055690</v>
      </c>
      <c r="B293" s="7" t="s">
        <v>548</v>
      </c>
      <c r="C293" s="7">
        <v>22</v>
      </c>
      <c r="D293" s="7">
        <v>6</v>
      </c>
      <c r="E293" s="59"/>
      <c r="L293" s="21">
        <v>15334.29</v>
      </c>
      <c r="M293" s="21">
        <f t="shared" si="5"/>
        <v>7667.1450000000004</v>
      </c>
      <c r="R293" s="5" t="e">
        <f>VLOOKUP(E293,'Inertia Bases 2025'!$A:$H,8,0)</f>
        <v>#N/A</v>
      </c>
      <c r="S293" s="5"/>
      <c r="T293" s="5" t="e">
        <f>VLOOKUP(G293,'Seismic Springs 2025'!$A:$I,9,0)</f>
        <v>#N/A</v>
      </c>
      <c r="U293" s="5" t="e">
        <f t="shared" si="4"/>
        <v>#N/A</v>
      </c>
    </row>
    <row r="294" spans="1:21" ht="12.75">
      <c r="A294" s="7">
        <v>93055691</v>
      </c>
      <c r="B294" s="7" t="s">
        <v>549</v>
      </c>
      <c r="C294" s="7">
        <v>18.5</v>
      </c>
      <c r="D294" s="7">
        <v>6</v>
      </c>
      <c r="E294" s="59"/>
      <c r="L294" s="21">
        <v>14703.66</v>
      </c>
      <c r="M294" s="21">
        <f t="shared" si="5"/>
        <v>7351.83</v>
      </c>
      <c r="R294" s="5" t="e">
        <f>VLOOKUP(E294,'Inertia Bases 2025'!$A:$H,8,0)</f>
        <v>#N/A</v>
      </c>
      <c r="S294" s="5"/>
      <c r="T294" s="5" t="e">
        <f>VLOOKUP(G294,'Seismic Springs 2025'!$A:$I,9,0)</f>
        <v>#N/A</v>
      </c>
      <c r="U294" s="5" t="e">
        <f t="shared" si="4"/>
        <v>#N/A</v>
      </c>
    </row>
    <row r="295" spans="1:21" ht="12.75">
      <c r="A295" s="7">
        <v>93055692</v>
      </c>
      <c r="B295" s="7" t="s">
        <v>550</v>
      </c>
      <c r="C295" s="7">
        <v>15</v>
      </c>
      <c r="D295" s="7">
        <v>6</v>
      </c>
      <c r="E295" s="59"/>
      <c r="L295" s="21">
        <v>14625.22</v>
      </c>
      <c r="M295" s="21">
        <f t="shared" si="5"/>
        <v>7312.61</v>
      </c>
      <c r="R295" s="5" t="e">
        <f>VLOOKUP(E295,'Inertia Bases 2025'!$A:$H,8,0)</f>
        <v>#N/A</v>
      </c>
      <c r="S295" s="5"/>
      <c r="T295" s="5" t="e">
        <f>VLOOKUP(G295,'Seismic Springs 2025'!$A:$I,9,0)</f>
        <v>#N/A</v>
      </c>
      <c r="U295" s="5" t="e">
        <f t="shared" si="4"/>
        <v>#N/A</v>
      </c>
    </row>
    <row r="296" spans="1:21" ht="12.75">
      <c r="A296" s="7">
        <v>93055693</v>
      </c>
      <c r="B296" s="7" t="s">
        <v>551</v>
      </c>
      <c r="C296" s="7">
        <v>11</v>
      </c>
      <c r="D296" s="7">
        <v>6</v>
      </c>
      <c r="E296" s="59"/>
      <c r="L296" s="21">
        <v>14309.39</v>
      </c>
      <c r="M296" s="21">
        <f t="shared" si="5"/>
        <v>7154.6949999999997</v>
      </c>
      <c r="R296" s="5" t="e">
        <f>VLOOKUP(E296,'Inertia Bases 2025'!$A:$H,8,0)</f>
        <v>#N/A</v>
      </c>
      <c r="S296" s="5"/>
      <c r="T296" s="5" t="e">
        <f>VLOOKUP(G296,'Seismic Springs 2025'!$A:$I,9,0)</f>
        <v>#N/A</v>
      </c>
      <c r="U296" s="5" t="e">
        <f t="shared" si="4"/>
        <v>#N/A</v>
      </c>
    </row>
    <row r="297" spans="1:21" ht="12.75">
      <c r="A297" s="7">
        <v>93055694</v>
      </c>
      <c r="B297" s="7" t="s">
        <v>552</v>
      </c>
      <c r="C297" s="7">
        <v>3</v>
      </c>
      <c r="D297" s="7">
        <v>2</v>
      </c>
      <c r="E297" s="59"/>
      <c r="L297" s="21">
        <v>3991.49</v>
      </c>
      <c r="M297" s="21">
        <f t="shared" si="5"/>
        <v>1995.7449999999999</v>
      </c>
      <c r="R297" s="5" t="e">
        <f>VLOOKUP(E297,'Inertia Bases 2025'!$A:$H,8,0)</f>
        <v>#N/A</v>
      </c>
      <c r="S297" s="5"/>
      <c r="T297" s="5" t="e">
        <f>VLOOKUP(G297,'Seismic Springs 2025'!$A:$I,9,0)</f>
        <v>#N/A</v>
      </c>
      <c r="U297" s="5" t="e">
        <f t="shared" si="4"/>
        <v>#N/A</v>
      </c>
    </row>
    <row r="298" spans="1:21" ht="12.75">
      <c r="A298" s="7">
        <v>93055695</v>
      </c>
      <c r="B298" s="7" t="s">
        <v>553</v>
      </c>
      <c r="C298" s="7">
        <v>2.2000000000000002</v>
      </c>
      <c r="D298" s="7">
        <v>2</v>
      </c>
      <c r="E298" s="59"/>
      <c r="L298" s="21">
        <v>3670.74</v>
      </c>
      <c r="M298" s="21">
        <f t="shared" si="5"/>
        <v>1835.37</v>
      </c>
      <c r="R298" s="5" t="e">
        <f>VLOOKUP(E298,'Inertia Bases 2025'!$A:$H,8,0)</f>
        <v>#N/A</v>
      </c>
      <c r="S298" s="5"/>
      <c r="T298" s="5" t="e">
        <f>VLOOKUP(G298,'Seismic Springs 2025'!$A:$I,9,0)</f>
        <v>#N/A</v>
      </c>
      <c r="U298" s="5" t="e">
        <f t="shared" si="4"/>
        <v>#N/A</v>
      </c>
    </row>
    <row r="299" spans="1:21" ht="12.75">
      <c r="A299" s="7">
        <v>93055696</v>
      </c>
      <c r="B299" s="7" t="s">
        <v>554</v>
      </c>
      <c r="C299" s="7">
        <v>1.5</v>
      </c>
      <c r="D299" s="7">
        <v>2</v>
      </c>
      <c r="E299" s="59"/>
      <c r="L299" s="21">
        <v>3607.68</v>
      </c>
      <c r="M299" s="21">
        <f t="shared" si="5"/>
        <v>1803.84</v>
      </c>
      <c r="R299" s="5" t="e">
        <f>VLOOKUP(E299,'Inertia Bases 2025'!$A:$H,8,0)</f>
        <v>#N/A</v>
      </c>
      <c r="S299" s="5"/>
      <c r="T299" s="5" t="e">
        <f>VLOOKUP(G299,'Seismic Springs 2025'!$A:$I,9,0)</f>
        <v>#N/A</v>
      </c>
      <c r="U299" s="5" t="e">
        <f t="shared" si="4"/>
        <v>#N/A</v>
      </c>
    </row>
    <row r="300" spans="1:21" ht="12.75">
      <c r="A300" s="7">
        <v>93055697</v>
      </c>
      <c r="B300" s="7" t="s">
        <v>555</v>
      </c>
      <c r="C300" s="7">
        <v>1.1000000000000001</v>
      </c>
      <c r="D300" s="7">
        <v>2</v>
      </c>
      <c r="E300" s="59"/>
      <c r="L300" s="21">
        <v>3491.77</v>
      </c>
      <c r="M300" s="21">
        <f t="shared" si="5"/>
        <v>1745.885</v>
      </c>
      <c r="R300" s="5" t="e">
        <f>VLOOKUP(E300,'Inertia Bases 2025'!$A:$H,8,0)</f>
        <v>#N/A</v>
      </c>
      <c r="S300" s="5"/>
      <c r="T300" s="5" t="e">
        <f>VLOOKUP(G300,'Seismic Springs 2025'!$A:$I,9,0)</f>
        <v>#N/A</v>
      </c>
      <c r="U300" s="5" t="e">
        <f t="shared" si="4"/>
        <v>#N/A</v>
      </c>
    </row>
    <row r="301" spans="1:21" ht="12.75">
      <c r="A301" s="7">
        <v>93055698</v>
      </c>
      <c r="B301" s="7" t="s">
        <v>552</v>
      </c>
      <c r="C301" s="7">
        <v>0.37</v>
      </c>
      <c r="D301" s="7">
        <v>4</v>
      </c>
      <c r="E301" s="59"/>
      <c r="L301" s="21">
        <v>3143.61</v>
      </c>
      <c r="M301" s="21">
        <f t="shared" si="5"/>
        <v>1571.8050000000001</v>
      </c>
      <c r="R301" s="5" t="e">
        <f>VLOOKUP(E301,'Inertia Bases 2025'!$A:$H,8,0)</f>
        <v>#N/A</v>
      </c>
      <c r="S301" s="5"/>
      <c r="T301" s="5" t="e">
        <f>VLOOKUP(G301,'Seismic Springs 2025'!$A:$I,9,0)</f>
        <v>#N/A</v>
      </c>
      <c r="U301" s="5" t="e">
        <f t="shared" si="4"/>
        <v>#N/A</v>
      </c>
    </row>
    <row r="302" spans="1:21" ht="12.75">
      <c r="A302" s="7">
        <v>93055699</v>
      </c>
      <c r="B302" s="7" t="s">
        <v>556</v>
      </c>
      <c r="C302" s="7">
        <v>0.25</v>
      </c>
      <c r="D302" s="7">
        <v>4</v>
      </c>
      <c r="E302" s="59"/>
      <c r="L302" s="21">
        <v>3113.75</v>
      </c>
      <c r="M302" s="21">
        <f t="shared" si="5"/>
        <v>1556.875</v>
      </c>
      <c r="R302" s="5" t="e">
        <f>VLOOKUP(E302,'Inertia Bases 2025'!$A:$H,8,0)</f>
        <v>#N/A</v>
      </c>
      <c r="S302" s="5"/>
      <c r="T302" s="5" t="e">
        <f>VLOOKUP(G302,'Seismic Springs 2025'!$A:$I,9,0)</f>
        <v>#N/A</v>
      </c>
      <c r="U302" s="5" t="e">
        <f t="shared" si="4"/>
        <v>#N/A</v>
      </c>
    </row>
    <row r="303" spans="1:21" ht="12.75">
      <c r="A303" s="7">
        <v>93055700</v>
      </c>
      <c r="B303" s="7" t="s">
        <v>557</v>
      </c>
      <c r="C303" s="7">
        <v>3</v>
      </c>
      <c r="D303" s="7">
        <v>2</v>
      </c>
      <c r="E303" s="59"/>
      <c r="L303" s="21">
        <v>3951.7</v>
      </c>
      <c r="M303" s="21">
        <f t="shared" si="5"/>
        <v>1975.85</v>
      </c>
      <c r="R303" s="5" t="e">
        <f>VLOOKUP(E303,'Inertia Bases 2025'!$A:$H,8,0)</f>
        <v>#N/A</v>
      </c>
      <c r="S303" s="5"/>
      <c r="T303" s="5" t="e">
        <f>VLOOKUP(G303,'Seismic Springs 2025'!$A:$I,9,0)</f>
        <v>#N/A</v>
      </c>
      <c r="U303" s="5" t="e">
        <f t="shared" si="4"/>
        <v>#N/A</v>
      </c>
    </row>
    <row r="304" spans="1:21" ht="12.75">
      <c r="A304" s="7">
        <v>93055701</v>
      </c>
      <c r="B304" s="7" t="s">
        <v>558</v>
      </c>
      <c r="C304" s="7">
        <v>2.2000000000000002</v>
      </c>
      <c r="D304" s="7">
        <v>2</v>
      </c>
      <c r="E304" s="59"/>
      <c r="L304" s="21">
        <v>3634.24</v>
      </c>
      <c r="M304" s="21">
        <f t="shared" si="5"/>
        <v>1817.12</v>
      </c>
      <c r="R304" s="5" t="e">
        <f>VLOOKUP(E304,'Inertia Bases 2025'!$A:$H,8,0)</f>
        <v>#N/A</v>
      </c>
      <c r="S304" s="5"/>
      <c r="T304" s="5" t="e">
        <f>VLOOKUP(G304,'Seismic Springs 2025'!$A:$I,9,0)</f>
        <v>#N/A</v>
      </c>
      <c r="U304" s="5" t="e">
        <f t="shared" si="4"/>
        <v>#N/A</v>
      </c>
    </row>
    <row r="305" spans="1:21" ht="12.75">
      <c r="A305" s="7">
        <v>93055702</v>
      </c>
      <c r="B305" s="7" t="s">
        <v>559</v>
      </c>
      <c r="C305" s="7">
        <v>1.5</v>
      </c>
      <c r="D305" s="7">
        <v>2</v>
      </c>
      <c r="E305" s="59"/>
      <c r="L305" s="21">
        <v>3571.19</v>
      </c>
      <c r="M305" s="21">
        <f t="shared" si="5"/>
        <v>1785.595</v>
      </c>
      <c r="R305" s="5" t="e">
        <f>VLOOKUP(E305,'Inertia Bases 2025'!$A:$H,8,0)</f>
        <v>#N/A</v>
      </c>
      <c r="S305" s="5"/>
      <c r="T305" s="5" t="e">
        <f>VLOOKUP(G305,'Seismic Springs 2025'!$A:$I,9,0)</f>
        <v>#N/A</v>
      </c>
      <c r="U305" s="5" t="e">
        <f t="shared" si="4"/>
        <v>#N/A</v>
      </c>
    </row>
    <row r="306" spans="1:21" ht="12.75">
      <c r="A306" s="7">
        <v>93055703</v>
      </c>
      <c r="B306" s="7" t="s">
        <v>560</v>
      </c>
      <c r="C306" s="7">
        <v>1.1000000000000001</v>
      </c>
      <c r="D306" s="7">
        <v>2</v>
      </c>
      <c r="E306" s="59"/>
      <c r="L306" s="21">
        <v>3455.28</v>
      </c>
      <c r="M306" s="21">
        <f t="shared" si="5"/>
        <v>1727.64</v>
      </c>
      <c r="R306" s="5" t="e">
        <f>VLOOKUP(E306,'Inertia Bases 2025'!$A:$H,8,0)</f>
        <v>#N/A</v>
      </c>
      <c r="S306" s="5"/>
      <c r="T306" s="5" t="e">
        <f>VLOOKUP(G306,'Seismic Springs 2025'!$A:$I,9,0)</f>
        <v>#N/A</v>
      </c>
      <c r="U306" s="5" t="e">
        <f t="shared" si="4"/>
        <v>#N/A</v>
      </c>
    </row>
    <row r="307" spans="1:21" ht="12.75">
      <c r="A307" s="7">
        <v>93055704</v>
      </c>
      <c r="B307" s="7" t="s">
        <v>561</v>
      </c>
      <c r="C307" s="7">
        <v>0.75</v>
      </c>
      <c r="D307" s="7">
        <v>2</v>
      </c>
      <c r="E307" s="59"/>
      <c r="L307" s="21">
        <v>3389.12</v>
      </c>
      <c r="M307" s="21">
        <f t="shared" si="5"/>
        <v>1694.56</v>
      </c>
      <c r="R307" s="5" t="e">
        <f>VLOOKUP(E307,'Inertia Bases 2025'!$A:$H,8,0)</f>
        <v>#N/A</v>
      </c>
      <c r="S307" s="5"/>
      <c r="T307" s="5" t="e">
        <f>VLOOKUP(G307,'Seismic Springs 2025'!$A:$I,9,0)</f>
        <v>#N/A</v>
      </c>
      <c r="U307" s="5" t="e">
        <f t="shared" si="4"/>
        <v>#N/A</v>
      </c>
    </row>
    <row r="308" spans="1:21" ht="12.75">
      <c r="A308" s="7">
        <v>93055705</v>
      </c>
      <c r="B308" s="7" t="s">
        <v>557</v>
      </c>
      <c r="C308" s="7">
        <v>0.37</v>
      </c>
      <c r="D308" s="7">
        <v>4</v>
      </c>
      <c r="E308" s="59"/>
      <c r="L308" s="21">
        <v>3110.45</v>
      </c>
      <c r="M308" s="21">
        <f t="shared" si="5"/>
        <v>1555.2249999999999</v>
      </c>
      <c r="R308" s="5" t="e">
        <f>VLOOKUP(E308,'Inertia Bases 2025'!$A:$H,8,0)</f>
        <v>#N/A</v>
      </c>
      <c r="S308" s="5"/>
      <c r="T308" s="5" t="e">
        <f>VLOOKUP(G308,'Seismic Springs 2025'!$A:$I,9,0)</f>
        <v>#N/A</v>
      </c>
      <c r="U308" s="5" t="e">
        <f t="shared" si="4"/>
        <v>#N/A</v>
      </c>
    </row>
    <row r="309" spans="1:21" ht="12.75">
      <c r="A309" s="7">
        <v>93055706</v>
      </c>
      <c r="B309" s="7" t="s">
        <v>562</v>
      </c>
      <c r="C309" s="7">
        <v>0.25</v>
      </c>
      <c r="D309" s="7">
        <v>4</v>
      </c>
      <c r="E309" s="59"/>
      <c r="L309" s="21">
        <v>3080.58</v>
      </c>
      <c r="M309" s="21">
        <f t="shared" si="5"/>
        <v>1540.29</v>
      </c>
      <c r="R309" s="5" t="e">
        <f>VLOOKUP(E309,'Inertia Bases 2025'!$A:$H,8,0)</f>
        <v>#N/A</v>
      </c>
      <c r="S309" s="5"/>
      <c r="T309" s="5" t="e">
        <f>VLOOKUP(G309,'Seismic Springs 2025'!$A:$I,9,0)</f>
        <v>#N/A</v>
      </c>
      <c r="U309" s="5" t="e">
        <f t="shared" si="4"/>
        <v>#N/A</v>
      </c>
    </row>
    <row r="310" spans="1:21" ht="12.75">
      <c r="A310" s="7">
        <v>93055707</v>
      </c>
      <c r="B310" s="7" t="s">
        <v>563</v>
      </c>
      <c r="C310" s="7">
        <v>4</v>
      </c>
      <c r="D310" s="7">
        <v>2</v>
      </c>
      <c r="E310" s="59"/>
      <c r="L310" s="21">
        <v>4301.92</v>
      </c>
      <c r="M310" s="21">
        <f t="shared" si="5"/>
        <v>2150.96</v>
      </c>
      <c r="R310" s="5" t="e">
        <f>VLOOKUP(E310,'Inertia Bases 2025'!$A:$H,8,0)</f>
        <v>#N/A</v>
      </c>
      <c r="S310" s="5"/>
      <c r="T310" s="5" t="e">
        <f>VLOOKUP(G310,'Seismic Springs 2025'!$A:$I,9,0)</f>
        <v>#N/A</v>
      </c>
      <c r="U310" s="5" t="e">
        <f t="shared" si="4"/>
        <v>#N/A</v>
      </c>
    </row>
    <row r="311" spans="1:21" ht="12.75">
      <c r="A311" s="7">
        <v>93055708</v>
      </c>
      <c r="B311" s="7" t="s">
        <v>564</v>
      </c>
      <c r="C311" s="7">
        <v>3</v>
      </c>
      <c r="D311" s="7">
        <v>2</v>
      </c>
      <c r="E311" s="59"/>
      <c r="L311" s="21">
        <v>4051.18</v>
      </c>
      <c r="M311" s="21">
        <f t="shared" si="5"/>
        <v>2025.59</v>
      </c>
      <c r="R311" s="5" t="e">
        <f>VLOOKUP(E311,'Inertia Bases 2025'!$A:$H,8,0)</f>
        <v>#N/A</v>
      </c>
      <c r="S311" s="5"/>
      <c r="T311" s="5" t="e">
        <f>VLOOKUP(G311,'Seismic Springs 2025'!$A:$I,9,0)</f>
        <v>#N/A</v>
      </c>
      <c r="U311" s="5" t="e">
        <f t="shared" si="4"/>
        <v>#N/A</v>
      </c>
    </row>
    <row r="312" spans="1:21" ht="12.75">
      <c r="A312" s="7">
        <v>93055709</v>
      </c>
      <c r="B312" s="7" t="s">
        <v>565</v>
      </c>
      <c r="C312" s="7">
        <v>2.2000000000000002</v>
      </c>
      <c r="D312" s="7">
        <v>2</v>
      </c>
      <c r="E312" s="59"/>
      <c r="L312" s="21">
        <v>3727.09</v>
      </c>
      <c r="M312" s="21">
        <f t="shared" si="5"/>
        <v>1863.5450000000001</v>
      </c>
      <c r="R312" s="5" t="e">
        <f>VLOOKUP(E312,'Inertia Bases 2025'!$A:$H,8,0)</f>
        <v>#N/A</v>
      </c>
      <c r="S312" s="5"/>
      <c r="T312" s="5" t="e">
        <f>VLOOKUP(G312,'Seismic Springs 2025'!$A:$I,9,0)</f>
        <v>#N/A</v>
      </c>
      <c r="U312" s="5" t="e">
        <f t="shared" si="4"/>
        <v>#N/A</v>
      </c>
    </row>
    <row r="313" spans="1:21" ht="12.75">
      <c r="A313" s="7">
        <v>93055710</v>
      </c>
      <c r="B313" s="7" t="s">
        <v>566</v>
      </c>
      <c r="C313" s="7">
        <v>1.5</v>
      </c>
      <c r="D313" s="7">
        <v>2</v>
      </c>
      <c r="E313" s="59"/>
      <c r="L313" s="21">
        <v>3664.04</v>
      </c>
      <c r="M313" s="21">
        <f t="shared" si="5"/>
        <v>1832.02</v>
      </c>
      <c r="R313" s="5" t="e">
        <f>VLOOKUP(E313,'Inertia Bases 2025'!$A:$H,8,0)</f>
        <v>#N/A</v>
      </c>
      <c r="S313" s="5"/>
      <c r="T313" s="5" t="e">
        <f>VLOOKUP(G313,'Seismic Springs 2025'!$A:$I,9,0)</f>
        <v>#N/A</v>
      </c>
      <c r="U313" s="5" t="e">
        <f t="shared" si="4"/>
        <v>#N/A</v>
      </c>
    </row>
    <row r="314" spans="1:21" ht="12.75">
      <c r="A314" s="7">
        <v>93055711</v>
      </c>
      <c r="B314" s="7" t="s">
        <v>563</v>
      </c>
      <c r="C314" s="7">
        <v>0.55000000000000004</v>
      </c>
      <c r="D314" s="7">
        <v>4</v>
      </c>
      <c r="E314" s="59"/>
      <c r="L314" s="21">
        <v>3425.87</v>
      </c>
      <c r="M314" s="21">
        <f t="shared" si="5"/>
        <v>1712.9349999999999</v>
      </c>
      <c r="R314" s="5" t="e">
        <f>VLOOKUP(E314,'Inertia Bases 2025'!$A:$H,8,0)</f>
        <v>#N/A</v>
      </c>
      <c r="S314" s="5"/>
      <c r="T314" s="5" t="e">
        <f>VLOOKUP(G314,'Seismic Springs 2025'!$A:$I,9,0)</f>
        <v>#N/A</v>
      </c>
      <c r="U314" s="5" t="e">
        <f t="shared" si="4"/>
        <v>#N/A</v>
      </c>
    </row>
    <row r="315" spans="1:21" ht="12.75">
      <c r="A315" s="7">
        <v>93055712</v>
      </c>
      <c r="B315" s="7" t="s">
        <v>567</v>
      </c>
      <c r="C315" s="7">
        <v>0.37</v>
      </c>
      <c r="D315" s="7">
        <v>4</v>
      </c>
      <c r="E315" s="59"/>
      <c r="L315" s="21">
        <v>3199.96</v>
      </c>
      <c r="M315" s="21">
        <f t="shared" si="5"/>
        <v>1599.98</v>
      </c>
      <c r="R315" s="5" t="e">
        <f>VLOOKUP(E315,'Inertia Bases 2025'!$A:$H,8,0)</f>
        <v>#N/A</v>
      </c>
      <c r="S315" s="5"/>
      <c r="T315" s="5" t="e">
        <f>VLOOKUP(G315,'Seismic Springs 2025'!$A:$I,9,0)</f>
        <v>#N/A</v>
      </c>
      <c r="U315" s="5" t="e">
        <f t="shared" si="4"/>
        <v>#N/A</v>
      </c>
    </row>
    <row r="316" spans="1:21" ht="12.75">
      <c r="A316" s="7">
        <v>93055713</v>
      </c>
      <c r="B316" s="7" t="s">
        <v>568</v>
      </c>
      <c r="C316" s="7">
        <v>0.25</v>
      </c>
      <c r="D316" s="7">
        <v>4</v>
      </c>
      <c r="E316" s="59"/>
      <c r="L316" s="21">
        <v>3166.8</v>
      </c>
      <c r="M316" s="21">
        <f t="shared" si="5"/>
        <v>1583.4</v>
      </c>
      <c r="R316" s="5" t="e">
        <f>VLOOKUP(E316,'Inertia Bases 2025'!$A:$H,8,0)</f>
        <v>#N/A</v>
      </c>
      <c r="S316" s="5"/>
      <c r="T316" s="5" t="e">
        <f>VLOOKUP(G316,'Seismic Springs 2025'!$A:$I,9,0)</f>
        <v>#N/A</v>
      </c>
      <c r="U316" s="5" t="e">
        <f t="shared" si="4"/>
        <v>#N/A</v>
      </c>
    </row>
    <row r="317" spans="1:21" ht="12.75">
      <c r="A317" s="7">
        <v>93055714</v>
      </c>
      <c r="B317" s="7" t="s">
        <v>569</v>
      </c>
      <c r="C317" s="7">
        <v>7.5</v>
      </c>
      <c r="D317" s="7">
        <v>2</v>
      </c>
      <c r="E317" s="59"/>
      <c r="L317" s="21">
        <v>5212.07</v>
      </c>
      <c r="M317" s="21">
        <f t="shared" si="5"/>
        <v>2606.0349999999999</v>
      </c>
      <c r="R317" s="5" t="e">
        <f>VLOOKUP(E317,'Inertia Bases 2025'!$A:$H,8,0)</f>
        <v>#N/A</v>
      </c>
      <c r="S317" s="5"/>
      <c r="T317" s="5" t="e">
        <f>VLOOKUP(G317,'Seismic Springs 2025'!$A:$I,9,0)</f>
        <v>#N/A</v>
      </c>
      <c r="U317" s="5" t="e">
        <f t="shared" si="4"/>
        <v>#N/A</v>
      </c>
    </row>
    <row r="318" spans="1:21" ht="12.75">
      <c r="A318" s="7">
        <v>93055715</v>
      </c>
      <c r="B318" s="7" t="s">
        <v>570</v>
      </c>
      <c r="C318" s="7">
        <v>5.5</v>
      </c>
      <c r="D318" s="7">
        <v>2</v>
      </c>
      <c r="E318" s="59"/>
      <c r="L318" s="21">
        <v>4914.45</v>
      </c>
      <c r="M318" s="21">
        <f t="shared" si="5"/>
        <v>2457.2249999999999</v>
      </c>
      <c r="R318" s="5" t="e">
        <f>VLOOKUP(E318,'Inertia Bases 2025'!$A:$H,8,0)</f>
        <v>#N/A</v>
      </c>
      <c r="S318" s="5"/>
      <c r="T318" s="5" t="e">
        <f>VLOOKUP(G318,'Seismic Springs 2025'!$A:$I,9,0)</f>
        <v>#N/A</v>
      </c>
      <c r="U318" s="5" t="e">
        <f t="shared" si="4"/>
        <v>#N/A</v>
      </c>
    </row>
    <row r="319" spans="1:21" ht="12.75">
      <c r="A319" s="7">
        <v>93055716</v>
      </c>
      <c r="B319" s="7" t="s">
        <v>571</v>
      </c>
      <c r="C319" s="7">
        <v>4</v>
      </c>
      <c r="D319" s="7">
        <v>2</v>
      </c>
      <c r="E319" s="59"/>
      <c r="L319" s="21">
        <v>4504.21</v>
      </c>
      <c r="M319" s="21">
        <f t="shared" si="5"/>
        <v>2252.105</v>
      </c>
      <c r="R319" s="5" t="e">
        <f>VLOOKUP(E319,'Inertia Bases 2025'!$A:$H,8,0)</f>
        <v>#N/A</v>
      </c>
      <c r="S319" s="5"/>
      <c r="T319" s="5" t="e">
        <f>VLOOKUP(G319,'Seismic Springs 2025'!$A:$I,9,0)</f>
        <v>#N/A</v>
      </c>
      <c r="U319" s="5" t="e">
        <f t="shared" si="4"/>
        <v>#N/A</v>
      </c>
    </row>
    <row r="320" spans="1:21" ht="12.75">
      <c r="A320" s="7">
        <v>93055717</v>
      </c>
      <c r="B320" s="7" t="s">
        <v>572</v>
      </c>
      <c r="C320" s="7">
        <v>3</v>
      </c>
      <c r="D320" s="7">
        <v>2</v>
      </c>
      <c r="E320" s="59"/>
      <c r="L320" s="21">
        <v>4243.51</v>
      </c>
      <c r="M320" s="21">
        <f t="shared" si="5"/>
        <v>2121.7550000000001</v>
      </c>
      <c r="R320" s="5" t="e">
        <f>VLOOKUP(E320,'Inertia Bases 2025'!$A:$H,8,0)</f>
        <v>#N/A</v>
      </c>
      <c r="S320" s="5"/>
      <c r="T320" s="5" t="e">
        <f>VLOOKUP(G320,'Seismic Springs 2025'!$A:$I,9,0)</f>
        <v>#N/A</v>
      </c>
      <c r="U320" s="5" t="e">
        <f t="shared" si="4"/>
        <v>#N/A</v>
      </c>
    </row>
    <row r="321" spans="1:21" ht="12.75">
      <c r="A321" s="7">
        <v>93055718</v>
      </c>
      <c r="B321" s="7" t="s">
        <v>569</v>
      </c>
      <c r="C321" s="7">
        <v>0.75</v>
      </c>
      <c r="D321" s="7">
        <v>4</v>
      </c>
      <c r="E321" s="59"/>
      <c r="L321" s="21">
        <v>3637.97</v>
      </c>
      <c r="M321" s="21">
        <f t="shared" si="5"/>
        <v>1818.9849999999999</v>
      </c>
      <c r="R321" s="5" t="e">
        <f>VLOOKUP(E321,'Inertia Bases 2025'!$A:$H,8,0)</f>
        <v>#N/A</v>
      </c>
      <c r="S321" s="5"/>
      <c r="T321" s="5" t="e">
        <f>VLOOKUP(G321,'Seismic Springs 2025'!$A:$I,9,0)</f>
        <v>#N/A</v>
      </c>
      <c r="U321" s="5" t="e">
        <f t="shared" si="4"/>
        <v>#N/A</v>
      </c>
    </row>
    <row r="322" spans="1:21" ht="12.75">
      <c r="A322" s="7">
        <v>93055719</v>
      </c>
      <c r="B322" s="7" t="s">
        <v>573</v>
      </c>
      <c r="C322" s="7">
        <v>0.55000000000000004</v>
      </c>
      <c r="D322" s="7">
        <v>4</v>
      </c>
      <c r="E322" s="59"/>
      <c r="L322" s="21">
        <v>3591.67</v>
      </c>
      <c r="M322" s="21">
        <f t="shared" si="5"/>
        <v>1795.835</v>
      </c>
      <c r="R322" s="5" t="e">
        <f>VLOOKUP(E322,'Inertia Bases 2025'!$A:$H,8,0)</f>
        <v>#N/A</v>
      </c>
      <c r="S322" s="5"/>
      <c r="T322" s="5" t="e">
        <f>VLOOKUP(G322,'Seismic Springs 2025'!$A:$I,9,0)</f>
        <v>#N/A</v>
      </c>
      <c r="U322" s="5" t="e">
        <f t="shared" si="4"/>
        <v>#N/A</v>
      </c>
    </row>
    <row r="323" spans="1:21" ht="12.75">
      <c r="A323" s="7">
        <v>93055720</v>
      </c>
      <c r="B323" s="7" t="s">
        <v>574</v>
      </c>
      <c r="C323" s="7">
        <v>0.37</v>
      </c>
      <c r="D323" s="7">
        <v>4</v>
      </c>
      <c r="E323" s="59"/>
      <c r="L323" s="21">
        <v>3365.76</v>
      </c>
      <c r="M323" s="21">
        <f t="shared" si="5"/>
        <v>1682.88</v>
      </c>
      <c r="R323" s="5" t="e">
        <f>VLOOKUP(E323,'Inertia Bases 2025'!$A:$H,8,0)</f>
        <v>#N/A</v>
      </c>
      <c r="S323" s="5"/>
      <c r="T323" s="5" t="e">
        <f>VLOOKUP(G323,'Seismic Springs 2025'!$A:$I,9,0)</f>
        <v>#N/A</v>
      </c>
      <c r="U323" s="5" t="e">
        <f t="shared" si="4"/>
        <v>#N/A</v>
      </c>
    </row>
    <row r="324" spans="1:21" ht="12.75">
      <c r="A324" s="7">
        <v>93055721</v>
      </c>
      <c r="B324" s="7" t="s">
        <v>575</v>
      </c>
      <c r="C324" s="7">
        <v>5.5</v>
      </c>
      <c r="D324" s="7">
        <v>2</v>
      </c>
      <c r="E324" s="59"/>
      <c r="L324" s="21">
        <v>4907.82</v>
      </c>
      <c r="M324" s="21">
        <f t="shared" si="5"/>
        <v>2453.91</v>
      </c>
      <c r="R324" s="5" t="e">
        <f>VLOOKUP(E324,'Inertia Bases 2025'!$A:$H,8,0)</f>
        <v>#N/A</v>
      </c>
      <c r="S324" s="5"/>
      <c r="T324" s="5" t="e">
        <f>VLOOKUP(G324,'Seismic Springs 2025'!$A:$I,9,0)</f>
        <v>#N/A</v>
      </c>
      <c r="U324" s="5" t="e">
        <f t="shared" si="4"/>
        <v>#N/A</v>
      </c>
    </row>
    <row r="325" spans="1:21" ht="12.75">
      <c r="A325" s="7">
        <v>93055722</v>
      </c>
      <c r="B325" s="7" t="s">
        <v>576</v>
      </c>
      <c r="C325" s="7">
        <v>4</v>
      </c>
      <c r="D325" s="7">
        <v>2</v>
      </c>
      <c r="E325" s="59"/>
      <c r="L325" s="21">
        <v>4497.58</v>
      </c>
      <c r="M325" s="21">
        <f t="shared" si="5"/>
        <v>2248.79</v>
      </c>
      <c r="R325" s="5" t="e">
        <f>VLOOKUP(E325,'Inertia Bases 2025'!$A:$H,8,0)</f>
        <v>#N/A</v>
      </c>
      <c r="S325" s="5"/>
      <c r="T325" s="5" t="e">
        <f>VLOOKUP(G325,'Seismic Springs 2025'!$A:$I,9,0)</f>
        <v>#N/A</v>
      </c>
      <c r="U325" s="5" t="e">
        <f t="shared" si="4"/>
        <v>#N/A</v>
      </c>
    </row>
    <row r="326" spans="1:21" ht="12.75">
      <c r="A326" s="7">
        <v>93055723</v>
      </c>
      <c r="B326" s="7" t="s">
        <v>577</v>
      </c>
      <c r="C326" s="7">
        <v>3</v>
      </c>
      <c r="D326" s="7">
        <v>2</v>
      </c>
      <c r="E326" s="59"/>
      <c r="L326" s="21">
        <v>4240.21</v>
      </c>
      <c r="M326" s="21">
        <f t="shared" si="5"/>
        <v>2120.105</v>
      </c>
      <c r="R326" s="5" t="e">
        <f>VLOOKUP(E326,'Inertia Bases 2025'!$A:$H,8,0)</f>
        <v>#N/A</v>
      </c>
      <c r="S326" s="5"/>
      <c r="T326" s="5" t="e">
        <f>VLOOKUP(G326,'Seismic Springs 2025'!$A:$I,9,0)</f>
        <v>#N/A</v>
      </c>
      <c r="U326" s="5" t="e">
        <f t="shared" si="4"/>
        <v>#N/A</v>
      </c>
    </row>
    <row r="327" spans="1:21" ht="12.75">
      <c r="A327" s="7">
        <v>93055724</v>
      </c>
      <c r="B327" s="7" t="s">
        <v>578</v>
      </c>
      <c r="C327" s="7">
        <v>2.2000000000000002</v>
      </c>
      <c r="D327" s="7">
        <v>2</v>
      </c>
      <c r="E327" s="59">
        <v>92513065</v>
      </c>
      <c r="F327" s="7" t="s">
        <v>742</v>
      </c>
      <c r="G327" s="7">
        <v>92932673</v>
      </c>
      <c r="H327" s="7" t="s">
        <v>741</v>
      </c>
      <c r="K327" s="7">
        <v>4</v>
      </c>
      <c r="L327" s="21">
        <v>3906.16</v>
      </c>
      <c r="M327" s="21">
        <f t="shared" si="5"/>
        <v>1953.08</v>
      </c>
      <c r="R327" s="5">
        <f>VLOOKUP(E327,'Inertia Bases 2025'!$A:$H,8,0)</f>
        <v>610.6</v>
      </c>
      <c r="S327" s="5"/>
      <c r="T327" s="5">
        <f>VLOOKUP(G327,'Seismic Springs 2025'!$A:$I,9,0)</f>
        <v>66.3</v>
      </c>
      <c r="U327" s="5">
        <f t="shared" si="4"/>
        <v>265.2</v>
      </c>
    </row>
    <row r="328" spans="1:21" ht="12.75">
      <c r="A328" s="7">
        <v>93055725</v>
      </c>
      <c r="B328" s="7" t="s">
        <v>579</v>
      </c>
      <c r="C328" s="7">
        <v>1.5</v>
      </c>
      <c r="D328" s="7">
        <v>2</v>
      </c>
      <c r="E328" s="59"/>
      <c r="L328" s="21">
        <v>3836.47</v>
      </c>
      <c r="M328" s="21">
        <f t="shared" si="5"/>
        <v>1918.2349999999999</v>
      </c>
      <c r="R328" s="5" t="e">
        <f>VLOOKUP(E328,'Inertia Bases 2025'!$A:$H,8,0)</f>
        <v>#N/A</v>
      </c>
      <c r="S328" s="5"/>
      <c r="T328" s="5" t="e">
        <f>VLOOKUP(G328,'Seismic Springs 2025'!$A:$I,9,0)</f>
        <v>#N/A</v>
      </c>
      <c r="U328" s="5" t="e">
        <f t="shared" si="4"/>
        <v>#N/A</v>
      </c>
    </row>
    <row r="329" spans="1:21" ht="12.75">
      <c r="A329" s="7">
        <v>93055726</v>
      </c>
      <c r="B329" s="7" t="s">
        <v>575</v>
      </c>
      <c r="C329" s="7">
        <v>0.55000000000000004</v>
      </c>
      <c r="D329" s="7">
        <v>4</v>
      </c>
      <c r="E329" s="59"/>
      <c r="L329" s="21">
        <v>3531.99</v>
      </c>
      <c r="M329" s="21">
        <f t="shared" si="5"/>
        <v>1765.9949999999999</v>
      </c>
      <c r="R329" s="5" t="e">
        <f>VLOOKUP(E329,'Inertia Bases 2025'!$A:$H,8,0)</f>
        <v>#N/A</v>
      </c>
      <c r="S329" s="5"/>
      <c r="T329" s="5" t="e">
        <f>VLOOKUP(G329,'Seismic Springs 2025'!$A:$I,9,0)</f>
        <v>#N/A</v>
      </c>
      <c r="U329" s="5" t="e">
        <f t="shared" si="4"/>
        <v>#N/A</v>
      </c>
    </row>
    <row r="330" spans="1:21" ht="12.75">
      <c r="A330" s="7">
        <v>93055727</v>
      </c>
      <c r="B330" s="7" t="s">
        <v>580</v>
      </c>
      <c r="C330" s="7">
        <v>0.37</v>
      </c>
      <c r="D330" s="7">
        <v>4</v>
      </c>
      <c r="E330" s="59"/>
      <c r="L330" s="21">
        <v>3306.07</v>
      </c>
      <c r="M330" s="21">
        <f t="shared" si="5"/>
        <v>1653.0350000000001</v>
      </c>
      <c r="R330" s="5" t="e">
        <f>VLOOKUP(E330,'Inertia Bases 2025'!$A:$H,8,0)</f>
        <v>#N/A</v>
      </c>
      <c r="S330" s="5"/>
      <c r="T330" s="5" t="e">
        <f>VLOOKUP(G330,'Seismic Springs 2025'!$A:$I,9,0)</f>
        <v>#N/A</v>
      </c>
      <c r="U330" s="5" t="e">
        <f t="shared" si="4"/>
        <v>#N/A</v>
      </c>
    </row>
    <row r="331" spans="1:21" ht="12.75">
      <c r="A331" s="7">
        <v>93055728</v>
      </c>
      <c r="B331" s="7" t="s">
        <v>578</v>
      </c>
      <c r="C331" s="7">
        <v>0.25</v>
      </c>
      <c r="D331" s="7">
        <v>4</v>
      </c>
      <c r="E331" s="59"/>
      <c r="L331" s="21">
        <v>3272.91</v>
      </c>
      <c r="M331" s="21">
        <f t="shared" si="5"/>
        <v>1636.4549999999999</v>
      </c>
      <c r="R331" s="5" t="e">
        <f>VLOOKUP(E331,'Inertia Bases 2025'!$A:$H,8,0)</f>
        <v>#N/A</v>
      </c>
      <c r="S331" s="5"/>
      <c r="T331" s="5" t="e">
        <f>VLOOKUP(G331,'Seismic Springs 2025'!$A:$I,9,0)</f>
        <v>#N/A</v>
      </c>
      <c r="U331" s="5" t="e">
        <f t="shared" si="4"/>
        <v>#N/A</v>
      </c>
    </row>
    <row r="332" spans="1:21" ht="12.75">
      <c r="A332" s="7">
        <v>93055729</v>
      </c>
      <c r="B332" s="7" t="s">
        <v>581</v>
      </c>
      <c r="C332" s="7">
        <v>7.5</v>
      </c>
      <c r="D332" s="7">
        <v>2</v>
      </c>
      <c r="E332" s="59"/>
      <c r="L332" s="21">
        <v>5503.88</v>
      </c>
      <c r="M332" s="21">
        <f t="shared" si="5"/>
        <v>2751.94</v>
      </c>
      <c r="R332" s="5" t="e">
        <f>VLOOKUP(E332,'Inertia Bases 2025'!$A:$H,8,0)</f>
        <v>#N/A</v>
      </c>
      <c r="S332" s="5"/>
      <c r="T332" s="5" t="e">
        <f>VLOOKUP(G332,'Seismic Springs 2025'!$A:$I,9,0)</f>
        <v>#N/A</v>
      </c>
      <c r="U332" s="5" t="e">
        <f t="shared" si="4"/>
        <v>#N/A</v>
      </c>
    </row>
    <row r="333" spans="1:21" ht="12.75">
      <c r="A333" s="7">
        <v>93055730</v>
      </c>
      <c r="B333" s="7" t="s">
        <v>582</v>
      </c>
      <c r="C333" s="7">
        <v>5.5</v>
      </c>
      <c r="D333" s="7">
        <v>2</v>
      </c>
      <c r="E333" s="59"/>
      <c r="L333" s="21">
        <v>5090.21</v>
      </c>
      <c r="M333" s="21">
        <f t="shared" si="5"/>
        <v>2545.105</v>
      </c>
      <c r="R333" s="5" t="e">
        <f>VLOOKUP(E333,'Inertia Bases 2025'!$A:$H,8,0)</f>
        <v>#N/A</v>
      </c>
      <c r="S333" s="5"/>
      <c r="T333" s="5" t="e">
        <f>VLOOKUP(G333,'Seismic Springs 2025'!$A:$I,9,0)</f>
        <v>#N/A</v>
      </c>
      <c r="U333" s="5" t="e">
        <f t="shared" si="4"/>
        <v>#N/A</v>
      </c>
    </row>
    <row r="334" spans="1:21" ht="12.75">
      <c r="A334" s="7">
        <v>93055731</v>
      </c>
      <c r="B334" s="7" t="s">
        <v>583</v>
      </c>
      <c r="C334" s="7">
        <v>4</v>
      </c>
      <c r="D334" s="7">
        <v>2</v>
      </c>
      <c r="E334" s="59"/>
      <c r="L334" s="21">
        <v>4666.71</v>
      </c>
      <c r="M334" s="21">
        <f t="shared" si="5"/>
        <v>2333.355</v>
      </c>
      <c r="R334" s="5" t="e">
        <f>VLOOKUP(E334,'Inertia Bases 2025'!$A:$H,8,0)</f>
        <v>#N/A</v>
      </c>
      <c r="S334" s="5"/>
      <c r="T334" s="5" t="e">
        <f>VLOOKUP(G334,'Seismic Springs 2025'!$A:$I,9,0)</f>
        <v>#N/A</v>
      </c>
      <c r="U334" s="5" t="e">
        <f t="shared" si="4"/>
        <v>#N/A</v>
      </c>
    </row>
    <row r="335" spans="1:21" ht="12.75">
      <c r="A335" s="7">
        <v>93055732</v>
      </c>
      <c r="B335" s="7" t="s">
        <v>584</v>
      </c>
      <c r="C335" s="7">
        <v>3</v>
      </c>
      <c r="D335" s="7">
        <v>2</v>
      </c>
      <c r="E335" s="59"/>
      <c r="L335" s="21">
        <v>4402.71</v>
      </c>
      <c r="M335" s="21">
        <f t="shared" si="5"/>
        <v>2201.355</v>
      </c>
      <c r="R335" s="5" t="e">
        <f>VLOOKUP(E335,'Inertia Bases 2025'!$A:$H,8,0)</f>
        <v>#N/A</v>
      </c>
      <c r="S335" s="5"/>
      <c r="T335" s="5" t="e">
        <f>VLOOKUP(G335,'Seismic Springs 2025'!$A:$I,9,0)</f>
        <v>#N/A</v>
      </c>
      <c r="U335" s="5" t="e">
        <f t="shared" si="4"/>
        <v>#N/A</v>
      </c>
    </row>
    <row r="336" spans="1:21" ht="12.75">
      <c r="A336" s="7">
        <v>93055733</v>
      </c>
      <c r="B336" s="7" t="s">
        <v>581</v>
      </c>
      <c r="C336" s="7">
        <v>1.1000000000000001</v>
      </c>
      <c r="D336" s="7">
        <v>4</v>
      </c>
      <c r="E336" s="59"/>
      <c r="L336" s="21">
        <v>3826.74</v>
      </c>
      <c r="M336" s="21">
        <f t="shared" si="5"/>
        <v>1913.37</v>
      </c>
      <c r="R336" s="5" t="e">
        <f>VLOOKUP(E336,'Inertia Bases 2025'!$A:$H,8,0)</f>
        <v>#N/A</v>
      </c>
      <c r="S336" s="5"/>
      <c r="T336" s="5" t="e">
        <f>VLOOKUP(G336,'Seismic Springs 2025'!$A:$I,9,0)</f>
        <v>#N/A</v>
      </c>
      <c r="U336" s="5" t="e">
        <f t="shared" si="4"/>
        <v>#N/A</v>
      </c>
    </row>
    <row r="337" spans="1:21" ht="12.75">
      <c r="A337" s="7">
        <v>93055734</v>
      </c>
      <c r="B337" s="7" t="s">
        <v>585</v>
      </c>
      <c r="C337" s="7">
        <v>0.75</v>
      </c>
      <c r="D337" s="7">
        <v>4</v>
      </c>
      <c r="E337" s="59"/>
      <c r="L337" s="21">
        <v>3710.92</v>
      </c>
      <c r="M337" s="21">
        <f t="shared" si="5"/>
        <v>1855.46</v>
      </c>
      <c r="R337" s="5" t="e">
        <f>VLOOKUP(E337,'Inertia Bases 2025'!$A:$H,8,0)</f>
        <v>#N/A</v>
      </c>
      <c r="S337" s="5"/>
      <c r="T337" s="5" t="e">
        <f>VLOOKUP(G337,'Seismic Springs 2025'!$A:$I,9,0)</f>
        <v>#N/A</v>
      </c>
      <c r="U337" s="5" t="e">
        <f t="shared" si="4"/>
        <v>#N/A</v>
      </c>
    </row>
    <row r="338" spans="1:21" ht="12.75">
      <c r="A338" s="7">
        <v>93055735</v>
      </c>
      <c r="B338" s="7" t="s">
        <v>586</v>
      </c>
      <c r="C338" s="7">
        <v>0.55000000000000004</v>
      </c>
      <c r="D338" s="7">
        <v>4</v>
      </c>
      <c r="E338" s="59"/>
      <c r="L338" s="21">
        <v>3641.43</v>
      </c>
      <c r="M338" s="21">
        <f t="shared" si="5"/>
        <v>1820.7149999999999</v>
      </c>
      <c r="R338" s="5" t="e">
        <f>VLOOKUP(E338,'Inertia Bases 2025'!$A:$H,8,0)</f>
        <v>#N/A</v>
      </c>
      <c r="S338" s="5"/>
      <c r="T338" s="5" t="e">
        <f>VLOOKUP(G338,'Seismic Springs 2025'!$A:$I,9,0)</f>
        <v>#N/A</v>
      </c>
      <c r="U338" s="5" t="e">
        <f t="shared" si="4"/>
        <v>#N/A</v>
      </c>
    </row>
    <row r="339" spans="1:21" ht="12.75">
      <c r="A339" s="7">
        <v>93055736</v>
      </c>
      <c r="B339" s="7" t="s">
        <v>584</v>
      </c>
      <c r="C339" s="7">
        <v>0.37</v>
      </c>
      <c r="D339" s="7">
        <v>4</v>
      </c>
      <c r="E339" s="59"/>
      <c r="L339" s="21">
        <v>3415.52</v>
      </c>
      <c r="M339" s="21">
        <f t="shared" si="5"/>
        <v>1707.76</v>
      </c>
      <c r="R339" s="5" t="e">
        <f>VLOOKUP(E339,'Inertia Bases 2025'!$A:$H,8,0)</f>
        <v>#N/A</v>
      </c>
      <c r="S339" s="5"/>
      <c r="T339" s="5" t="e">
        <f>VLOOKUP(G339,'Seismic Springs 2025'!$A:$I,9,0)</f>
        <v>#N/A</v>
      </c>
      <c r="U339" s="5" t="e">
        <f t="shared" si="4"/>
        <v>#N/A</v>
      </c>
    </row>
    <row r="340" spans="1:21" ht="12.75">
      <c r="A340" s="7">
        <v>93055737</v>
      </c>
      <c r="B340" s="7" t="s">
        <v>587</v>
      </c>
      <c r="C340" s="7">
        <v>11</v>
      </c>
      <c r="D340" s="7">
        <v>2</v>
      </c>
      <c r="E340" s="59"/>
      <c r="L340" s="21">
        <v>6916.44</v>
      </c>
      <c r="M340" s="21">
        <f t="shared" si="5"/>
        <v>3458.22</v>
      </c>
      <c r="R340" s="5" t="e">
        <f>VLOOKUP(E340,'Inertia Bases 2025'!$A:$H,8,0)</f>
        <v>#N/A</v>
      </c>
      <c r="S340" s="5"/>
      <c r="T340" s="5" t="e">
        <f>VLOOKUP(G340,'Seismic Springs 2025'!$A:$I,9,0)</f>
        <v>#N/A</v>
      </c>
      <c r="U340" s="5" t="e">
        <f t="shared" si="4"/>
        <v>#N/A</v>
      </c>
    </row>
    <row r="341" spans="1:21" ht="12.75">
      <c r="A341" s="7">
        <v>93055738</v>
      </c>
      <c r="B341" s="7" t="s">
        <v>588</v>
      </c>
      <c r="C341" s="7">
        <v>7.5</v>
      </c>
      <c r="D341" s="7">
        <v>2</v>
      </c>
      <c r="E341" s="59"/>
      <c r="L341" s="21">
        <v>5908.43</v>
      </c>
      <c r="M341" s="21">
        <f t="shared" si="5"/>
        <v>2954.2150000000001</v>
      </c>
      <c r="R341" s="5" t="e">
        <f>VLOOKUP(E341,'Inertia Bases 2025'!$A:$H,8,0)</f>
        <v>#N/A</v>
      </c>
      <c r="S341" s="5"/>
      <c r="T341" s="5" t="e">
        <f>VLOOKUP(G341,'Seismic Springs 2025'!$A:$I,9,0)</f>
        <v>#N/A</v>
      </c>
      <c r="U341" s="5" t="e">
        <f t="shared" si="4"/>
        <v>#N/A</v>
      </c>
    </row>
    <row r="342" spans="1:21" ht="12.75">
      <c r="A342" s="7">
        <v>93055739</v>
      </c>
      <c r="B342" s="7" t="s">
        <v>589</v>
      </c>
      <c r="C342" s="7">
        <v>5.5</v>
      </c>
      <c r="D342" s="7">
        <v>2</v>
      </c>
      <c r="E342" s="59"/>
      <c r="L342" s="21">
        <v>5464.91</v>
      </c>
      <c r="M342" s="21">
        <f t="shared" si="5"/>
        <v>2732.4549999999999</v>
      </c>
      <c r="R342" s="5" t="e">
        <f>VLOOKUP(E342,'Inertia Bases 2025'!$A:$H,8,0)</f>
        <v>#N/A</v>
      </c>
      <c r="S342" s="5"/>
      <c r="T342" s="5" t="e">
        <f>VLOOKUP(G342,'Seismic Springs 2025'!$A:$I,9,0)</f>
        <v>#N/A</v>
      </c>
      <c r="U342" s="5" t="e">
        <f t="shared" si="4"/>
        <v>#N/A</v>
      </c>
    </row>
    <row r="343" spans="1:21" ht="12.75">
      <c r="A343" s="7">
        <v>93055740</v>
      </c>
      <c r="B343" s="7" t="s">
        <v>590</v>
      </c>
      <c r="C343" s="7">
        <v>4</v>
      </c>
      <c r="D343" s="7">
        <v>2</v>
      </c>
      <c r="E343" s="59"/>
      <c r="L343" s="21">
        <v>5014.88</v>
      </c>
      <c r="M343" s="21">
        <f t="shared" si="5"/>
        <v>2507.44</v>
      </c>
      <c r="R343" s="5" t="e">
        <f>VLOOKUP(E343,'Inertia Bases 2025'!$A:$H,8,0)</f>
        <v>#N/A</v>
      </c>
      <c r="S343" s="5"/>
      <c r="T343" s="5" t="e">
        <f>VLOOKUP(G343,'Seismic Springs 2025'!$A:$I,9,0)</f>
        <v>#N/A</v>
      </c>
      <c r="U343" s="5" t="e">
        <f t="shared" si="4"/>
        <v>#N/A</v>
      </c>
    </row>
    <row r="344" spans="1:21" ht="12.75">
      <c r="A344" s="7">
        <v>93055741</v>
      </c>
      <c r="B344" s="7" t="s">
        <v>591</v>
      </c>
      <c r="C344" s="7">
        <v>1.1000000000000001</v>
      </c>
      <c r="D344" s="7">
        <v>4</v>
      </c>
      <c r="E344" s="59"/>
      <c r="L344" s="21">
        <v>3962.67</v>
      </c>
      <c r="M344" s="21">
        <f t="shared" si="5"/>
        <v>1981.335</v>
      </c>
      <c r="R344" s="5" t="e">
        <f>VLOOKUP(E344,'Inertia Bases 2025'!$A:$H,8,0)</f>
        <v>#N/A</v>
      </c>
      <c r="S344" s="5"/>
      <c r="T344" s="5" t="e">
        <f>VLOOKUP(G344,'Seismic Springs 2025'!$A:$I,9,0)</f>
        <v>#N/A</v>
      </c>
      <c r="U344" s="5" t="e">
        <f t="shared" si="4"/>
        <v>#N/A</v>
      </c>
    </row>
    <row r="345" spans="1:21" ht="12.75">
      <c r="A345" s="7">
        <v>93055742</v>
      </c>
      <c r="B345" s="7" t="s">
        <v>592</v>
      </c>
      <c r="C345" s="7">
        <v>0.75</v>
      </c>
      <c r="D345" s="7">
        <v>4</v>
      </c>
      <c r="E345" s="59"/>
      <c r="L345" s="21">
        <v>3843.56</v>
      </c>
      <c r="M345" s="21">
        <f t="shared" si="5"/>
        <v>1921.78</v>
      </c>
      <c r="R345" s="5" t="e">
        <f>VLOOKUP(E345,'Inertia Bases 2025'!$A:$H,8,0)</f>
        <v>#N/A</v>
      </c>
      <c r="S345" s="5"/>
      <c r="T345" s="5" t="e">
        <f>VLOOKUP(G345,'Seismic Springs 2025'!$A:$I,9,0)</f>
        <v>#N/A</v>
      </c>
      <c r="U345" s="5" t="e">
        <f t="shared" si="4"/>
        <v>#N/A</v>
      </c>
    </row>
    <row r="346" spans="1:21" ht="12.75">
      <c r="A346" s="7">
        <v>93055743</v>
      </c>
      <c r="B346" s="7" t="s">
        <v>593</v>
      </c>
      <c r="C346" s="7">
        <v>0.55000000000000004</v>
      </c>
      <c r="D346" s="7">
        <v>4</v>
      </c>
      <c r="E346" s="59"/>
      <c r="L346" s="21">
        <v>3774.07</v>
      </c>
      <c r="M346" s="21">
        <f t="shared" si="5"/>
        <v>1887.0350000000001</v>
      </c>
      <c r="R346" s="5" t="e">
        <f>VLOOKUP(E346,'Inertia Bases 2025'!$A:$H,8,0)</f>
        <v>#N/A</v>
      </c>
      <c r="S346" s="5"/>
      <c r="T346" s="5" t="e">
        <f>VLOOKUP(G346,'Seismic Springs 2025'!$A:$I,9,0)</f>
        <v>#N/A</v>
      </c>
      <c r="U346" s="5" t="e">
        <f t="shared" si="4"/>
        <v>#N/A</v>
      </c>
    </row>
    <row r="347" spans="1:21" ht="12.75">
      <c r="A347" s="7">
        <v>93055744</v>
      </c>
      <c r="B347" s="7" t="s">
        <v>337</v>
      </c>
      <c r="C347" s="7">
        <v>37</v>
      </c>
      <c r="D347" s="7">
        <v>2</v>
      </c>
      <c r="E347" s="59"/>
      <c r="L347" s="21">
        <v>12426.79</v>
      </c>
      <c r="M347" s="21">
        <f t="shared" si="5"/>
        <v>6213.3950000000004</v>
      </c>
      <c r="R347" s="5" t="e">
        <f>VLOOKUP(E347,'Inertia Bases 2025'!$A:$H,8,0)</f>
        <v>#N/A</v>
      </c>
      <c r="S347" s="5"/>
      <c r="T347" s="5" t="e">
        <f>VLOOKUP(G347,'Seismic Springs 2025'!$A:$I,9,0)</f>
        <v>#N/A</v>
      </c>
      <c r="U347" s="5" t="e">
        <f t="shared" si="4"/>
        <v>#N/A</v>
      </c>
    </row>
    <row r="348" spans="1:21" ht="12.75">
      <c r="A348" s="7">
        <v>93055746</v>
      </c>
      <c r="B348" s="7" t="s">
        <v>594</v>
      </c>
      <c r="C348" s="7">
        <v>30</v>
      </c>
      <c r="D348" s="7">
        <v>2</v>
      </c>
      <c r="E348" s="59"/>
      <c r="L348" s="21">
        <v>11777.21</v>
      </c>
      <c r="M348" s="21">
        <f t="shared" si="5"/>
        <v>5888.6049999999996</v>
      </c>
      <c r="R348" s="5" t="e">
        <f>VLOOKUP(E348,'Inertia Bases 2025'!$A:$H,8,0)</f>
        <v>#N/A</v>
      </c>
      <c r="S348" s="5"/>
      <c r="T348" s="5" t="e">
        <f>VLOOKUP(G348,'Seismic Springs 2025'!$A:$I,9,0)</f>
        <v>#N/A</v>
      </c>
      <c r="U348" s="5" t="e">
        <f t="shared" si="4"/>
        <v>#N/A</v>
      </c>
    </row>
    <row r="349" spans="1:21" ht="12.75">
      <c r="A349" s="7">
        <v>93055747</v>
      </c>
      <c r="B349" s="7" t="s">
        <v>595</v>
      </c>
      <c r="C349" s="7">
        <v>22</v>
      </c>
      <c r="D349" s="7">
        <v>2</v>
      </c>
      <c r="E349" s="59"/>
      <c r="L349" s="21">
        <v>9776.14</v>
      </c>
      <c r="M349" s="21">
        <f t="shared" si="5"/>
        <v>4888.07</v>
      </c>
      <c r="R349" s="5" t="e">
        <f>VLOOKUP(E349,'Inertia Bases 2025'!$A:$H,8,0)</f>
        <v>#N/A</v>
      </c>
      <c r="S349" s="5"/>
      <c r="T349" s="5" t="e">
        <f>VLOOKUP(G349,'Seismic Springs 2025'!$A:$I,9,0)</f>
        <v>#N/A</v>
      </c>
      <c r="U349" s="5" t="e">
        <f t="shared" si="4"/>
        <v>#N/A</v>
      </c>
    </row>
    <row r="350" spans="1:21" ht="12.75">
      <c r="A350" s="7">
        <v>93055748</v>
      </c>
      <c r="B350" s="7" t="s">
        <v>596</v>
      </c>
      <c r="C350" s="7">
        <v>18.5</v>
      </c>
      <c r="D350" s="7">
        <v>2</v>
      </c>
      <c r="E350" s="59"/>
      <c r="L350" s="21">
        <v>9380.9</v>
      </c>
      <c r="M350" s="21">
        <f t="shared" si="5"/>
        <v>4690.45</v>
      </c>
      <c r="R350" s="5" t="e">
        <f>VLOOKUP(E350,'Inertia Bases 2025'!$A:$H,8,0)</f>
        <v>#N/A</v>
      </c>
      <c r="S350" s="5"/>
      <c r="T350" s="5" t="e">
        <f>VLOOKUP(G350,'Seismic Springs 2025'!$A:$I,9,0)</f>
        <v>#N/A</v>
      </c>
      <c r="U350" s="5" t="e">
        <f t="shared" si="4"/>
        <v>#N/A</v>
      </c>
    </row>
    <row r="351" spans="1:21" ht="12.75">
      <c r="A351" s="7">
        <v>93055749</v>
      </c>
      <c r="B351" s="7" t="s">
        <v>597</v>
      </c>
      <c r="C351" s="7">
        <v>15</v>
      </c>
      <c r="D351" s="7">
        <v>2</v>
      </c>
      <c r="E351" s="59"/>
      <c r="L351" s="21">
        <v>8211.15</v>
      </c>
      <c r="M351" s="21">
        <f t="shared" si="5"/>
        <v>4105.5749999999998</v>
      </c>
      <c r="R351" s="5" t="e">
        <f>VLOOKUP(E351,'Inertia Bases 2025'!$A:$H,8,0)</f>
        <v>#N/A</v>
      </c>
      <c r="S351" s="5"/>
      <c r="T351" s="5" t="e">
        <f>VLOOKUP(G351,'Seismic Springs 2025'!$A:$I,9,0)</f>
        <v>#N/A</v>
      </c>
      <c r="U351" s="5" t="e">
        <f t="shared" si="4"/>
        <v>#N/A</v>
      </c>
    </row>
    <row r="352" spans="1:21" ht="12.75">
      <c r="A352" s="7">
        <v>93055750</v>
      </c>
      <c r="B352" s="7" t="s">
        <v>598</v>
      </c>
      <c r="C352" s="7">
        <v>90</v>
      </c>
      <c r="D352" s="7">
        <v>4</v>
      </c>
      <c r="E352" s="59"/>
      <c r="L352" s="21">
        <v>35214.050000000003</v>
      </c>
      <c r="M352" s="21">
        <f t="shared" si="5"/>
        <v>17607.025000000001</v>
      </c>
      <c r="R352" s="5" t="e">
        <f>VLOOKUP(E352,'Inertia Bases 2025'!$A:$H,8,0)</f>
        <v>#N/A</v>
      </c>
      <c r="S352" s="5"/>
      <c r="T352" s="5" t="e">
        <f>VLOOKUP(G352,'Seismic Springs 2025'!$A:$I,9,0)</f>
        <v>#N/A</v>
      </c>
      <c r="U352" s="5" t="e">
        <f t="shared" si="4"/>
        <v>#N/A</v>
      </c>
    </row>
    <row r="353" spans="1:21" ht="12.75">
      <c r="A353" s="7">
        <v>93055751</v>
      </c>
      <c r="B353" s="7" t="s">
        <v>599</v>
      </c>
      <c r="C353" s="7">
        <v>75</v>
      </c>
      <c r="D353" s="7">
        <v>4</v>
      </c>
      <c r="E353" s="59"/>
      <c r="L353" s="21">
        <v>33883.17</v>
      </c>
      <c r="M353" s="21">
        <f t="shared" si="5"/>
        <v>16941.584999999999</v>
      </c>
      <c r="R353" s="5" t="e">
        <f>VLOOKUP(E353,'Inertia Bases 2025'!$A:$H,8,0)</f>
        <v>#N/A</v>
      </c>
      <c r="S353" s="5"/>
      <c r="T353" s="5" t="e">
        <f>VLOOKUP(G353,'Seismic Springs 2025'!$A:$I,9,0)</f>
        <v>#N/A</v>
      </c>
      <c r="U353" s="5" t="e">
        <f t="shared" si="4"/>
        <v>#N/A</v>
      </c>
    </row>
    <row r="354" spans="1:21" ht="12.75">
      <c r="A354" s="7">
        <v>93055752</v>
      </c>
      <c r="B354" s="7" t="s">
        <v>600</v>
      </c>
      <c r="C354" s="7">
        <v>55</v>
      </c>
      <c r="D354" s="7">
        <v>4</v>
      </c>
      <c r="E354" s="59" t="s">
        <v>720</v>
      </c>
      <c r="F354" s="7" t="s">
        <v>768</v>
      </c>
      <c r="G354" s="22">
        <v>91338021</v>
      </c>
      <c r="H354" s="22" t="s">
        <v>718</v>
      </c>
      <c r="K354" s="7">
        <v>6</v>
      </c>
      <c r="L354" s="21">
        <v>31288.71</v>
      </c>
      <c r="M354" s="21">
        <f t="shared" si="5"/>
        <v>15644.355</v>
      </c>
      <c r="R354" s="5">
        <v>1550</v>
      </c>
      <c r="S354" s="5"/>
      <c r="T354" s="5">
        <f>VLOOKUP(G354,'Seismic Springs 2025'!$A:$I,9,0)</f>
        <v>170.3</v>
      </c>
      <c r="U354" s="5">
        <f t="shared" si="4"/>
        <v>1021.8000000000001</v>
      </c>
    </row>
    <row r="355" spans="1:21" ht="12.75">
      <c r="A355" s="7">
        <v>93055753</v>
      </c>
      <c r="B355" s="7" t="s">
        <v>601</v>
      </c>
      <c r="C355" s="7">
        <v>45</v>
      </c>
      <c r="D355" s="7">
        <v>4</v>
      </c>
      <c r="E355" s="59"/>
      <c r="L355" s="21">
        <v>29233.48</v>
      </c>
      <c r="M355" s="21">
        <f t="shared" si="5"/>
        <v>14616.74</v>
      </c>
      <c r="R355" s="5" t="e">
        <f>VLOOKUP(E355,'Inertia Bases 2025'!$A:$H,8,0)</f>
        <v>#N/A</v>
      </c>
      <c r="S355" s="5"/>
      <c r="T355" s="5" t="e">
        <f>VLOOKUP(G355,'Seismic Springs 2025'!$A:$I,9,0)</f>
        <v>#N/A</v>
      </c>
      <c r="U355" s="5" t="e">
        <f t="shared" si="4"/>
        <v>#N/A</v>
      </c>
    </row>
    <row r="356" spans="1:21" ht="12.75">
      <c r="A356" s="7">
        <v>93055754</v>
      </c>
      <c r="B356" s="7" t="s">
        <v>602</v>
      </c>
      <c r="C356" s="7">
        <v>37</v>
      </c>
      <c r="D356" s="7">
        <v>4</v>
      </c>
      <c r="E356" s="59"/>
      <c r="L356" s="21">
        <v>28139.03</v>
      </c>
      <c r="M356" s="21">
        <f t="shared" si="5"/>
        <v>14069.514999999999</v>
      </c>
      <c r="R356" s="5" t="e">
        <f>VLOOKUP(E356,'Inertia Bases 2025'!$A:$H,8,0)</f>
        <v>#N/A</v>
      </c>
      <c r="S356" s="5"/>
      <c r="T356" s="5" t="e">
        <f>VLOOKUP(G356,'Seismic Springs 2025'!$A:$I,9,0)</f>
        <v>#N/A</v>
      </c>
      <c r="U356" s="5" t="e">
        <f t="shared" si="4"/>
        <v>#N/A</v>
      </c>
    </row>
    <row r="357" spans="1:21" ht="12.75">
      <c r="A357" s="7">
        <v>93055755</v>
      </c>
      <c r="B357" s="7" t="s">
        <v>598</v>
      </c>
      <c r="C357" s="7">
        <v>30</v>
      </c>
      <c r="D357" s="7">
        <v>6</v>
      </c>
      <c r="E357" s="59"/>
      <c r="L357" s="21">
        <v>28730.23</v>
      </c>
      <c r="M357" s="21">
        <f t="shared" si="5"/>
        <v>14365.115</v>
      </c>
      <c r="R357" s="5" t="e">
        <f>VLOOKUP(E357,'Inertia Bases 2025'!$A:$H,8,0)</f>
        <v>#N/A</v>
      </c>
      <c r="S357" s="5"/>
      <c r="T357" s="5" t="e">
        <f>VLOOKUP(G357,'Seismic Springs 2025'!$A:$I,9,0)</f>
        <v>#N/A</v>
      </c>
      <c r="U357" s="5" t="e">
        <f t="shared" si="4"/>
        <v>#N/A</v>
      </c>
    </row>
    <row r="358" spans="1:21" ht="12.75">
      <c r="A358" s="7">
        <v>93055756</v>
      </c>
      <c r="B358" s="7" t="s">
        <v>603</v>
      </c>
      <c r="C358" s="7">
        <v>22</v>
      </c>
      <c r="D358" s="7">
        <v>6</v>
      </c>
      <c r="E358" s="59"/>
      <c r="L358" s="21">
        <v>26292.2</v>
      </c>
      <c r="M358" s="21">
        <f t="shared" si="5"/>
        <v>13146.1</v>
      </c>
      <c r="R358" s="5" t="e">
        <f>VLOOKUP(E358,'Inertia Bases 2025'!$A:$H,8,0)</f>
        <v>#N/A</v>
      </c>
      <c r="S358" s="5"/>
      <c r="T358" s="5" t="e">
        <f>VLOOKUP(G358,'Seismic Springs 2025'!$A:$I,9,0)</f>
        <v>#N/A</v>
      </c>
      <c r="U358" s="5" t="e">
        <f t="shared" si="4"/>
        <v>#N/A</v>
      </c>
    </row>
    <row r="359" spans="1:21" ht="12.75">
      <c r="A359" s="7">
        <v>93055757</v>
      </c>
      <c r="B359" s="7" t="s">
        <v>604</v>
      </c>
      <c r="C359" s="7">
        <v>18.5</v>
      </c>
      <c r="D359" s="7">
        <v>6</v>
      </c>
      <c r="E359" s="59"/>
      <c r="L359" s="21">
        <v>25980.85</v>
      </c>
      <c r="M359" s="21">
        <f t="shared" si="5"/>
        <v>12990.424999999999</v>
      </c>
      <c r="R359" s="5" t="e">
        <f>VLOOKUP(E359,'Inertia Bases 2025'!$A:$H,8,0)</f>
        <v>#N/A</v>
      </c>
      <c r="S359" s="5"/>
      <c r="T359" s="5" t="e">
        <f>VLOOKUP(G359,'Seismic Springs 2025'!$A:$I,9,0)</f>
        <v>#N/A</v>
      </c>
      <c r="U359" s="5" t="e">
        <f t="shared" si="4"/>
        <v>#N/A</v>
      </c>
    </row>
    <row r="360" spans="1:21" ht="12.75">
      <c r="A360" s="7">
        <v>93055758</v>
      </c>
      <c r="B360" s="7" t="s">
        <v>605</v>
      </c>
      <c r="C360" s="7">
        <v>15</v>
      </c>
      <c r="D360" s="7">
        <v>6</v>
      </c>
      <c r="E360" s="59"/>
      <c r="L360" s="21">
        <v>24962.53</v>
      </c>
      <c r="M360" s="21">
        <f t="shared" si="5"/>
        <v>12481.264999999999</v>
      </c>
      <c r="R360" s="5" t="e">
        <f>VLOOKUP(E360,'Inertia Bases 2025'!$A:$H,8,0)</f>
        <v>#N/A</v>
      </c>
      <c r="S360" s="5"/>
      <c r="T360" s="5" t="e">
        <f>VLOOKUP(G360,'Seismic Springs 2025'!$A:$I,9,0)</f>
        <v>#N/A</v>
      </c>
      <c r="U360" s="5" t="e">
        <f t="shared" si="4"/>
        <v>#N/A</v>
      </c>
    </row>
    <row r="361" spans="1:21" ht="12.75">
      <c r="A361" s="7">
        <v>93055759</v>
      </c>
      <c r="B361" s="7" t="s">
        <v>606</v>
      </c>
      <c r="C361" s="7">
        <v>11</v>
      </c>
      <c r="D361" s="7">
        <v>6</v>
      </c>
      <c r="E361" s="59"/>
      <c r="L361" s="21">
        <v>23905.72</v>
      </c>
      <c r="M361" s="21">
        <f t="shared" si="5"/>
        <v>11952.86</v>
      </c>
      <c r="R361" s="5" t="e">
        <f>VLOOKUP(E361,'Inertia Bases 2025'!$A:$H,8,0)</f>
        <v>#N/A</v>
      </c>
      <c r="S361" s="5"/>
      <c r="T361" s="5" t="e">
        <f>VLOOKUP(G361,'Seismic Springs 2025'!$A:$I,9,0)</f>
        <v>#N/A</v>
      </c>
      <c r="U361" s="5" t="e">
        <f t="shared" si="4"/>
        <v>#N/A</v>
      </c>
    </row>
    <row r="362" spans="1:21" ht="12.75">
      <c r="A362" s="7">
        <v>93055760</v>
      </c>
      <c r="B362" s="7" t="s">
        <v>607</v>
      </c>
      <c r="C362" s="7">
        <v>132</v>
      </c>
      <c r="D362" s="7">
        <v>4</v>
      </c>
      <c r="E362" s="59"/>
      <c r="L362" s="21">
        <v>43064.88</v>
      </c>
      <c r="M362" s="21">
        <f t="shared" si="5"/>
        <v>21532.44</v>
      </c>
      <c r="R362" s="5" t="e">
        <f>VLOOKUP(E362,'Inertia Bases 2025'!$A:$H,8,0)</f>
        <v>#N/A</v>
      </c>
      <c r="S362" s="5"/>
      <c r="T362" s="5" t="e">
        <f>VLOOKUP(G362,'Seismic Springs 2025'!$A:$I,9,0)</f>
        <v>#N/A</v>
      </c>
      <c r="U362" s="5" t="e">
        <f t="shared" si="4"/>
        <v>#N/A</v>
      </c>
    </row>
    <row r="363" spans="1:21" ht="12.75">
      <c r="A363" s="7">
        <v>93055761</v>
      </c>
      <c r="B363" s="7" t="s">
        <v>608</v>
      </c>
      <c r="C363" s="7">
        <v>110</v>
      </c>
      <c r="D363" s="7">
        <v>4</v>
      </c>
      <c r="E363" s="59"/>
      <c r="L363" s="21">
        <v>39363.1</v>
      </c>
      <c r="M363" s="21">
        <f t="shared" si="5"/>
        <v>19681.55</v>
      </c>
      <c r="R363" s="5" t="e">
        <f>VLOOKUP(E363,'Inertia Bases 2025'!$A:$H,8,0)</f>
        <v>#N/A</v>
      </c>
      <c r="S363" s="5"/>
      <c r="T363" s="5" t="e">
        <f>VLOOKUP(G363,'Seismic Springs 2025'!$A:$I,9,0)</f>
        <v>#N/A</v>
      </c>
      <c r="U363" s="5" t="e">
        <f t="shared" si="4"/>
        <v>#N/A</v>
      </c>
    </row>
    <row r="364" spans="1:21" ht="12.75">
      <c r="A364" s="7">
        <v>93055762</v>
      </c>
      <c r="B364" s="7" t="s">
        <v>609</v>
      </c>
      <c r="C364" s="7">
        <v>90</v>
      </c>
      <c r="D364" s="7">
        <v>4</v>
      </c>
      <c r="E364" s="59"/>
      <c r="L364" s="21">
        <v>31835.02</v>
      </c>
      <c r="M364" s="21">
        <f t="shared" si="5"/>
        <v>15917.51</v>
      </c>
      <c r="R364" s="5" t="e">
        <f>VLOOKUP(E364,'Inertia Bases 2025'!$A:$H,8,0)</f>
        <v>#N/A</v>
      </c>
      <c r="S364" s="5"/>
      <c r="T364" s="5" t="e">
        <f>VLOOKUP(G364,'Seismic Springs 2025'!$A:$I,9,0)</f>
        <v>#N/A</v>
      </c>
      <c r="U364" s="5" t="e">
        <f t="shared" si="4"/>
        <v>#N/A</v>
      </c>
    </row>
    <row r="365" spans="1:21" ht="12.75">
      <c r="A365" s="7">
        <v>93055763</v>
      </c>
      <c r="B365" s="7" t="s">
        <v>610</v>
      </c>
      <c r="C365" s="7">
        <v>75</v>
      </c>
      <c r="D365" s="7">
        <v>4</v>
      </c>
      <c r="E365" s="59"/>
      <c r="L365" s="21">
        <v>30494.18</v>
      </c>
      <c r="M365" s="21">
        <f t="shared" si="5"/>
        <v>15247.09</v>
      </c>
      <c r="R365" s="5" t="e">
        <f>VLOOKUP(E365,'Inertia Bases 2025'!$A:$H,8,0)</f>
        <v>#N/A</v>
      </c>
      <c r="S365" s="5"/>
      <c r="T365" s="5" t="e">
        <f>VLOOKUP(G365,'Seismic Springs 2025'!$A:$I,9,0)</f>
        <v>#N/A</v>
      </c>
      <c r="U365" s="5" t="e">
        <f t="shared" si="4"/>
        <v>#N/A</v>
      </c>
    </row>
    <row r="366" spans="1:21" ht="12.75">
      <c r="A366" s="7">
        <v>93055764</v>
      </c>
      <c r="B366" s="7" t="s">
        <v>611</v>
      </c>
      <c r="C366" s="7">
        <v>55</v>
      </c>
      <c r="D366" s="7">
        <v>4</v>
      </c>
      <c r="E366" s="59"/>
      <c r="L366" s="21">
        <v>27296.240000000002</v>
      </c>
      <c r="M366" s="21">
        <f t="shared" si="5"/>
        <v>13648.12</v>
      </c>
      <c r="R366" s="5" t="e">
        <f>VLOOKUP(E366,'Inertia Bases 2025'!$A:$H,8,0)</f>
        <v>#N/A</v>
      </c>
      <c r="S366" s="5"/>
      <c r="T366" s="5" t="e">
        <f>VLOOKUP(G366,'Seismic Springs 2025'!$A:$I,9,0)</f>
        <v>#N/A</v>
      </c>
      <c r="U366" s="5" t="e">
        <f t="shared" si="4"/>
        <v>#N/A</v>
      </c>
    </row>
    <row r="367" spans="1:21" ht="12.75">
      <c r="A367" s="7">
        <v>93055765</v>
      </c>
      <c r="B367" s="7" t="s">
        <v>612</v>
      </c>
      <c r="C367" s="7">
        <v>30</v>
      </c>
      <c r="D367" s="7">
        <v>6</v>
      </c>
      <c r="E367" s="59"/>
      <c r="L367" s="21">
        <v>25016.27</v>
      </c>
      <c r="M367" s="21">
        <f t="shared" si="5"/>
        <v>12508.135</v>
      </c>
      <c r="R367" s="5" t="e">
        <f>VLOOKUP(E367,'Inertia Bases 2025'!$A:$H,8,0)</f>
        <v>#N/A</v>
      </c>
      <c r="S367" s="5"/>
      <c r="T367" s="5" t="e">
        <f>VLOOKUP(G367,'Seismic Springs 2025'!$A:$I,9,0)</f>
        <v>#N/A</v>
      </c>
      <c r="U367" s="5" t="e">
        <f t="shared" si="4"/>
        <v>#N/A</v>
      </c>
    </row>
    <row r="368" spans="1:21" ht="12.75">
      <c r="A368" s="7">
        <v>93055766</v>
      </c>
      <c r="B368" s="7" t="s">
        <v>613</v>
      </c>
      <c r="C368" s="7">
        <v>22</v>
      </c>
      <c r="D368" s="7">
        <v>6</v>
      </c>
      <c r="E368" s="59"/>
      <c r="L368" s="21">
        <v>22651.22</v>
      </c>
      <c r="M368" s="21">
        <f t="shared" si="5"/>
        <v>11325.61</v>
      </c>
      <c r="R368" s="5" t="e">
        <f>VLOOKUP(E368,'Inertia Bases 2025'!$A:$H,8,0)</f>
        <v>#N/A</v>
      </c>
      <c r="S368" s="5"/>
      <c r="T368" s="5" t="e">
        <f>VLOOKUP(G368,'Seismic Springs 2025'!$A:$I,9,0)</f>
        <v>#N/A</v>
      </c>
      <c r="U368" s="5" t="e">
        <f t="shared" si="4"/>
        <v>#N/A</v>
      </c>
    </row>
    <row r="369" spans="1:23" ht="12.75">
      <c r="A369" s="7">
        <v>93055767</v>
      </c>
      <c r="B369" s="7" t="s">
        <v>614</v>
      </c>
      <c r="C369" s="7">
        <v>18.5</v>
      </c>
      <c r="D369" s="7">
        <v>6</v>
      </c>
      <c r="E369" s="59"/>
      <c r="L369" s="21">
        <v>22369.7</v>
      </c>
      <c r="M369" s="21">
        <f t="shared" si="5"/>
        <v>11184.85</v>
      </c>
      <c r="R369" s="5" t="e">
        <f>VLOOKUP(E369,'Inertia Bases 2025'!$A:$H,8,0)</f>
        <v>#N/A</v>
      </c>
      <c r="S369" s="5"/>
      <c r="T369" s="5" t="e">
        <f>VLOOKUP(G369,'Seismic Springs 2025'!$A:$I,9,0)</f>
        <v>#N/A</v>
      </c>
      <c r="U369" s="5" t="e">
        <f t="shared" si="4"/>
        <v>#N/A</v>
      </c>
    </row>
    <row r="370" spans="1:23" ht="12.75">
      <c r="A370" s="7">
        <v>93055768</v>
      </c>
      <c r="B370" s="7" t="s">
        <v>615</v>
      </c>
      <c r="C370" s="7">
        <v>15</v>
      </c>
      <c r="D370" s="7">
        <v>6</v>
      </c>
      <c r="E370" s="59"/>
      <c r="L370" s="21">
        <v>21248.6</v>
      </c>
      <c r="M370" s="21">
        <f t="shared" si="5"/>
        <v>10624.3</v>
      </c>
      <c r="R370" s="5" t="e">
        <f>VLOOKUP(E370,'Inertia Bases 2025'!$A:$H,8,0)</f>
        <v>#N/A</v>
      </c>
      <c r="S370" s="5"/>
      <c r="T370" s="5" t="e">
        <f>VLOOKUP(G370,'Seismic Springs 2025'!$A:$I,9,0)</f>
        <v>#N/A</v>
      </c>
      <c r="U370" s="5" t="e">
        <f t="shared" si="4"/>
        <v>#N/A</v>
      </c>
    </row>
    <row r="371" spans="1:23" ht="12.75">
      <c r="A371" s="7">
        <v>93055769</v>
      </c>
      <c r="B371" s="7" t="s">
        <v>616</v>
      </c>
      <c r="C371" s="7">
        <v>110</v>
      </c>
      <c r="D371" s="7">
        <v>4</v>
      </c>
      <c r="E371" s="59"/>
      <c r="L371" s="21">
        <v>44078.46</v>
      </c>
      <c r="M371" s="21">
        <f t="shared" si="5"/>
        <v>22039.23</v>
      </c>
      <c r="R371" s="5">
        <f>VLOOKUP(E372,'Inertia Bases 2025'!$A:$H,8,0)</f>
        <v>1550</v>
      </c>
      <c r="S371" s="5"/>
      <c r="T371" s="5" t="e">
        <f>VLOOKUP(G371,'Seismic Springs 2025'!$A:$I,9,0)</f>
        <v>#N/A</v>
      </c>
      <c r="U371" s="5" t="e">
        <f t="shared" si="4"/>
        <v>#N/A</v>
      </c>
    </row>
    <row r="372" spans="1:23" ht="12.75">
      <c r="A372" s="7">
        <v>93055770</v>
      </c>
      <c r="B372" s="7" t="s">
        <v>617</v>
      </c>
      <c r="C372" s="7">
        <v>90</v>
      </c>
      <c r="D372" s="7">
        <v>4</v>
      </c>
      <c r="E372" s="59" t="s">
        <v>769</v>
      </c>
      <c r="F372" s="7" t="s">
        <v>770</v>
      </c>
      <c r="G372" s="7" t="s">
        <v>764</v>
      </c>
      <c r="H372" s="7" t="s">
        <v>764</v>
      </c>
      <c r="K372" s="7">
        <v>6</v>
      </c>
      <c r="L372" s="21">
        <v>36122.6</v>
      </c>
      <c r="M372" s="21">
        <f t="shared" si="5"/>
        <v>18061.3</v>
      </c>
      <c r="R372" s="5">
        <f>VLOOKUP(E372,'Inertia Bases 2025'!$A:$H,8,0)</f>
        <v>1550</v>
      </c>
      <c r="S372" s="5"/>
      <c r="T372" s="5">
        <f>VLOOKUP(G372,'Seismic Springs 2025'!$A:$I,9,0)</f>
        <v>800</v>
      </c>
      <c r="U372" s="5">
        <f t="shared" si="4"/>
        <v>4800</v>
      </c>
      <c r="V372" s="5">
        <v>800</v>
      </c>
      <c r="W372" s="5">
        <v>4800</v>
      </c>
    </row>
    <row r="373" spans="1:23" ht="12.75">
      <c r="A373" s="7">
        <v>93055771</v>
      </c>
      <c r="B373" s="7" t="s">
        <v>618</v>
      </c>
      <c r="C373" s="7">
        <v>75</v>
      </c>
      <c r="D373" s="7">
        <v>4</v>
      </c>
      <c r="E373" s="59" t="s">
        <v>762</v>
      </c>
      <c r="F373" s="7" t="s">
        <v>763</v>
      </c>
      <c r="G373" s="7" t="s">
        <v>764</v>
      </c>
      <c r="H373" s="7" t="s">
        <v>764</v>
      </c>
      <c r="K373" s="7">
        <v>6</v>
      </c>
      <c r="L373" s="21">
        <v>34791.72</v>
      </c>
      <c r="M373" s="21">
        <f t="shared" si="5"/>
        <v>17395.86</v>
      </c>
      <c r="R373" s="5">
        <f>VLOOKUP(E373,'Inertia Bases 2025'!$A:$H,8,0)</f>
        <v>1550</v>
      </c>
      <c r="S373" s="5"/>
      <c r="T373" s="5">
        <f>VLOOKUP(G373,'Seismic Springs 2025'!$A:$I,9,0)</f>
        <v>800</v>
      </c>
      <c r="U373" s="5">
        <f t="shared" si="4"/>
        <v>4800</v>
      </c>
    </row>
    <row r="374" spans="1:23" ht="12.75">
      <c r="A374" s="7">
        <v>93055772</v>
      </c>
      <c r="B374" s="7" t="s">
        <v>619</v>
      </c>
      <c r="C374" s="7">
        <v>55</v>
      </c>
      <c r="D374" s="7">
        <v>4</v>
      </c>
      <c r="E374" s="59"/>
      <c r="L374" s="21">
        <v>32717.89</v>
      </c>
      <c r="M374" s="21">
        <f t="shared" si="5"/>
        <v>16358.945</v>
      </c>
      <c r="R374" s="5" t="e">
        <f>VLOOKUP(E374,'Inertia Bases 2025'!$A:$H,8,0)</f>
        <v>#N/A</v>
      </c>
      <c r="S374" s="5"/>
      <c r="T374" s="5" t="e">
        <f>VLOOKUP(G374,'Seismic Springs 2025'!$A:$I,9,0)</f>
        <v>#N/A</v>
      </c>
      <c r="U374" s="5" t="e">
        <f t="shared" si="4"/>
        <v>#N/A</v>
      </c>
    </row>
    <row r="375" spans="1:23" ht="12.75">
      <c r="A375" s="7">
        <v>93055773</v>
      </c>
      <c r="B375" s="7" t="s">
        <v>620</v>
      </c>
      <c r="C375" s="7">
        <v>45</v>
      </c>
      <c r="D375" s="7">
        <v>4</v>
      </c>
      <c r="E375" s="59"/>
      <c r="L375" s="21">
        <v>30317.79</v>
      </c>
      <c r="M375" s="21">
        <f t="shared" si="5"/>
        <v>15158.895</v>
      </c>
      <c r="R375" s="5" t="e">
        <f>VLOOKUP(E375,'Inertia Bases 2025'!$A:$H,8,0)</f>
        <v>#N/A</v>
      </c>
      <c r="S375" s="5"/>
      <c r="T375" s="5" t="e">
        <f>VLOOKUP(G375,'Seismic Springs 2025'!$A:$I,9,0)</f>
        <v>#N/A</v>
      </c>
      <c r="U375" s="5" t="e">
        <f t="shared" si="4"/>
        <v>#N/A</v>
      </c>
    </row>
    <row r="376" spans="1:23" ht="12.75">
      <c r="A376" s="7">
        <v>93055774</v>
      </c>
      <c r="B376" s="7" t="s">
        <v>621</v>
      </c>
      <c r="C376" s="7">
        <v>30</v>
      </c>
      <c r="D376" s="7">
        <v>6</v>
      </c>
      <c r="E376" s="59"/>
      <c r="L376" s="21">
        <v>30680</v>
      </c>
      <c r="M376" s="21">
        <f t="shared" si="5"/>
        <v>15340</v>
      </c>
      <c r="R376" s="5" t="e">
        <f>VLOOKUP(E376,'Inertia Bases 2025'!$A:$H,8,0)</f>
        <v>#N/A</v>
      </c>
      <c r="S376" s="5"/>
      <c r="T376" s="5" t="e">
        <f>VLOOKUP(G376,'Seismic Springs 2025'!$A:$I,9,0)</f>
        <v>#N/A</v>
      </c>
      <c r="U376" s="5" t="e">
        <f t="shared" si="4"/>
        <v>#N/A</v>
      </c>
    </row>
    <row r="377" spans="1:23" ht="12.75">
      <c r="A377" s="7">
        <v>93055775</v>
      </c>
      <c r="B377" s="7" t="s">
        <v>622</v>
      </c>
      <c r="C377" s="7">
        <v>22</v>
      </c>
      <c r="D377" s="7">
        <v>6</v>
      </c>
      <c r="E377" s="59"/>
      <c r="L377" s="21">
        <v>29432.44</v>
      </c>
      <c r="M377" s="21">
        <f t="shared" si="5"/>
        <v>14716.22</v>
      </c>
      <c r="R377" s="5" t="e">
        <f>VLOOKUP(E377,'Inertia Bases 2025'!$A:$H,8,0)</f>
        <v>#N/A</v>
      </c>
      <c r="S377" s="5"/>
      <c r="T377" s="5" t="e">
        <f>VLOOKUP(G377,'Seismic Springs 2025'!$A:$I,9,0)</f>
        <v>#N/A</v>
      </c>
      <c r="U377" s="5" t="e">
        <f t="shared" si="4"/>
        <v>#N/A</v>
      </c>
    </row>
    <row r="378" spans="1:23" ht="12.75">
      <c r="A378" s="7">
        <v>93055776</v>
      </c>
      <c r="B378" s="7" t="s">
        <v>623</v>
      </c>
      <c r="C378" s="7">
        <v>18.5</v>
      </c>
      <c r="D378" s="7">
        <v>6</v>
      </c>
      <c r="E378" s="59"/>
      <c r="L378" s="21">
        <v>28888.97</v>
      </c>
      <c r="M378" s="21">
        <f t="shared" si="5"/>
        <v>14444.485000000001</v>
      </c>
      <c r="R378" s="5" t="e">
        <f>VLOOKUP(E378,'Inertia Bases 2025'!$A:$H,8,0)</f>
        <v>#N/A</v>
      </c>
      <c r="S378" s="5"/>
      <c r="T378" s="5" t="e">
        <f>VLOOKUP(G378,'Seismic Springs 2025'!$A:$I,9,0)</f>
        <v>#N/A</v>
      </c>
      <c r="U378" s="5" t="e">
        <f t="shared" si="4"/>
        <v>#N/A</v>
      </c>
    </row>
    <row r="379" spans="1:23" ht="12.75">
      <c r="A379" s="7">
        <v>93055777</v>
      </c>
      <c r="B379" s="7" t="s">
        <v>624</v>
      </c>
      <c r="C379" s="7">
        <v>15</v>
      </c>
      <c r="D379" s="7">
        <v>6</v>
      </c>
      <c r="E379" s="59"/>
      <c r="L379" s="21">
        <v>27870.65</v>
      </c>
      <c r="M379" s="21">
        <f t="shared" si="5"/>
        <v>13935.325000000001</v>
      </c>
      <c r="R379" s="5" t="e">
        <f>VLOOKUP(E379,'Inertia Bases 2025'!$A:$H,8,0)</f>
        <v>#N/A</v>
      </c>
      <c r="S379" s="5"/>
      <c r="T379" s="5" t="e">
        <f>VLOOKUP(G379,'Seismic Springs 2025'!$A:$I,9,0)</f>
        <v>#N/A</v>
      </c>
      <c r="U379" s="5" t="e">
        <f t="shared" si="4"/>
        <v>#N/A</v>
      </c>
    </row>
    <row r="380" spans="1:23" ht="12.75">
      <c r="A380" s="7">
        <v>93055778</v>
      </c>
      <c r="B380" s="7" t="s">
        <v>625</v>
      </c>
      <c r="C380" s="7">
        <v>11</v>
      </c>
      <c r="D380" s="7">
        <v>6</v>
      </c>
      <c r="E380" s="59"/>
      <c r="L380" s="21">
        <v>27185.23</v>
      </c>
      <c r="M380" s="21">
        <f t="shared" si="5"/>
        <v>13592.615</v>
      </c>
      <c r="R380" s="5" t="e">
        <f>VLOOKUP(E380,'Inertia Bases 2025'!$A:$H,8,0)</f>
        <v>#N/A</v>
      </c>
      <c r="S380" s="5"/>
      <c r="T380" s="5" t="e">
        <f>VLOOKUP(G380,'Seismic Springs 2025'!$A:$I,9,0)</f>
        <v>#N/A</v>
      </c>
      <c r="U380" s="5" t="e">
        <f t="shared" si="4"/>
        <v>#N/A</v>
      </c>
    </row>
    <row r="381" spans="1:23" ht="12.75">
      <c r="A381" s="7">
        <v>93055779</v>
      </c>
      <c r="B381" s="7" t="s">
        <v>626</v>
      </c>
      <c r="C381" s="7">
        <v>200</v>
      </c>
      <c r="D381" s="7">
        <v>4</v>
      </c>
      <c r="E381" s="59"/>
      <c r="L381" s="21">
        <v>64979.78</v>
      </c>
      <c r="M381" s="21">
        <f t="shared" si="5"/>
        <v>32489.89</v>
      </c>
      <c r="R381" s="5" t="e">
        <f>VLOOKUP(E381,'Inertia Bases 2025'!$A:$H,8,0)</f>
        <v>#N/A</v>
      </c>
      <c r="S381" s="5"/>
      <c r="T381" s="5" t="e">
        <f>VLOOKUP(G381,'Seismic Springs 2025'!$A:$I,9,0)</f>
        <v>#N/A</v>
      </c>
      <c r="U381" s="5" t="e">
        <f t="shared" si="4"/>
        <v>#N/A</v>
      </c>
    </row>
    <row r="382" spans="1:23" ht="12.75">
      <c r="A382" s="7">
        <v>93055780</v>
      </c>
      <c r="B382" s="7" t="s">
        <v>627</v>
      </c>
      <c r="C382" s="7">
        <v>185</v>
      </c>
      <c r="D382" s="7">
        <v>4</v>
      </c>
      <c r="E382" s="59"/>
      <c r="L382" s="21">
        <v>64550.76</v>
      </c>
      <c r="M382" s="21">
        <f t="shared" si="5"/>
        <v>32275.38</v>
      </c>
      <c r="R382" s="5" t="e">
        <f>VLOOKUP(E382,'Inertia Bases 2025'!$A:$H,8,0)</f>
        <v>#N/A</v>
      </c>
      <c r="S382" s="5"/>
      <c r="T382" s="5" t="e">
        <f>VLOOKUP(G382,'Seismic Springs 2025'!$A:$I,9,0)</f>
        <v>#N/A</v>
      </c>
      <c r="U382" s="5" t="e">
        <f t="shared" si="4"/>
        <v>#N/A</v>
      </c>
    </row>
    <row r="383" spans="1:23" ht="12.75">
      <c r="A383" s="7">
        <v>93055781</v>
      </c>
      <c r="B383" s="7" t="s">
        <v>628</v>
      </c>
      <c r="C383" s="7">
        <v>160</v>
      </c>
      <c r="D383" s="7">
        <v>4</v>
      </c>
      <c r="E383" s="59"/>
      <c r="L383" s="21">
        <v>62717.91</v>
      </c>
      <c r="M383" s="21">
        <f t="shared" si="5"/>
        <v>31358.955000000002</v>
      </c>
      <c r="R383" s="5" t="e">
        <f>VLOOKUP(E383,'Inertia Bases 2025'!$A:$H,8,0)</f>
        <v>#N/A</v>
      </c>
      <c r="S383" s="5"/>
      <c r="T383" s="5" t="e">
        <f>VLOOKUP(G383,'Seismic Springs 2025'!$A:$I,9,0)</f>
        <v>#N/A</v>
      </c>
      <c r="U383" s="5" t="e">
        <f t="shared" si="4"/>
        <v>#N/A</v>
      </c>
    </row>
    <row r="384" spans="1:23" ht="12.75">
      <c r="A384" s="7">
        <v>93055782</v>
      </c>
      <c r="B384" s="7" t="s">
        <v>629</v>
      </c>
      <c r="C384" s="7">
        <v>132</v>
      </c>
      <c r="D384" s="7">
        <v>4</v>
      </c>
      <c r="E384" s="59"/>
      <c r="L384" s="21">
        <v>58802.63</v>
      </c>
      <c r="M384" s="21">
        <f t="shared" si="5"/>
        <v>29401.314999999999</v>
      </c>
      <c r="R384" s="5" t="e">
        <f>VLOOKUP(E384,'Inertia Bases 2025'!$A:$H,8,0)</f>
        <v>#N/A</v>
      </c>
      <c r="S384" s="5"/>
      <c r="T384" s="5" t="e">
        <f>VLOOKUP(G384,'Seismic Springs 2025'!$A:$I,9,0)</f>
        <v>#N/A</v>
      </c>
      <c r="U384" s="5" t="e">
        <f t="shared" si="4"/>
        <v>#N/A</v>
      </c>
    </row>
    <row r="385" spans="1:21" ht="12.75">
      <c r="A385" s="7">
        <v>93055783</v>
      </c>
      <c r="B385" s="7" t="s">
        <v>630</v>
      </c>
      <c r="C385" s="7">
        <v>110</v>
      </c>
      <c r="D385" s="7">
        <v>4</v>
      </c>
      <c r="E385" s="59"/>
      <c r="L385" s="21">
        <v>55100.86</v>
      </c>
      <c r="M385" s="21">
        <f t="shared" si="5"/>
        <v>27550.43</v>
      </c>
      <c r="R385" s="5" t="e">
        <f>VLOOKUP(E385,'Inertia Bases 2025'!$A:$H,8,0)</f>
        <v>#N/A</v>
      </c>
      <c r="S385" s="5"/>
      <c r="T385" s="5" t="e">
        <f>VLOOKUP(G385,'Seismic Springs 2025'!$A:$I,9,0)</f>
        <v>#N/A</v>
      </c>
      <c r="U385" s="5" t="e">
        <f t="shared" si="4"/>
        <v>#N/A</v>
      </c>
    </row>
    <row r="386" spans="1:21" ht="12.75">
      <c r="A386" s="7">
        <v>93055784</v>
      </c>
      <c r="B386" s="7" t="s">
        <v>631</v>
      </c>
      <c r="C386" s="7">
        <v>55</v>
      </c>
      <c r="D386" s="7">
        <v>6</v>
      </c>
      <c r="E386" s="59"/>
      <c r="L386" s="21">
        <v>44061.77</v>
      </c>
      <c r="M386" s="21">
        <f t="shared" si="5"/>
        <v>22030.884999999998</v>
      </c>
      <c r="R386" s="5" t="e">
        <f>VLOOKUP(E386,'Inertia Bases 2025'!$A:$H,8,0)</f>
        <v>#N/A</v>
      </c>
      <c r="S386" s="5"/>
      <c r="T386" s="5" t="e">
        <f>VLOOKUP(G386,'Seismic Springs 2025'!$A:$I,9,0)</f>
        <v>#N/A</v>
      </c>
      <c r="U386" s="5" t="e">
        <f t="shared" si="4"/>
        <v>#N/A</v>
      </c>
    </row>
    <row r="387" spans="1:21" ht="12.75">
      <c r="A387" s="7">
        <v>93055785</v>
      </c>
      <c r="B387" s="7" t="s">
        <v>632</v>
      </c>
      <c r="C387" s="7">
        <v>45</v>
      </c>
      <c r="D387" s="7">
        <v>6</v>
      </c>
      <c r="E387" s="59"/>
      <c r="L387" s="21">
        <v>42000.09</v>
      </c>
      <c r="M387" s="21">
        <f t="shared" si="5"/>
        <v>21000.044999999998</v>
      </c>
      <c r="R387" s="5" t="e">
        <f>VLOOKUP(E387,'Inertia Bases 2025'!$A:$H,8,0)</f>
        <v>#N/A</v>
      </c>
      <c r="S387" s="5"/>
      <c r="T387" s="5" t="e">
        <f>VLOOKUP(G387,'Seismic Springs 2025'!$A:$I,9,0)</f>
        <v>#N/A</v>
      </c>
      <c r="U387" s="5" t="e">
        <f t="shared" si="4"/>
        <v>#N/A</v>
      </c>
    </row>
    <row r="388" spans="1:21" ht="12.75">
      <c r="A388" s="7">
        <v>93055786</v>
      </c>
      <c r="B388" s="7" t="s">
        <v>633</v>
      </c>
      <c r="C388" s="7">
        <v>37</v>
      </c>
      <c r="D388" s="7">
        <v>6</v>
      </c>
      <c r="E388" s="59"/>
      <c r="L388" s="21">
        <v>39012.879999999997</v>
      </c>
      <c r="M388" s="21">
        <f t="shared" si="5"/>
        <v>19506.439999999999</v>
      </c>
      <c r="R388" s="5" t="e">
        <f>VLOOKUP(E388,'Inertia Bases 2025'!$A:$H,8,0)</f>
        <v>#N/A</v>
      </c>
      <c r="S388" s="5"/>
      <c r="T388" s="5" t="e">
        <f>VLOOKUP(G388,'Seismic Springs 2025'!$A:$I,9,0)</f>
        <v>#N/A</v>
      </c>
      <c r="U388" s="5" t="e">
        <f t="shared" si="4"/>
        <v>#N/A</v>
      </c>
    </row>
    <row r="389" spans="1:21" ht="12.75">
      <c r="A389" s="7">
        <v>93055787</v>
      </c>
      <c r="B389" s="7" t="s">
        <v>634</v>
      </c>
      <c r="C389" s="7">
        <v>30</v>
      </c>
      <c r="D389" s="7">
        <v>6</v>
      </c>
      <c r="E389" s="59"/>
      <c r="L389" s="21">
        <v>37076.589999999997</v>
      </c>
      <c r="M389" s="21">
        <f t="shared" si="5"/>
        <v>18538.294999999998</v>
      </c>
      <c r="R389" s="5" t="e">
        <f>VLOOKUP(E389,'Inertia Bases 2025'!$A:$H,8,0)</f>
        <v>#N/A</v>
      </c>
      <c r="S389" s="5"/>
      <c r="T389" s="5" t="e">
        <f>VLOOKUP(G389,'Seismic Springs 2025'!$A:$I,9,0)</f>
        <v>#N/A</v>
      </c>
      <c r="U389" s="5" t="e">
        <f t="shared" si="4"/>
        <v>#N/A</v>
      </c>
    </row>
    <row r="390" spans="1:21" ht="12.75">
      <c r="A390" s="7">
        <v>93055788</v>
      </c>
      <c r="B390" s="7" t="s">
        <v>635</v>
      </c>
      <c r="C390" s="7">
        <v>22</v>
      </c>
      <c r="D390" s="7">
        <v>4</v>
      </c>
      <c r="E390" s="59">
        <v>91338088</v>
      </c>
      <c r="F390" s="7" t="s">
        <v>732</v>
      </c>
      <c r="G390" s="7">
        <v>91338019</v>
      </c>
      <c r="H390" s="7" t="s">
        <v>733</v>
      </c>
      <c r="K390" s="7">
        <v>4</v>
      </c>
      <c r="L390" s="21">
        <v>12891.75</v>
      </c>
      <c r="M390" s="21">
        <f t="shared" si="5"/>
        <v>6445.875</v>
      </c>
      <c r="R390" s="5">
        <f>VLOOKUP(E390,'Inertia Bases 2025'!$A:$H,8,0)</f>
        <v>547.49</v>
      </c>
      <c r="S390" s="5"/>
      <c r="T390" s="5">
        <f>VLOOKUP(G390,'Seismic Springs 2025'!$A:$I,9,0)</f>
        <v>170.3</v>
      </c>
      <c r="U390" s="5">
        <f t="shared" si="4"/>
        <v>681.2</v>
      </c>
    </row>
    <row r="391" spans="1:21" ht="12.75">
      <c r="A391" s="7">
        <v>93055789</v>
      </c>
      <c r="B391" s="7" t="s">
        <v>292</v>
      </c>
      <c r="C391" s="7">
        <v>11</v>
      </c>
      <c r="D391" s="7">
        <v>6</v>
      </c>
      <c r="E391" s="59"/>
      <c r="L391" s="21">
        <v>11921.68</v>
      </c>
      <c r="M391" s="21">
        <f t="shared" si="5"/>
        <v>5960.84</v>
      </c>
      <c r="R391" s="5" t="e">
        <f>VLOOKUP(E391,'Inertia Bases 2025'!$A:$H,8,0)</f>
        <v>#N/A</v>
      </c>
      <c r="S391" s="5"/>
      <c r="T391" s="5" t="e">
        <f>VLOOKUP(G391,'Seismic Springs 2025'!$A:$I,9,0)</f>
        <v>#N/A</v>
      </c>
      <c r="U391" s="5" t="e">
        <f t="shared" si="4"/>
        <v>#N/A</v>
      </c>
    </row>
    <row r="392" spans="1:21" ht="12.75">
      <c r="A392" s="7">
        <v>93055790</v>
      </c>
      <c r="B392" s="7" t="s">
        <v>636</v>
      </c>
      <c r="C392" s="7">
        <v>7.5</v>
      </c>
      <c r="D392" s="7">
        <v>6</v>
      </c>
      <c r="E392" s="59"/>
      <c r="L392" s="21">
        <v>11502.62</v>
      </c>
      <c r="M392" s="21">
        <f t="shared" si="5"/>
        <v>5751.31</v>
      </c>
      <c r="R392" s="5" t="e">
        <f>VLOOKUP(E392,'Inertia Bases 2025'!$A:$H,8,0)</f>
        <v>#N/A</v>
      </c>
      <c r="S392" s="5"/>
      <c r="T392" s="5" t="e">
        <f>VLOOKUP(G392,'Seismic Springs 2025'!$A:$I,9,0)</f>
        <v>#N/A</v>
      </c>
      <c r="U392" s="5" t="e">
        <f t="shared" si="4"/>
        <v>#N/A</v>
      </c>
    </row>
    <row r="393" spans="1:21" ht="12.75">
      <c r="A393" s="7">
        <v>93055791</v>
      </c>
      <c r="B393" s="7" t="s">
        <v>637</v>
      </c>
      <c r="C393" s="7">
        <v>45</v>
      </c>
      <c r="D393" s="7">
        <v>4</v>
      </c>
      <c r="E393" s="59" t="s">
        <v>720</v>
      </c>
      <c r="F393" s="7" t="s">
        <v>771</v>
      </c>
      <c r="G393" s="1">
        <v>91338021</v>
      </c>
      <c r="H393" s="1" t="s">
        <v>718</v>
      </c>
      <c r="K393" s="7">
        <v>6</v>
      </c>
      <c r="L393" s="21">
        <v>22926.43</v>
      </c>
      <c r="M393" s="21">
        <f t="shared" si="5"/>
        <v>11463.215</v>
      </c>
      <c r="R393" s="5">
        <v>1550</v>
      </c>
      <c r="S393" s="5"/>
      <c r="T393" s="5">
        <f>VLOOKUP(G393,'Seismic Springs 2025'!$A:$I,9,0)</f>
        <v>170.3</v>
      </c>
      <c r="U393" s="5">
        <f t="shared" si="4"/>
        <v>1021.8000000000001</v>
      </c>
    </row>
    <row r="394" spans="1:21" ht="12.75">
      <c r="A394" s="7">
        <v>93055792</v>
      </c>
      <c r="B394" s="7" t="s">
        <v>638</v>
      </c>
      <c r="C394" s="7">
        <v>37</v>
      </c>
      <c r="D394" s="7">
        <v>4</v>
      </c>
      <c r="E394" s="59"/>
      <c r="L394" s="21">
        <v>21838.62</v>
      </c>
      <c r="M394" s="21">
        <f t="shared" si="5"/>
        <v>10919.31</v>
      </c>
      <c r="R394" s="5" t="e">
        <f>VLOOKUP(E394,'Inertia Bases 2025'!$A:$H,8,0)</f>
        <v>#N/A</v>
      </c>
      <c r="S394" s="5"/>
      <c r="T394" s="5" t="e">
        <f>VLOOKUP(G394,'Seismic Springs 2025'!$A:$I,9,0)</f>
        <v>#N/A</v>
      </c>
      <c r="U394" s="5" t="e">
        <f t="shared" si="4"/>
        <v>#N/A</v>
      </c>
    </row>
    <row r="395" spans="1:21" ht="12.75">
      <c r="A395" s="7">
        <v>93055793</v>
      </c>
      <c r="B395" s="7" t="s">
        <v>639</v>
      </c>
      <c r="C395" s="7">
        <v>30</v>
      </c>
      <c r="D395" s="7">
        <v>4</v>
      </c>
      <c r="E395" s="59"/>
      <c r="L395" s="21">
        <v>20162.23</v>
      </c>
      <c r="M395" s="21">
        <f t="shared" si="5"/>
        <v>10081.115</v>
      </c>
      <c r="R395" s="5" t="e">
        <f>VLOOKUP(E395,'Inertia Bases 2025'!$A:$H,8,0)</f>
        <v>#N/A</v>
      </c>
      <c r="S395" s="5"/>
      <c r="T395" s="5" t="e">
        <f>VLOOKUP(G395,'Seismic Springs 2025'!$A:$I,9,0)</f>
        <v>#N/A</v>
      </c>
      <c r="U395" s="5" t="e">
        <f t="shared" si="4"/>
        <v>#N/A</v>
      </c>
    </row>
    <row r="396" spans="1:21" ht="12.75">
      <c r="A396" s="7">
        <v>93055794</v>
      </c>
      <c r="B396" s="7" t="s">
        <v>637</v>
      </c>
      <c r="C396" s="7">
        <v>15</v>
      </c>
      <c r="D396" s="7">
        <v>6</v>
      </c>
      <c r="E396" s="59"/>
      <c r="L396" s="21">
        <v>19076.63</v>
      </c>
      <c r="M396" s="21">
        <f t="shared" si="5"/>
        <v>9538.3150000000005</v>
      </c>
      <c r="R396" s="5" t="e">
        <f>VLOOKUP(E396,'Inertia Bases 2025'!$A:$H,8,0)</f>
        <v>#N/A</v>
      </c>
      <c r="S396" s="5"/>
      <c r="T396" s="5" t="e">
        <f>VLOOKUP(G396,'Seismic Springs 2025'!$A:$I,9,0)</f>
        <v>#N/A</v>
      </c>
      <c r="U396" s="5" t="e">
        <f t="shared" si="4"/>
        <v>#N/A</v>
      </c>
    </row>
    <row r="397" spans="1:21" ht="12.75">
      <c r="A397" s="7">
        <v>93055795</v>
      </c>
      <c r="B397" s="7" t="s">
        <v>638</v>
      </c>
      <c r="C397" s="7">
        <v>11</v>
      </c>
      <c r="D397" s="7">
        <v>6</v>
      </c>
      <c r="E397" s="59"/>
      <c r="L397" s="21">
        <v>17986.66</v>
      </c>
      <c r="M397" s="21">
        <f t="shared" si="5"/>
        <v>8993.33</v>
      </c>
      <c r="R397" s="5" t="e">
        <f>VLOOKUP(E397,'Inertia Bases 2025'!$A:$H,8,0)</f>
        <v>#N/A</v>
      </c>
      <c r="S397" s="5"/>
      <c r="T397" s="5" t="e">
        <f>VLOOKUP(G397,'Seismic Springs 2025'!$A:$I,9,0)</f>
        <v>#N/A</v>
      </c>
      <c r="U397" s="5" t="e">
        <f t="shared" si="4"/>
        <v>#N/A</v>
      </c>
    </row>
    <row r="398" spans="1:21" ht="12.75">
      <c r="A398" s="7">
        <v>93055796</v>
      </c>
      <c r="B398" s="7" t="s">
        <v>640</v>
      </c>
      <c r="C398" s="7">
        <v>280</v>
      </c>
      <c r="D398" s="7">
        <v>4</v>
      </c>
      <c r="E398" s="59"/>
      <c r="L398" s="21">
        <v>68990.679999999993</v>
      </c>
      <c r="M398" s="21">
        <f t="shared" si="5"/>
        <v>34495.339999999997</v>
      </c>
      <c r="R398" s="5" t="e">
        <f>VLOOKUP(E398,'Inertia Bases 2025'!$A:$H,8,0)</f>
        <v>#N/A</v>
      </c>
      <c r="S398" s="5"/>
      <c r="T398" s="5" t="e">
        <f>VLOOKUP(G398,'Seismic Springs 2025'!$A:$I,9,0)</f>
        <v>#N/A</v>
      </c>
      <c r="U398" s="5" t="e">
        <f t="shared" si="4"/>
        <v>#N/A</v>
      </c>
    </row>
    <row r="399" spans="1:21" ht="12.75">
      <c r="A399" s="7">
        <v>93055797</v>
      </c>
      <c r="B399" s="7" t="s">
        <v>641</v>
      </c>
      <c r="C399" s="7">
        <v>250</v>
      </c>
      <c r="D399" s="7">
        <v>4</v>
      </c>
      <c r="E399" s="59"/>
      <c r="L399" s="21">
        <v>66617.2</v>
      </c>
      <c r="M399" s="21">
        <f t="shared" si="5"/>
        <v>33308.6</v>
      </c>
      <c r="R399" s="5" t="e">
        <f>VLOOKUP(E399,'Inertia Bases 2025'!$A:$H,8,0)</f>
        <v>#N/A</v>
      </c>
      <c r="S399" s="5"/>
      <c r="T399" s="5" t="e">
        <f>VLOOKUP(G399,'Seismic Springs 2025'!$A:$I,9,0)</f>
        <v>#N/A</v>
      </c>
      <c r="U399" s="5" t="e">
        <f t="shared" si="4"/>
        <v>#N/A</v>
      </c>
    </row>
    <row r="400" spans="1:21" ht="12.75">
      <c r="A400" s="7">
        <v>93055798</v>
      </c>
      <c r="B400" s="7" t="s">
        <v>642</v>
      </c>
      <c r="C400" s="7">
        <v>220</v>
      </c>
      <c r="D400" s="7">
        <v>4</v>
      </c>
      <c r="E400" s="59"/>
      <c r="L400" s="21">
        <v>62679.03</v>
      </c>
      <c r="M400" s="21">
        <f t="shared" si="5"/>
        <v>31339.514999999999</v>
      </c>
      <c r="R400" s="5" t="e">
        <f>VLOOKUP(E400,'Inertia Bases 2025'!$A:$H,8,0)</f>
        <v>#N/A</v>
      </c>
      <c r="S400" s="5"/>
      <c r="T400" s="5" t="e">
        <f>VLOOKUP(G400,'Seismic Springs 2025'!$A:$I,9,0)</f>
        <v>#N/A</v>
      </c>
      <c r="U400" s="5" t="e">
        <f t="shared" si="4"/>
        <v>#N/A</v>
      </c>
    </row>
    <row r="401" spans="1:21" ht="12.75">
      <c r="A401" s="7">
        <v>93055799</v>
      </c>
      <c r="B401" s="7" t="s">
        <v>643</v>
      </c>
      <c r="C401" s="7">
        <v>200</v>
      </c>
      <c r="D401" s="7">
        <v>4</v>
      </c>
      <c r="E401" s="59"/>
      <c r="L401" s="21">
        <v>50140.639999999999</v>
      </c>
      <c r="M401" s="21">
        <f t="shared" si="5"/>
        <v>25070.32</v>
      </c>
      <c r="R401" s="5" t="e">
        <f>VLOOKUP(E401,'Inertia Bases 2025'!$A:$H,8,0)</f>
        <v>#N/A</v>
      </c>
      <c r="S401" s="5"/>
      <c r="T401" s="5" t="e">
        <f>VLOOKUP(G401,'Seismic Springs 2025'!$A:$I,9,0)</f>
        <v>#N/A</v>
      </c>
      <c r="U401" s="5" t="e">
        <f t="shared" si="4"/>
        <v>#N/A</v>
      </c>
    </row>
    <row r="402" spans="1:21" ht="12.75">
      <c r="A402" s="7">
        <v>93055800</v>
      </c>
      <c r="B402" s="7" t="s">
        <v>644</v>
      </c>
      <c r="C402" s="7">
        <v>185</v>
      </c>
      <c r="D402" s="7">
        <v>4</v>
      </c>
      <c r="E402" s="59"/>
      <c r="L402" s="21">
        <v>49751.41</v>
      </c>
      <c r="M402" s="21">
        <f t="shared" si="5"/>
        <v>24875.705000000002</v>
      </c>
      <c r="R402" s="5" t="e">
        <f>VLOOKUP(E402,'Inertia Bases 2025'!$A:$H,8,0)</f>
        <v>#N/A</v>
      </c>
      <c r="S402" s="5"/>
      <c r="T402" s="5" t="e">
        <f>VLOOKUP(G402,'Seismic Springs 2025'!$A:$I,9,0)</f>
        <v>#N/A</v>
      </c>
      <c r="U402" s="5" t="e">
        <f t="shared" si="4"/>
        <v>#N/A</v>
      </c>
    </row>
    <row r="403" spans="1:21" ht="12.75">
      <c r="A403" s="7">
        <v>93055801</v>
      </c>
      <c r="B403" s="7" t="s">
        <v>645</v>
      </c>
      <c r="C403" s="7">
        <v>160</v>
      </c>
      <c r="D403" s="7">
        <v>4</v>
      </c>
      <c r="E403" s="59"/>
      <c r="L403" s="21">
        <v>47454.32</v>
      </c>
      <c r="M403" s="21">
        <f t="shared" si="5"/>
        <v>23727.16</v>
      </c>
      <c r="R403" s="5" t="e">
        <f>VLOOKUP(E403,'Inertia Bases 2025'!$A:$H,8,0)</f>
        <v>#N/A</v>
      </c>
      <c r="S403" s="5"/>
      <c r="T403" s="5" t="e">
        <f>VLOOKUP(G403,'Seismic Springs 2025'!$A:$I,9,0)</f>
        <v>#N/A</v>
      </c>
      <c r="U403" s="5" t="e">
        <f t="shared" si="4"/>
        <v>#N/A</v>
      </c>
    </row>
    <row r="404" spans="1:21" ht="12.75">
      <c r="A404" s="7">
        <v>93055802</v>
      </c>
      <c r="B404" s="7" t="s">
        <v>646</v>
      </c>
      <c r="C404" s="7">
        <v>132</v>
      </c>
      <c r="D404" s="7">
        <v>4</v>
      </c>
      <c r="E404" s="59"/>
      <c r="L404" s="21">
        <v>43917.07</v>
      </c>
      <c r="M404" s="21">
        <f t="shared" si="5"/>
        <v>21958.535</v>
      </c>
      <c r="R404" s="5" t="e">
        <f>VLOOKUP(E404,'Inertia Bases 2025'!$A:$H,8,0)</f>
        <v>#N/A</v>
      </c>
      <c r="S404" s="5"/>
      <c r="T404" s="5" t="e">
        <f>VLOOKUP(G404,'Seismic Springs 2025'!$A:$I,9,0)</f>
        <v>#N/A</v>
      </c>
      <c r="U404" s="5" t="e">
        <f t="shared" si="4"/>
        <v>#N/A</v>
      </c>
    </row>
    <row r="405" spans="1:21" ht="12.75">
      <c r="A405" s="7">
        <v>93055803</v>
      </c>
      <c r="B405" s="7" t="s">
        <v>640</v>
      </c>
      <c r="C405" s="7">
        <v>90</v>
      </c>
      <c r="D405" s="7">
        <v>6</v>
      </c>
      <c r="E405" s="59"/>
      <c r="L405" s="21">
        <v>44116.62</v>
      </c>
      <c r="M405" s="21">
        <f t="shared" si="5"/>
        <v>22058.31</v>
      </c>
      <c r="R405" s="5" t="e">
        <f>VLOOKUP(E405,'Inertia Bases 2025'!$A:$H,8,0)</f>
        <v>#N/A</v>
      </c>
      <c r="S405" s="5"/>
      <c r="T405" s="5" t="e">
        <f>VLOOKUP(G405,'Seismic Springs 2025'!$A:$I,9,0)</f>
        <v>#N/A</v>
      </c>
      <c r="U405" s="5" t="e">
        <f t="shared" si="4"/>
        <v>#N/A</v>
      </c>
    </row>
    <row r="406" spans="1:21" ht="12.75">
      <c r="A406" s="7">
        <v>93055804</v>
      </c>
      <c r="B406" s="7" t="s">
        <v>647</v>
      </c>
      <c r="C406" s="7">
        <v>75</v>
      </c>
      <c r="D406" s="7">
        <v>6</v>
      </c>
      <c r="E406" s="59"/>
      <c r="L406" s="21">
        <v>42475.18</v>
      </c>
      <c r="M406" s="21">
        <f t="shared" si="5"/>
        <v>21237.59</v>
      </c>
      <c r="R406" s="5" t="e">
        <f>VLOOKUP(E406,'Inertia Bases 2025'!$A:$H,8,0)</f>
        <v>#N/A</v>
      </c>
      <c r="S406" s="5"/>
      <c r="T406" s="5" t="e">
        <f>VLOOKUP(G406,'Seismic Springs 2025'!$A:$I,9,0)</f>
        <v>#N/A</v>
      </c>
      <c r="U406" s="5" t="e">
        <f t="shared" si="4"/>
        <v>#N/A</v>
      </c>
    </row>
    <row r="407" spans="1:21" ht="12.75">
      <c r="A407" s="7">
        <v>93055805</v>
      </c>
      <c r="B407" s="7" t="s">
        <v>648</v>
      </c>
      <c r="C407" s="7">
        <v>55</v>
      </c>
      <c r="D407" s="7">
        <v>6</v>
      </c>
      <c r="E407" s="59"/>
      <c r="L407" s="21">
        <v>34103.79</v>
      </c>
      <c r="M407" s="21">
        <f t="shared" si="5"/>
        <v>17051.895</v>
      </c>
      <c r="R407" s="5" t="e">
        <f>VLOOKUP(E407,'Inertia Bases 2025'!$A:$H,8,0)</f>
        <v>#N/A</v>
      </c>
      <c r="S407" s="5"/>
      <c r="T407" s="5" t="e">
        <f>VLOOKUP(G407,'Seismic Springs 2025'!$A:$I,9,0)</f>
        <v>#N/A</v>
      </c>
      <c r="U407" s="5" t="e">
        <f t="shared" si="4"/>
        <v>#N/A</v>
      </c>
    </row>
    <row r="408" spans="1:21" ht="12.75">
      <c r="A408" s="7">
        <v>93055806</v>
      </c>
      <c r="B408" s="7" t="s">
        <v>649</v>
      </c>
      <c r="C408" s="7">
        <v>45</v>
      </c>
      <c r="D408" s="7">
        <v>6</v>
      </c>
      <c r="E408" s="59"/>
      <c r="L408" s="21">
        <v>32443.37</v>
      </c>
      <c r="M408" s="21">
        <f t="shared" si="5"/>
        <v>16221.684999999999</v>
      </c>
      <c r="R408" s="5" t="e">
        <f>VLOOKUP(E408,'Inertia Bases 2025'!$A:$H,8,0)</f>
        <v>#N/A</v>
      </c>
      <c r="S408" s="5"/>
      <c r="T408" s="5" t="e">
        <f>VLOOKUP(G408,'Seismic Springs 2025'!$A:$I,9,0)</f>
        <v>#N/A</v>
      </c>
      <c r="U408" s="5" t="e">
        <f t="shared" si="4"/>
        <v>#N/A</v>
      </c>
    </row>
    <row r="409" spans="1:21" ht="12.75">
      <c r="A409" s="7">
        <v>93055807</v>
      </c>
      <c r="B409" s="7" t="s">
        <v>650</v>
      </c>
      <c r="C409" s="7">
        <v>37</v>
      </c>
      <c r="D409" s="7">
        <v>6</v>
      </c>
      <c r="E409" s="59"/>
      <c r="L409" s="21">
        <v>29117.919999999998</v>
      </c>
      <c r="M409" s="21">
        <f t="shared" si="5"/>
        <v>14558.96</v>
      </c>
      <c r="R409" s="5" t="e">
        <f>VLOOKUP(E409,'Inertia Bases 2025'!$A:$H,8,0)</f>
        <v>#N/A</v>
      </c>
      <c r="S409" s="5"/>
      <c r="T409" s="5" t="e">
        <f>VLOOKUP(G409,'Seismic Springs 2025'!$A:$I,9,0)</f>
        <v>#N/A</v>
      </c>
      <c r="U409" s="5" t="e">
        <f t="shared" si="4"/>
        <v>#N/A</v>
      </c>
    </row>
    <row r="410" spans="1:21" ht="12.75">
      <c r="A410" s="7">
        <v>93055808</v>
      </c>
      <c r="B410" s="7" t="s">
        <v>651</v>
      </c>
      <c r="C410" s="7">
        <v>315</v>
      </c>
      <c r="D410" s="7">
        <v>4</v>
      </c>
      <c r="E410" s="59"/>
      <c r="L410" s="21">
        <v>82715.31</v>
      </c>
      <c r="M410" s="21">
        <f t="shared" si="5"/>
        <v>41357.654999999999</v>
      </c>
      <c r="R410" s="5" t="e">
        <f>VLOOKUP(E410,'Inertia Bases 2025'!$A:$H,8,0)</f>
        <v>#N/A</v>
      </c>
      <c r="S410" s="5"/>
      <c r="T410" s="5" t="e">
        <f>VLOOKUP(G410,'Seismic Springs 2025'!$A:$I,9,0)</f>
        <v>#N/A</v>
      </c>
      <c r="U410" s="5" t="e">
        <f t="shared" si="4"/>
        <v>#N/A</v>
      </c>
    </row>
    <row r="411" spans="1:21" ht="12.75">
      <c r="A411" s="7">
        <v>93055809</v>
      </c>
      <c r="B411" s="7" t="s">
        <v>652</v>
      </c>
      <c r="C411" s="7">
        <v>280</v>
      </c>
      <c r="D411" s="7">
        <v>4</v>
      </c>
      <c r="E411" s="59"/>
      <c r="L411" s="21">
        <v>72837.27</v>
      </c>
      <c r="M411" s="21">
        <f t="shared" si="5"/>
        <v>36418.635000000002</v>
      </c>
      <c r="R411" s="5" t="e">
        <f>VLOOKUP(E411,'Inertia Bases 2025'!$A:$H,8,0)</f>
        <v>#N/A</v>
      </c>
      <c r="S411" s="5"/>
      <c r="T411" s="5" t="e">
        <f>VLOOKUP(G411,'Seismic Springs 2025'!$A:$I,9,0)</f>
        <v>#N/A</v>
      </c>
      <c r="U411" s="5" t="e">
        <f t="shared" si="4"/>
        <v>#N/A</v>
      </c>
    </row>
    <row r="412" spans="1:21" ht="12.75">
      <c r="A412" s="7">
        <v>93055810</v>
      </c>
      <c r="B412" s="7" t="s">
        <v>653</v>
      </c>
      <c r="C412" s="7">
        <v>250</v>
      </c>
      <c r="D412" s="7">
        <v>4</v>
      </c>
      <c r="E412" s="59"/>
      <c r="L412" s="21">
        <v>70463.8</v>
      </c>
      <c r="M412" s="21">
        <f t="shared" si="5"/>
        <v>35231.9</v>
      </c>
      <c r="R412" s="5" t="e">
        <f>VLOOKUP(E412,'Inertia Bases 2025'!$A:$H,8,0)</f>
        <v>#N/A</v>
      </c>
      <c r="S412" s="5"/>
      <c r="T412" s="5" t="e">
        <f>VLOOKUP(G412,'Seismic Springs 2025'!$A:$I,9,0)</f>
        <v>#N/A</v>
      </c>
      <c r="U412" s="5" t="e">
        <f t="shared" si="4"/>
        <v>#N/A</v>
      </c>
    </row>
    <row r="413" spans="1:21" ht="12.75">
      <c r="A413" s="7">
        <v>93055811</v>
      </c>
      <c r="B413" s="7" t="s">
        <v>654</v>
      </c>
      <c r="C413" s="7">
        <v>220</v>
      </c>
      <c r="D413" s="7">
        <v>4</v>
      </c>
      <c r="E413" s="59"/>
      <c r="L413" s="21">
        <v>68710.89</v>
      </c>
      <c r="M413" s="21">
        <f t="shared" si="5"/>
        <v>34355.445</v>
      </c>
      <c r="R413" s="5" t="e">
        <f>VLOOKUP(E413,'Inertia Bases 2025'!$A:$H,8,0)</f>
        <v>#N/A</v>
      </c>
      <c r="S413" s="5"/>
      <c r="T413" s="5" t="e">
        <f>VLOOKUP(G413,'Seismic Springs 2025'!$A:$I,9,0)</f>
        <v>#N/A</v>
      </c>
      <c r="U413" s="5" t="e">
        <f t="shared" si="4"/>
        <v>#N/A</v>
      </c>
    </row>
    <row r="414" spans="1:21" ht="12.75">
      <c r="A414" s="7">
        <v>93055812</v>
      </c>
      <c r="B414" s="7" t="s">
        <v>655</v>
      </c>
      <c r="C414" s="7">
        <v>200</v>
      </c>
      <c r="D414" s="7">
        <v>4</v>
      </c>
      <c r="E414" s="59"/>
      <c r="L414" s="21">
        <v>62317.04</v>
      </c>
      <c r="M414" s="21">
        <f t="shared" si="5"/>
        <v>31158.52</v>
      </c>
      <c r="R414" s="5" t="e">
        <f>VLOOKUP(E414,'Inertia Bases 2025'!$A:$H,8,0)</f>
        <v>#N/A</v>
      </c>
      <c r="S414" s="5"/>
      <c r="T414" s="5" t="e">
        <f>VLOOKUP(G414,'Seismic Springs 2025'!$A:$I,9,0)</f>
        <v>#N/A</v>
      </c>
      <c r="U414" s="5" t="e">
        <f t="shared" si="4"/>
        <v>#N/A</v>
      </c>
    </row>
    <row r="415" spans="1:21" ht="12.75">
      <c r="A415" s="7">
        <v>93055813</v>
      </c>
      <c r="B415" s="7" t="s">
        <v>656</v>
      </c>
      <c r="C415" s="7">
        <v>90</v>
      </c>
      <c r="D415" s="7">
        <v>6</v>
      </c>
      <c r="E415" s="59"/>
      <c r="L415" s="21">
        <v>48351.21</v>
      </c>
      <c r="M415" s="21">
        <f t="shared" si="5"/>
        <v>24175.605</v>
      </c>
      <c r="R415" s="5" t="e">
        <f>VLOOKUP(E415,'Inertia Bases 2025'!$A:$H,8,0)</f>
        <v>#N/A</v>
      </c>
      <c r="S415" s="5"/>
      <c r="T415" s="5" t="e">
        <f>VLOOKUP(G415,'Seismic Springs 2025'!$A:$I,9,0)</f>
        <v>#N/A</v>
      </c>
      <c r="U415" s="5" t="e">
        <f t="shared" si="4"/>
        <v>#N/A</v>
      </c>
    </row>
    <row r="416" spans="1:21" ht="12.75">
      <c r="A416" s="7">
        <v>93055814</v>
      </c>
      <c r="B416" s="7" t="s">
        <v>657</v>
      </c>
      <c r="C416" s="7">
        <v>75</v>
      </c>
      <c r="D416" s="7">
        <v>6</v>
      </c>
      <c r="E416" s="59"/>
      <c r="L416" s="21">
        <v>46805.919999999998</v>
      </c>
      <c r="M416" s="21">
        <f t="shared" si="5"/>
        <v>23402.959999999999</v>
      </c>
      <c r="R416" s="5" t="e">
        <f>VLOOKUP(E416,'Inertia Bases 2025'!$A:$H,8,0)</f>
        <v>#N/A</v>
      </c>
      <c r="S416" s="5"/>
      <c r="T416" s="5" t="e">
        <f>VLOOKUP(G416,'Seismic Springs 2025'!$A:$I,9,0)</f>
        <v>#N/A</v>
      </c>
      <c r="U416" s="5" t="e">
        <f t="shared" si="4"/>
        <v>#N/A</v>
      </c>
    </row>
    <row r="417" spans="1:21" ht="12.75">
      <c r="A417" s="7">
        <v>93055815</v>
      </c>
      <c r="B417" s="7" t="s">
        <v>658</v>
      </c>
      <c r="C417" s="7">
        <v>55</v>
      </c>
      <c r="D417" s="7">
        <v>6</v>
      </c>
      <c r="E417" s="59"/>
      <c r="L417" s="21">
        <v>43382</v>
      </c>
      <c r="M417" s="21">
        <f t="shared" si="5"/>
        <v>21691</v>
      </c>
      <c r="R417" s="5" t="e">
        <f>VLOOKUP(E417,'Inertia Bases 2025'!$A:$H,8,0)</f>
        <v>#N/A</v>
      </c>
      <c r="S417" s="5"/>
      <c r="T417" s="5" t="e">
        <f>VLOOKUP(G417,'Seismic Springs 2025'!$A:$I,9,0)</f>
        <v>#N/A</v>
      </c>
      <c r="U417" s="5" t="e">
        <f t="shared" si="4"/>
        <v>#N/A</v>
      </c>
    </row>
    <row r="418" spans="1:21" ht="12.75">
      <c r="A418" s="7">
        <v>93055816</v>
      </c>
      <c r="B418" s="7" t="s">
        <v>659</v>
      </c>
      <c r="C418" s="7">
        <v>160</v>
      </c>
      <c r="D418" s="7">
        <v>4</v>
      </c>
      <c r="E418" s="59"/>
      <c r="L418" s="21">
        <v>58894.54</v>
      </c>
      <c r="M418" s="21">
        <f t="shared" si="5"/>
        <v>29447.27</v>
      </c>
      <c r="R418" s="5" t="e">
        <f>VLOOKUP(E418,'Inertia Bases 2025'!$A:$H,8,0)</f>
        <v>#N/A</v>
      </c>
      <c r="S418" s="5"/>
      <c r="T418" s="5" t="e">
        <f>VLOOKUP(G418,'Seismic Springs 2025'!$A:$I,9,0)</f>
        <v>#N/A</v>
      </c>
      <c r="U418" s="5" t="e">
        <f t="shared" si="4"/>
        <v>#N/A</v>
      </c>
    </row>
    <row r="419" spans="1:21" ht="12.75">
      <c r="A419" s="7">
        <v>93055817</v>
      </c>
      <c r="B419" s="7" t="s">
        <v>660</v>
      </c>
      <c r="C419" s="7">
        <v>132</v>
      </c>
      <c r="D419" s="7">
        <v>4</v>
      </c>
      <c r="E419" s="59" t="s">
        <v>720</v>
      </c>
      <c r="F419" s="7" t="s">
        <v>772</v>
      </c>
      <c r="G419" s="1">
        <v>91338020</v>
      </c>
      <c r="H419" s="7" t="s">
        <v>737</v>
      </c>
      <c r="K419" s="7">
        <v>12</v>
      </c>
      <c r="L419" s="21">
        <v>55984.03</v>
      </c>
      <c r="M419" s="21">
        <f t="shared" si="5"/>
        <v>27992.014999999999</v>
      </c>
      <c r="R419" s="5">
        <v>2000</v>
      </c>
      <c r="S419" s="5"/>
      <c r="T419" s="5">
        <f>VLOOKUP(G419,'Seismic Springs 2025'!$A:$I,9,0)</f>
        <v>170.3</v>
      </c>
      <c r="U419" s="5">
        <f t="shared" si="4"/>
        <v>2043.6000000000001</v>
      </c>
    </row>
    <row r="420" spans="1:21" ht="12.75">
      <c r="A420" s="7">
        <v>93055818</v>
      </c>
      <c r="B420" s="7" t="s">
        <v>661</v>
      </c>
      <c r="C420" s="7">
        <v>110</v>
      </c>
      <c r="D420" s="7">
        <v>4</v>
      </c>
      <c r="E420" s="59"/>
      <c r="L420" s="21">
        <v>51834.61</v>
      </c>
      <c r="M420" s="21">
        <f t="shared" si="5"/>
        <v>25917.305</v>
      </c>
      <c r="R420" s="5" t="e">
        <f>VLOOKUP(E420,'Inertia Bases 2025'!$A:$H,8,0)</f>
        <v>#N/A</v>
      </c>
      <c r="S420" s="5"/>
      <c r="T420" s="5" t="e">
        <f>VLOOKUP(G420,'Seismic Springs 2025'!$A:$I,9,0)</f>
        <v>#N/A</v>
      </c>
      <c r="U420" s="5" t="e">
        <f t="shared" si="4"/>
        <v>#N/A</v>
      </c>
    </row>
    <row r="421" spans="1:21" ht="12.75">
      <c r="A421" s="7">
        <v>93055830</v>
      </c>
      <c r="B421" s="7" t="s">
        <v>662</v>
      </c>
      <c r="C421" s="7">
        <v>90</v>
      </c>
      <c r="D421" s="7">
        <v>4</v>
      </c>
      <c r="E421" s="59"/>
      <c r="L421" s="21">
        <v>39541.42</v>
      </c>
      <c r="M421" s="21">
        <f t="shared" si="5"/>
        <v>19770.71</v>
      </c>
      <c r="R421" s="5" t="e">
        <f>VLOOKUP(E421,'Inertia Bases 2025'!$A:$H,8,0)</f>
        <v>#N/A</v>
      </c>
      <c r="S421" s="5"/>
      <c r="T421" s="5" t="e">
        <f>VLOOKUP(G421,'Seismic Springs 2025'!$A:$I,9,0)</f>
        <v>#N/A</v>
      </c>
      <c r="U421" s="5" t="e">
        <f t="shared" si="4"/>
        <v>#N/A</v>
      </c>
    </row>
    <row r="422" spans="1:21" ht="12.75">
      <c r="A422" s="7">
        <v>93055831</v>
      </c>
      <c r="B422" s="7" t="s">
        <v>659</v>
      </c>
      <c r="C422" s="7">
        <v>45</v>
      </c>
      <c r="D422" s="7">
        <v>6</v>
      </c>
      <c r="E422" s="59"/>
      <c r="L422" s="21">
        <v>39068.75</v>
      </c>
      <c r="M422" s="21">
        <f t="shared" si="5"/>
        <v>19534.375</v>
      </c>
      <c r="R422" s="5" t="e">
        <f>VLOOKUP(E422,'Inertia Bases 2025'!$A:$H,8,0)</f>
        <v>#N/A</v>
      </c>
      <c r="S422" s="5"/>
      <c r="T422" s="5" t="e">
        <f>VLOOKUP(G422,'Seismic Springs 2025'!$A:$I,9,0)</f>
        <v>#N/A</v>
      </c>
      <c r="U422" s="5" t="e">
        <f t="shared" si="4"/>
        <v>#N/A</v>
      </c>
    </row>
    <row r="423" spans="1:21" ht="12.75">
      <c r="A423" s="7">
        <v>93055832</v>
      </c>
      <c r="B423" s="7" t="s">
        <v>663</v>
      </c>
      <c r="C423" s="7">
        <v>37</v>
      </c>
      <c r="D423" s="7">
        <v>6</v>
      </c>
      <c r="E423" s="59"/>
      <c r="L423" s="21">
        <v>36492.720000000001</v>
      </c>
      <c r="M423" s="21">
        <f t="shared" si="5"/>
        <v>18246.36</v>
      </c>
      <c r="R423" s="5" t="e">
        <f>VLOOKUP(E423,'Inertia Bases 2025'!$A:$H,8,0)</f>
        <v>#N/A</v>
      </c>
      <c r="S423" s="5"/>
      <c r="T423" s="5" t="e">
        <f>VLOOKUP(G423,'Seismic Springs 2025'!$A:$I,9,0)</f>
        <v>#N/A</v>
      </c>
      <c r="U423" s="5" t="e">
        <f t="shared" si="4"/>
        <v>#N/A</v>
      </c>
    </row>
    <row r="424" spans="1:21" ht="12.75">
      <c r="A424" s="7">
        <v>93055833</v>
      </c>
      <c r="B424" s="7" t="s">
        <v>664</v>
      </c>
      <c r="C424" s="7">
        <v>30</v>
      </c>
      <c r="D424" s="7">
        <v>6</v>
      </c>
      <c r="E424" s="59"/>
      <c r="L424" s="21">
        <v>30444.58</v>
      </c>
      <c r="M424" s="21">
        <f t="shared" si="5"/>
        <v>15222.29</v>
      </c>
      <c r="R424" s="5" t="e">
        <f>VLOOKUP(E424,'Inertia Bases 2025'!$A:$H,8,0)</f>
        <v>#N/A</v>
      </c>
      <c r="S424" s="5"/>
      <c r="T424" s="5" t="e">
        <f>VLOOKUP(G424,'Seismic Springs 2025'!$A:$I,9,0)</f>
        <v>#N/A</v>
      </c>
      <c r="U424" s="5" t="e">
        <f t="shared" si="4"/>
        <v>#N/A</v>
      </c>
    </row>
    <row r="425" spans="1:21" ht="12.75">
      <c r="A425" s="7">
        <v>93055834</v>
      </c>
      <c r="B425" s="7" t="s">
        <v>665</v>
      </c>
      <c r="C425" s="7">
        <v>55</v>
      </c>
      <c r="D425" s="7">
        <v>4</v>
      </c>
      <c r="E425" s="59"/>
      <c r="L425" s="21">
        <v>29587.62</v>
      </c>
      <c r="M425" s="21">
        <f t="shared" si="5"/>
        <v>14793.81</v>
      </c>
      <c r="R425" s="5" t="e">
        <f>VLOOKUP(E425,'Inertia Bases 2025'!$A:$H,8,0)</f>
        <v>#N/A</v>
      </c>
      <c r="S425" s="5"/>
      <c r="T425" s="5" t="e">
        <f>VLOOKUP(G425,'Seismic Springs 2025'!$A:$I,9,0)</f>
        <v>#N/A</v>
      </c>
      <c r="U425" s="5" t="e">
        <f t="shared" si="4"/>
        <v>#N/A</v>
      </c>
    </row>
    <row r="426" spans="1:21" ht="12.75">
      <c r="A426" s="7">
        <v>93055835</v>
      </c>
      <c r="B426" s="7" t="s">
        <v>666</v>
      </c>
      <c r="C426" s="7">
        <v>45</v>
      </c>
      <c r="D426" s="7">
        <v>4</v>
      </c>
      <c r="E426" s="59"/>
      <c r="L426" s="21">
        <v>28527.18</v>
      </c>
      <c r="M426" s="21">
        <f t="shared" si="5"/>
        <v>14263.59</v>
      </c>
      <c r="R426" s="5" t="e">
        <f>VLOOKUP(E426,'Inertia Bases 2025'!$A:$H,8,0)</f>
        <v>#N/A</v>
      </c>
      <c r="S426" s="5"/>
      <c r="T426" s="5" t="e">
        <f>VLOOKUP(G426,'Seismic Springs 2025'!$A:$I,9,0)</f>
        <v>#N/A</v>
      </c>
      <c r="U426" s="5" t="e">
        <f t="shared" si="4"/>
        <v>#N/A</v>
      </c>
    </row>
    <row r="427" spans="1:21" ht="12.75">
      <c r="A427" s="7">
        <v>93055836</v>
      </c>
      <c r="B427" s="7" t="s">
        <v>667</v>
      </c>
      <c r="C427" s="7">
        <v>37</v>
      </c>
      <c r="D427" s="7">
        <v>4</v>
      </c>
      <c r="E427" s="59"/>
      <c r="L427" s="21">
        <v>27449.33</v>
      </c>
      <c r="M427" s="21">
        <f t="shared" si="5"/>
        <v>13724.665000000001</v>
      </c>
      <c r="R427" s="5" t="e">
        <f>VLOOKUP(E427,'Inertia Bases 2025'!$A:$H,8,0)</f>
        <v>#N/A</v>
      </c>
      <c r="S427" s="5"/>
      <c r="T427" s="5" t="e">
        <f>VLOOKUP(G427,'Seismic Springs 2025'!$A:$I,9,0)</f>
        <v>#N/A</v>
      </c>
      <c r="U427" s="5" t="e">
        <f t="shared" si="4"/>
        <v>#N/A</v>
      </c>
    </row>
    <row r="428" spans="1:21" ht="12.75">
      <c r="A428" s="7">
        <v>93055838</v>
      </c>
      <c r="B428" s="7" t="s">
        <v>668</v>
      </c>
      <c r="C428" s="7">
        <v>30</v>
      </c>
      <c r="D428" s="7">
        <v>4</v>
      </c>
      <c r="E428" s="59"/>
      <c r="L428" s="21">
        <v>25769.61</v>
      </c>
      <c r="M428" s="21">
        <f t="shared" si="5"/>
        <v>12884.805</v>
      </c>
      <c r="R428" s="5" t="e">
        <f>VLOOKUP(E428,'Inertia Bases 2025'!$A:$H,8,0)</f>
        <v>#N/A</v>
      </c>
      <c r="S428" s="5"/>
      <c r="T428" s="5" t="e">
        <f>VLOOKUP(G428,'Seismic Springs 2025'!$A:$I,9,0)</f>
        <v>#N/A</v>
      </c>
      <c r="U428" s="5" t="e">
        <f t="shared" si="4"/>
        <v>#N/A</v>
      </c>
    </row>
    <row r="429" spans="1:21" ht="12.75">
      <c r="A429" s="7">
        <v>93055840</v>
      </c>
      <c r="B429" s="7" t="s">
        <v>669</v>
      </c>
      <c r="C429" s="7">
        <v>22</v>
      </c>
      <c r="D429" s="7">
        <v>4</v>
      </c>
      <c r="E429" s="59"/>
      <c r="L429" s="21">
        <v>23970.53</v>
      </c>
      <c r="M429" s="21">
        <f t="shared" si="5"/>
        <v>11985.264999999999</v>
      </c>
      <c r="R429" s="5" t="e">
        <f>VLOOKUP(E429,'Inertia Bases 2025'!$A:$H,8,0)</f>
        <v>#N/A</v>
      </c>
      <c r="S429" s="5"/>
      <c r="T429" s="5" t="e">
        <f>VLOOKUP(G429,'Seismic Springs 2025'!$A:$I,9,0)</f>
        <v>#N/A</v>
      </c>
      <c r="U429" s="5" t="e">
        <f t="shared" ref="U429:U454" si="6">T429*K429</f>
        <v>#N/A</v>
      </c>
    </row>
    <row r="430" spans="1:21" ht="12.75">
      <c r="A430" s="7">
        <v>93055841</v>
      </c>
      <c r="B430" s="7" t="s">
        <v>665</v>
      </c>
      <c r="C430" s="7">
        <v>15</v>
      </c>
      <c r="D430" s="7">
        <v>6</v>
      </c>
      <c r="E430" s="59"/>
      <c r="L430" s="21">
        <v>24687.31</v>
      </c>
      <c r="M430" s="21">
        <f t="shared" si="5"/>
        <v>12343.655000000001</v>
      </c>
      <c r="R430" s="5" t="e">
        <f>VLOOKUP(E430,'Inertia Bases 2025'!$A:$H,8,0)</f>
        <v>#N/A</v>
      </c>
      <c r="S430" s="5"/>
      <c r="T430" s="5" t="e">
        <f>VLOOKUP(G430,'Seismic Springs 2025'!$A:$I,9,0)</f>
        <v>#N/A</v>
      </c>
      <c r="U430" s="5" t="e">
        <f t="shared" si="6"/>
        <v>#N/A</v>
      </c>
    </row>
    <row r="431" spans="1:21" ht="12.75">
      <c r="A431" s="7">
        <v>93055842</v>
      </c>
      <c r="B431" s="7" t="s">
        <v>670</v>
      </c>
      <c r="C431" s="7">
        <v>11</v>
      </c>
      <c r="D431" s="7">
        <v>6</v>
      </c>
      <c r="E431" s="59"/>
      <c r="L431" s="21">
        <v>23620.57</v>
      </c>
      <c r="M431" s="21">
        <f t="shared" si="5"/>
        <v>11810.285</v>
      </c>
      <c r="R431" s="5" t="e">
        <f>VLOOKUP(E431,'Inertia Bases 2025'!$A:$H,8,0)</f>
        <v>#N/A</v>
      </c>
      <c r="S431" s="5"/>
      <c r="T431" s="5" t="e">
        <f>VLOOKUP(G431,'Seismic Springs 2025'!$A:$I,9,0)</f>
        <v>#N/A</v>
      </c>
      <c r="U431" s="5" t="e">
        <f t="shared" si="6"/>
        <v>#N/A</v>
      </c>
    </row>
    <row r="432" spans="1:21" ht="12.75">
      <c r="A432" s="7">
        <v>93055843</v>
      </c>
      <c r="B432" s="7" t="s">
        <v>671</v>
      </c>
      <c r="C432" s="7">
        <v>7.5</v>
      </c>
      <c r="D432" s="7">
        <v>6</v>
      </c>
      <c r="E432" s="59"/>
      <c r="L432" s="21">
        <v>23201.48</v>
      </c>
      <c r="M432" s="21">
        <f t="shared" si="5"/>
        <v>11600.74</v>
      </c>
      <c r="R432" s="5" t="e">
        <f>VLOOKUP(E432,'Inertia Bases 2025'!$A:$H,8,0)</f>
        <v>#N/A</v>
      </c>
      <c r="S432" s="5"/>
      <c r="T432" s="5" t="e">
        <f>VLOOKUP(G432,'Seismic Springs 2025'!$A:$I,9,0)</f>
        <v>#N/A</v>
      </c>
      <c r="U432" s="5" t="e">
        <f t="shared" si="6"/>
        <v>#N/A</v>
      </c>
    </row>
    <row r="433" spans="1:21" ht="12.75">
      <c r="A433" s="7">
        <v>93055844</v>
      </c>
      <c r="B433" s="7" t="s">
        <v>672</v>
      </c>
      <c r="C433" s="7">
        <v>132</v>
      </c>
      <c r="D433" s="7">
        <v>4</v>
      </c>
      <c r="E433" s="59"/>
      <c r="L433" s="21">
        <v>53636.3</v>
      </c>
      <c r="M433" s="21">
        <f t="shared" si="5"/>
        <v>26818.15</v>
      </c>
      <c r="R433" s="5" t="e">
        <f>VLOOKUP(E433,'Inertia Bases 2025'!$A:$H,8,0)</f>
        <v>#N/A</v>
      </c>
      <c r="S433" s="5"/>
      <c r="T433" s="5" t="e">
        <f>VLOOKUP(G433,'Seismic Springs 2025'!$A:$I,9,0)</f>
        <v>#N/A</v>
      </c>
      <c r="U433" s="5" t="e">
        <f t="shared" si="6"/>
        <v>#N/A</v>
      </c>
    </row>
    <row r="434" spans="1:21" ht="12.75">
      <c r="A434" s="7">
        <v>93055845</v>
      </c>
      <c r="B434" s="7" t="s">
        <v>673</v>
      </c>
      <c r="C434" s="7">
        <v>110</v>
      </c>
      <c r="D434" s="7">
        <v>4</v>
      </c>
      <c r="E434" s="59"/>
      <c r="L434" s="21">
        <v>50156.68</v>
      </c>
      <c r="M434" s="21">
        <f t="shared" si="5"/>
        <v>25078.34</v>
      </c>
      <c r="R434" s="5" t="e">
        <f>VLOOKUP(E434,'Inertia Bases 2025'!$A:$H,8,0)</f>
        <v>#N/A</v>
      </c>
      <c r="S434" s="5"/>
      <c r="T434" s="5" t="e">
        <f>VLOOKUP(G434,'Seismic Springs 2025'!$A:$I,9,0)</f>
        <v>#N/A</v>
      </c>
      <c r="U434" s="5" t="e">
        <f t="shared" si="6"/>
        <v>#N/A</v>
      </c>
    </row>
    <row r="435" spans="1:21" ht="12.75">
      <c r="A435" s="7">
        <v>93055846</v>
      </c>
      <c r="B435" s="7" t="s">
        <v>674</v>
      </c>
      <c r="C435" s="7">
        <v>90</v>
      </c>
      <c r="D435" s="7">
        <v>4</v>
      </c>
      <c r="E435" s="59"/>
      <c r="L435" s="21">
        <v>39176.660000000003</v>
      </c>
      <c r="M435" s="21">
        <f t="shared" si="5"/>
        <v>19588.330000000002</v>
      </c>
      <c r="R435" s="5" t="e">
        <f>VLOOKUP(E435,'Inertia Bases 2025'!$A:$H,8,0)</f>
        <v>#N/A</v>
      </c>
      <c r="S435" s="5"/>
      <c r="T435" s="5" t="e">
        <f>VLOOKUP(G435,'Seismic Springs 2025'!$A:$I,9,0)</f>
        <v>#N/A</v>
      </c>
      <c r="U435" s="5" t="e">
        <f t="shared" si="6"/>
        <v>#N/A</v>
      </c>
    </row>
    <row r="436" spans="1:21" ht="12.75">
      <c r="A436" s="7">
        <v>93055847</v>
      </c>
      <c r="B436" s="7" t="s">
        <v>675</v>
      </c>
      <c r="C436" s="7">
        <v>75</v>
      </c>
      <c r="D436" s="7">
        <v>4</v>
      </c>
      <c r="E436" s="59"/>
      <c r="L436" s="21">
        <v>37656.75</v>
      </c>
      <c r="M436" s="21">
        <f t="shared" si="5"/>
        <v>18828.375</v>
      </c>
      <c r="R436" s="5" t="e">
        <f>VLOOKUP(E436,'Inertia Bases 2025'!$A:$H,8,0)</f>
        <v>#N/A</v>
      </c>
      <c r="S436" s="5"/>
      <c r="T436" s="5" t="e">
        <f>VLOOKUP(G436,'Seismic Springs 2025'!$A:$I,9,0)</f>
        <v>#N/A</v>
      </c>
      <c r="U436" s="5" t="e">
        <f t="shared" si="6"/>
        <v>#N/A</v>
      </c>
    </row>
    <row r="437" spans="1:21" ht="12.75">
      <c r="A437" s="7">
        <v>93055848</v>
      </c>
      <c r="B437" s="7" t="s">
        <v>676</v>
      </c>
      <c r="C437" s="7">
        <v>55</v>
      </c>
      <c r="D437" s="7">
        <v>4</v>
      </c>
      <c r="E437" s="59"/>
      <c r="L437" s="21">
        <v>36053.800000000003</v>
      </c>
      <c r="M437" s="21">
        <f t="shared" si="5"/>
        <v>18026.900000000001</v>
      </c>
      <c r="R437" s="5" t="e">
        <f>VLOOKUP(E437,'Inertia Bases 2025'!$A:$H,8,0)</f>
        <v>#N/A</v>
      </c>
      <c r="S437" s="5"/>
      <c r="T437" s="5" t="e">
        <f>VLOOKUP(G437,'Seismic Springs 2025'!$A:$I,9,0)</f>
        <v>#N/A</v>
      </c>
      <c r="U437" s="5" t="e">
        <f t="shared" si="6"/>
        <v>#N/A</v>
      </c>
    </row>
    <row r="438" spans="1:21" ht="12.75">
      <c r="A438" s="7">
        <v>93055849</v>
      </c>
      <c r="B438" s="7" t="s">
        <v>677</v>
      </c>
      <c r="C438" s="7">
        <v>37</v>
      </c>
      <c r="D438" s="7">
        <v>6</v>
      </c>
      <c r="E438" s="59"/>
      <c r="L438" s="21">
        <v>35454.79</v>
      </c>
      <c r="M438" s="21">
        <f t="shared" si="5"/>
        <v>17727.395</v>
      </c>
      <c r="R438" s="5" t="e">
        <f>VLOOKUP(E438,'Inertia Bases 2025'!$A:$H,8,0)</f>
        <v>#N/A</v>
      </c>
      <c r="S438" s="5"/>
      <c r="T438" s="5" t="e">
        <f>VLOOKUP(G438,'Seismic Springs 2025'!$A:$I,9,0)</f>
        <v>#N/A</v>
      </c>
      <c r="U438" s="5" t="e">
        <f t="shared" si="6"/>
        <v>#N/A</v>
      </c>
    </row>
    <row r="439" spans="1:21" ht="12.75">
      <c r="A439" s="7">
        <v>93055850</v>
      </c>
      <c r="B439" s="7" t="s">
        <v>678</v>
      </c>
      <c r="C439" s="7">
        <v>30</v>
      </c>
      <c r="D439" s="7">
        <v>6</v>
      </c>
      <c r="E439" s="59"/>
      <c r="L439" s="21">
        <v>34204.93</v>
      </c>
      <c r="M439" s="21">
        <f t="shared" si="5"/>
        <v>17102.465</v>
      </c>
      <c r="R439" s="5" t="e">
        <f>VLOOKUP(E439,'Inertia Bases 2025'!$A:$H,8,0)</f>
        <v>#N/A</v>
      </c>
      <c r="S439" s="5"/>
      <c r="T439" s="5" t="e">
        <f>VLOOKUP(G439,'Seismic Springs 2025'!$A:$I,9,0)</f>
        <v>#N/A</v>
      </c>
      <c r="U439" s="5" t="e">
        <f t="shared" si="6"/>
        <v>#N/A</v>
      </c>
    </row>
    <row r="440" spans="1:21" ht="12.75">
      <c r="A440" s="7">
        <v>93055851</v>
      </c>
      <c r="B440" s="7" t="s">
        <v>679</v>
      </c>
      <c r="C440" s="7">
        <v>22</v>
      </c>
      <c r="D440" s="7">
        <v>6</v>
      </c>
      <c r="E440" s="59"/>
      <c r="L440" s="21">
        <v>32204.62</v>
      </c>
      <c r="M440" s="21">
        <f t="shared" si="5"/>
        <v>16102.31</v>
      </c>
      <c r="R440" s="5" t="e">
        <f>VLOOKUP(E440,'Inertia Bases 2025'!$A:$H,8,0)</f>
        <v>#N/A</v>
      </c>
      <c r="S440" s="5"/>
      <c r="T440" s="5" t="e">
        <f>VLOOKUP(G440,'Seismic Springs 2025'!$A:$I,9,0)</f>
        <v>#N/A</v>
      </c>
      <c r="U440" s="5" t="e">
        <f t="shared" si="6"/>
        <v>#N/A</v>
      </c>
    </row>
    <row r="441" spans="1:21" ht="12.75">
      <c r="A441" s="7">
        <v>93055852</v>
      </c>
      <c r="B441" s="7" t="s">
        <v>680</v>
      </c>
      <c r="C441" s="7">
        <v>18.5</v>
      </c>
      <c r="D441" s="7">
        <v>6</v>
      </c>
      <c r="E441" s="59"/>
      <c r="L441" s="21">
        <v>31329.55</v>
      </c>
      <c r="M441" s="21">
        <f t="shared" si="5"/>
        <v>15664.775</v>
      </c>
      <c r="R441" s="5" t="e">
        <f>VLOOKUP(E441,'Inertia Bases 2025'!$A:$H,8,0)</f>
        <v>#N/A</v>
      </c>
      <c r="S441" s="5"/>
      <c r="T441" s="5" t="e">
        <f>VLOOKUP(G441,'Seismic Springs 2025'!$A:$I,9,0)</f>
        <v>#N/A</v>
      </c>
      <c r="U441" s="5" t="e">
        <f t="shared" si="6"/>
        <v>#N/A</v>
      </c>
    </row>
    <row r="442" spans="1:21" ht="12.75">
      <c r="A442" s="7">
        <v>93055853</v>
      </c>
      <c r="B442" s="7" t="s">
        <v>681</v>
      </c>
      <c r="C442" s="7">
        <v>15</v>
      </c>
      <c r="D442" s="7">
        <v>6</v>
      </c>
      <c r="E442" s="59"/>
      <c r="L442" s="21">
        <v>30344.39</v>
      </c>
      <c r="M442" s="21">
        <f t="shared" si="5"/>
        <v>15172.195</v>
      </c>
      <c r="R442" s="5" t="e">
        <f>VLOOKUP(E442,'Inertia Bases 2025'!$A:$H,8,0)</f>
        <v>#N/A</v>
      </c>
      <c r="S442" s="5"/>
      <c r="T442" s="5" t="e">
        <f>VLOOKUP(G442,'Seismic Springs 2025'!$A:$I,9,0)</f>
        <v>#N/A</v>
      </c>
      <c r="U442" s="5" t="e">
        <f t="shared" si="6"/>
        <v>#N/A</v>
      </c>
    </row>
    <row r="443" spans="1:21" ht="12.75">
      <c r="A443" s="7">
        <v>93055854</v>
      </c>
      <c r="B443" s="7" t="s">
        <v>682</v>
      </c>
      <c r="C443" s="7">
        <v>90</v>
      </c>
      <c r="D443" s="7">
        <v>4</v>
      </c>
      <c r="E443" s="59"/>
      <c r="L443" s="21">
        <v>30021.18</v>
      </c>
      <c r="M443" s="21">
        <f t="shared" si="5"/>
        <v>15010.59</v>
      </c>
      <c r="R443" s="5" t="e">
        <f>VLOOKUP(E443,'Inertia Bases 2025'!$A:$H,8,0)</f>
        <v>#N/A</v>
      </c>
      <c r="S443" s="5"/>
      <c r="T443" s="5" t="e">
        <f>VLOOKUP(G443,'Seismic Springs 2025'!$A:$I,9,0)</f>
        <v>#N/A</v>
      </c>
      <c r="U443" s="5" t="e">
        <f t="shared" si="6"/>
        <v>#N/A</v>
      </c>
    </row>
    <row r="444" spans="1:21" ht="12.75">
      <c r="A444" s="7">
        <v>93055855</v>
      </c>
      <c r="B444" s="7" t="s">
        <v>683</v>
      </c>
      <c r="C444" s="7">
        <v>75</v>
      </c>
      <c r="D444" s="7">
        <v>4</v>
      </c>
      <c r="E444" s="59"/>
      <c r="L444" s="21">
        <v>28690.3</v>
      </c>
      <c r="M444" s="21">
        <f t="shared" si="5"/>
        <v>14345.15</v>
      </c>
      <c r="R444" s="5" t="e">
        <f>VLOOKUP(E444,'Inertia Bases 2025'!$A:$H,8,0)</f>
        <v>#N/A</v>
      </c>
      <c r="S444" s="5"/>
      <c r="T444" s="5" t="e">
        <f>VLOOKUP(G444,'Seismic Springs 2025'!$A:$I,9,0)</f>
        <v>#N/A</v>
      </c>
      <c r="U444" s="5" t="e">
        <f t="shared" si="6"/>
        <v>#N/A</v>
      </c>
    </row>
    <row r="445" spans="1:21" ht="12.75">
      <c r="A445" s="7">
        <v>93055856</v>
      </c>
      <c r="B445" s="7" t="s">
        <v>684</v>
      </c>
      <c r="C445" s="7">
        <v>45</v>
      </c>
      <c r="D445" s="7">
        <v>4</v>
      </c>
      <c r="E445" s="59"/>
      <c r="L445" s="21">
        <v>23178.45</v>
      </c>
      <c r="M445" s="21">
        <f t="shared" si="5"/>
        <v>11589.225</v>
      </c>
      <c r="R445" s="5" t="e">
        <f>VLOOKUP(E445,'Inertia Bases 2025'!$A:$H,8,0)</f>
        <v>#N/A</v>
      </c>
      <c r="S445" s="5"/>
      <c r="T445" s="5" t="e">
        <f>VLOOKUP(G445,'Seismic Springs 2025'!$A:$I,9,0)</f>
        <v>#N/A</v>
      </c>
      <c r="U445" s="5" t="e">
        <f t="shared" si="6"/>
        <v>#N/A</v>
      </c>
    </row>
    <row r="446" spans="1:21" ht="12.75">
      <c r="A446" s="7">
        <v>93055857</v>
      </c>
      <c r="B446" s="7" t="s">
        <v>685</v>
      </c>
      <c r="C446" s="7">
        <v>37</v>
      </c>
      <c r="D446" s="7">
        <v>4</v>
      </c>
      <c r="E446" s="59"/>
      <c r="L446" s="21">
        <v>22090.639999999999</v>
      </c>
      <c r="M446" s="21">
        <f t="shared" si="5"/>
        <v>11045.32</v>
      </c>
      <c r="R446" s="5" t="e">
        <f>VLOOKUP(E446,'Inertia Bases 2025'!$A:$H,8,0)</f>
        <v>#N/A</v>
      </c>
      <c r="S446" s="5"/>
      <c r="T446" s="5" t="e">
        <f>VLOOKUP(G446,'Seismic Springs 2025'!$A:$I,9,0)</f>
        <v>#N/A</v>
      </c>
      <c r="U446" s="5" t="e">
        <f t="shared" si="6"/>
        <v>#N/A</v>
      </c>
    </row>
    <row r="447" spans="1:21" ht="12.75">
      <c r="A447" s="7">
        <v>93055858</v>
      </c>
      <c r="B447" s="7" t="s">
        <v>686</v>
      </c>
      <c r="C447" s="7">
        <v>30</v>
      </c>
      <c r="D447" s="7">
        <v>4</v>
      </c>
      <c r="E447" s="59"/>
      <c r="L447" s="21">
        <v>20749.14</v>
      </c>
      <c r="M447" s="21">
        <f t="shared" si="5"/>
        <v>10374.57</v>
      </c>
      <c r="R447" s="5" t="e">
        <f>VLOOKUP(E447,'Inertia Bases 2025'!$A:$H,8,0)</f>
        <v>#N/A</v>
      </c>
      <c r="S447" s="5"/>
      <c r="T447" s="5" t="e">
        <f>VLOOKUP(G447,'Seismic Springs 2025'!$A:$I,9,0)</f>
        <v>#N/A</v>
      </c>
      <c r="U447" s="5" t="e">
        <f t="shared" si="6"/>
        <v>#N/A</v>
      </c>
    </row>
    <row r="448" spans="1:21" ht="12.75">
      <c r="A448" s="7">
        <v>93055859</v>
      </c>
      <c r="B448" s="7" t="s">
        <v>687</v>
      </c>
      <c r="C448" s="7">
        <v>22</v>
      </c>
      <c r="D448" s="7">
        <v>4</v>
      </c>
      <c r="E448" s="59"/>
      <c r="L448" s="21">
        <v>18598.61</v>
      </c>
      <c r="M448" s="21">
        <f t="shared" si="5"/>
        <v>9299.3050000000003</v>
      </c>
      <c r="R448" s="5" t="e">
        <f>VLOOKUP(E448,'Inertia Bases 2025'!$A:$H,8,0)</f>
        <v>#N/A</v>
      </c>
      <c r="S448" s="5"/>
      <c r="T448" s="5" t="e">
        <f>VLOOKUP(G448,'Seismic Springs 2025'!$A:$I,9,0)</f>
        <v>#N/A</v>
      </c>
      <c r="U448" s="5" t="e">
        <f t="shared" si="6"/>
        <v>#N/A</v>
      </c>
    </row>
    <row r="449" spans="1:21" ht="12.75">
      <c r="A449" s="7">
        <v>93055860</v>
      </c>
      <c r="B449" s="7" t="s">
        <v>688</v>
      </c>
      <c r="C449" s="7">
        <v>22</v>
      </c>
      <c r="D449" s="7">
        <v>6</v>
      </c>
      <c r="E449" s="59"/>
      <c r="L449" s="21">
        <v>20731.27</v>
      </c>
      <c r="M449" s="21">
        <f t="shared" si="5"/>
        <v>10365.635</v>
      </c>
      <c r="R449" s="5" t="e">
        <f>VLOOKUP(E449,'Inertia Bases 2025'!$A:$H,8,0)</f>
        <v>#N/A</v>
      </c>
      <c r="S449" s="5"/>
      <c r="T449" s="5" t="e">
        <f>VLOOKUP(G449,'Seismic Springs 2025'!$A:$I,9,0)</f>
        <v>#N/A</v>
      </c>
      <c r="U449" s="5" t="e">
        <f t="shared" si="6"/>
        <v>#N/A</v>
      </c>
    </row>
    <row r="450" spans="1:21" ht="12.75">
      <c r="A450" s="7">
        <v>93055861</v>
      </c>
      <c r="B450" s="7" t="s">
        <v>689</v>
      </c>
      <c r="C450" s="7">
        <v>18.5</v>
      </c>
      <c r="D450" s="7">
        <v>6</v>
      </c>
      <c r="E450" s="59"/>
      <c r="L450" s="21">
        <v>20449.75</v>
      </c>
      <c r="M450" s="21">
        <f t="shared" si="5"/>
        <v>10224.875</v>
      </c>
      <c r="R450" s="5" t="e">
        <f>VLOOKUP(E450,'Inertia Bases 2025'!$A:$H,8,0)</f>
        <v>#N/A</v>
      </c>
      <c r="S450" s="5"/>
      <c r="T450" s="5" t="e">
        <f>VLOOKUP(G450,'Seismic Springs 2025'!$A:$I,9,0)</f>
        <v>#N/A</v>
      </c>
      <c r="U450" s="5" t="e">
        <f t="shared" si="6"/>
        <v>#N/A</v>
      </c>
    </row>
    <row r="451" spans="1:21" ht="12.75">
      <c r="A451" s="7">
        <v>93055862</v>
      </c>
      <c r="B451" s="7" t="s">
        <v>690</v>
      </c>
      <c r="C451" s="7">
        <v>15</v>
      </c>
      <c r="D451" s="7">
        <v>6</v>
      </c>
      <c r="E451" s="59"/>
      <c r="L451" s="21">
        <v>19328.650000000001</v>
      </c>
      <c r="M451" s="21">
        <f t="shared" si="5"/>
        <v>9664.3250000000007</v>
      </c>
      <c r="R451" s="5" t="e">
        <f>VLOOKUP(E451,'Inertia Bases 2025'!$A:$H,8,0)</f>
        <v>#N/A</v>
      </c>
      <c r="S451" s="5"/>
      <c r="T451" s="5" t="e">
        <f>VLOOKUP(G451,'Seismic Springs 2025'!$A:$I,9,0)</f>
        <v>#N/A</v>
      </c>
      <c r="U451" s="5" t="e">
        <f t="shared" si="6"/>
        <v>#N/A</v>
      </c>
    </row>
    <row r="452" spans="1:21" ht="12.75">
      <c r="A452" s="7">
        <v>93055863</v>
      </c>
      <c r="B452" s="7" t="s">
        <v>691</v>
      </c>
      <c r="C452" s="7">
        <v>11</v>
      </c>
      <c r="D452" s="7">
        <v>6</v>
      </c>
      <c r="E452" s="59"/>
      <c r="L452" s="21">
        <v>18238.68</v>
      </c>
      <c r="M452" s="21">
        <f t="shared" si="5"/>
        <v>9119.34</v>
      </c>
      <c r="R452" s="5" t="e">
        <f>VLOOKUP(E452,'Inertia Bases 2025'!$A:$H,8,0)</f>
        <v>#N/A</v>
      </c>
      <c r="S452" s="5"/>
      <c r="T452" s="5" t="e">
        <f>VLOOKUP(G452,'Seismic Springs 2025'!$A:$I,9,0)</f>
        <v>#N/A</v>
      </c>
      <c r="U452" s="5" t="e">
        <f t="shared" si="6"/>
        <v>#N/A</v>
      </c>
    </row>
    <row r="453" spans="1:21" ht="12.75">
      <c r="A453" s="7">
        <v>93055864</v>
      </c>
      <c r="B453" s="7" t="s">
        <v>692</v>
      </c>
      <c r="C453" s="7">
        <v>7.5</v>
      </c>
      <c r="D453" s="7">
        <v>6</v>
      </c>
      <c r="E453" s="59"/>
      <c r="L453" s="21">
        <v>17733.37</v>
      </c>
      <c r="M453" s="21">
        <f t="shared" si="5"/>
        <v>8866.6849999999995</v>
      </c>
      <c r="R453" s="5" t="e">
        <f>VLOOKUP(E453,'Inertia Bases 2025'!$A:$H,8,0)</f>
        <v>#N/A</v>
      </c>
      <c r="S453" s="5"/>
      <c r="T453" s="5" t="e">
        <f>VLOOKUP(G453,'Seismic Springs 2025'!$A:$I,9,0)</f>
        <v>#N/A</v>
      </c>
      <c r="U453" s="5" t="e">
        <f t="shared" si="6"/>
        <v>#N/A</v>
      </c>
    </row>
    <row r="454" spans="1:21" ht="12.75">
      <c r="A454" s="7">
        <v>93055865</v>
      </c>
      <c r="B454" s="7" t="s">
        <v>693</v>
      </c>
      <c r="C454" s="7">
        <v>5.5</v>
      </c>
      <c r="D454" s="7">
        <v>6</v>
      </c>
      <c r="E454" s="59"/>
      <c r="L454" s="21">
        <v>17275.830000000002</v>
      </c>
      <c r="M454" s="21">
        <f t="shared" si="5"/>
        <v>8637.9150000000009</v>
      </c>
      <c r="R454" s="5" t="e">
        <f>VLOOKUP(E454,'Inertia Bases 2025'!$A:$H,8,0)</f>
        <v>#N/A</v>
      </c>
      <c r="S454" s="5"/>
      <c r="T454" s="5" t="e">
        <f>VLOOKUP(G454,'Seismic Springs 2025'!$A:$I,9,0)</f>
        <v>#N/A</v>
      </c>
      <c r="U454" s="5" t="e">
        <f t="shared" si="6"/>
        <v>#N/A</v>
      </c>
    </row>
  </sheetData>
  <autoFilter ref="A1:X1000" xr:uid="{00000000-0009-0000-0000-00000B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Q503"/>
  <sheetViews>
    <sheetView workbookViewId="0"/>
  </sheetViews>
  <sheetFormatPr defaultColWidth="12.5703125" defaultRowHeight="15.75" customHeight="1"/>
  <sheetData>
    <row r="1" spans="1:17">
      <c r="A1" s="7" t="s">
        <v>66</v>
      </c>
      <c r="B1" s="7" t="s">
        <v>8</v>
      </c>
      <c r="C1" s="7" t="s">
        <v>701</v>
      </c>
      <c r="D1" s="7" t="s">
        <v>288</v>
      </c>
      <c r="E1" s="7" t="s">
        <v>703</v>
      </c>
      <c r="F1" s="7" t="s">
        <v>705</v>
      </c>
      <c r="G1" s="7" t="s">
        <v>722</v>
      </c>
      <c r="H1" s="7" t="s">
        <v>723</v>
      </c>
      <c r="I1" s="7" t="s">
        <v>695</v>
      </c>
      <c r="J1" s="7" t="s">
        <v>706</v>
      </c>
      <c r="K1" s="7" t="s">
        <v>724</v>
      </c>
      <c r="L1" s="8" t="s">
        <v>725</v>
      </c>
      <c r="M1" s="7" t="s">
        <v>726</v>
      </c>
      <c r="N1" s="7" t="s">
        <v>727</v>
      </c>
      <c r="O1" s="7" t="s">
        <v>728</v>
      </c>
      <c r="P1" s="7" t="s">
        <v>729</v>
      </c>
      <c r="Q1" s="7" t="s">
        <v>773</v>
      </c>
    </row>
    <row r="2" spans="1:17">
      <c r="A2" s="7">
        <v>92900978</v>
      </c>
      <c r="B2" s="7" t="s">
        <v>774</v>
      </c>
      <c r="C2" s="61">
        <v>1811</v>
      </c>
      <c r="D2" s="5">
        <v>905.5</v>
      </c>
      <c r="E2" s="5"/>
      <c r="F2" s="5"/>
      <c r="G2" s="5">
        <v>520</v>
      </c>
      <c r="H2" s="5"/>
      <c r="I2" s="5"/>
      <c r="J2" s="5"/>
      <c r="K2" s="5">
        <v>11.83</v>
      </c>
      <c r="L2" s="8">
        <v>4</v>
      </c>
      <c r="M2" s="5">
        <f t="shared" ref="M2:M256" si="0">K2*L2</f>
        <v>47.32</v>
      </c>
      <c r="N2" s="5"/>
      <c r="O2" s="5"/>
      <c r="P2" s="5"/>
      <c r="Q2" s="5"/>
    </row>
    <row r="3" spans="1:17">
      <c r="A3" s="7">
        <v>92901041</v>
      </c>
      <c r="B3" s="7" t="s">
        <v>774</v>
      </c>
      <c r="C3" s="61">
        <v>1902</v>
      </c>
      <c r="D3" s="5">
        <v>951</v>
      </c>
      <c r="E3" s="5"/>
      <c r="G3" s="5">
        <v>520</v>
      </c>
      <c r="H3" s="5"/>
      <c r="I3" s="5"/>
      <c r="J3" s="5"/>
      <c r="K3" s="5">
        <v>11.83</v>
      </c>
      <c r="L3" s="8">
        <v>4</v>
      </c>
      <c r="M3" s="5">
        <f t="shared" si="0"/>
        <v>47.32</v>
      </c>
    </row>
    <row r="4" spans="1:17">
      <c r="A4" s="7">
        <v>96516180</v>
      </c>
      <c r="B4" s="7" t="s">
        <v>774</v>
      </c>
      <c r="C4" s="61">
        <v>1694</v>
      </c>
      <c r="D4" s="5">
        <v>847</v>
      </c>
      <c r="E4" s="5"/>
      <c r="G4" s="5">
        <v>520</v>
      </c>
      <c r="K4" s="5">
        <v>11.83</v>
      </c>
      <c r="L4" s="8">
        <v>4</v>
      </c>
      <c r="M4" s="5">
        <f t="shared" si="0"/>
        <v>47.32</v>
      </c>
    </row>
    <row r="5" spans="1:17">
      <c r="A5" s="7">
        <v>96516246</v>
      </c>
      <c r="B5" s="7" t="s">
        <v>774</v>
      </c>
      <c r="C5" s="61">
        <v>1784</v>
      </c>
      <c r="D5" s="5">
        <v>892</v>
      </c>
      <c r="E5" s="5"/>
      <c r="G5" s="5">
        <v>520</v>
      </c>
      <c r="K5" s="5">
        <v>11.83</v>
      </c>
      <c r="L5" s="8">
        <v>4</v>
      </c>
      <c r="M5" s="5">
        <f t="shared" si="0"/>
        <v>47.32</v>
      </c>
    </row>
    <row r="6" spans="1:17">
      <c r="A6" s="7">
        <v>92900981</v>
      </c>
      <c r="B6" s="7" t="s">
        <v>775</v>
      </c>
      <c r="C6" s="61">
        <v>1888</v>
      </c>
      <c r="D6" s="5">
        <v>944</v>
      </c>
      <c r="E6" s="5"/>
      <c r="F6" s="5"/>
      <c r="G6" s="5">
        <v>520</v>
      </c>
      <c r="H6" s="5"/>
      <c r="I6" s="5"/>
      <c r="J6" s="5"/>
      <c r="K6" s="5">
        <v>11.83</v>
      </c>
      <c r="L6" s="8">
        <v>4</v>
      </c>
      <c r="M6" s="5">
        <f t="shared" si="0"/>
        <v>47.32</v>
      </c>
      <c r="N6" s="5"/>
      <c r="O6" s="5"/>
      <c r="P6" s="5"/>
      <c r="Q6" s="5"/>
    </row>
    <row r="7" spans="1:17">
      <c r="A7" s="7">
        <v>92901044</v>
      </c>
      <c r="B7" s="7" t="s">
        <v>775</v>
      </c>
      <c r="C7" s="61">
        <v>1979</v>
      </c>
      <c r="D7" s="5">
        <v>989.5</v>
      </c>
      <c r="E7" s="5"/>
      <c r="G7" s="5">
        <v>520</v>
      </c>
      <c r="H7" s="5"/>
      <c r="I7" s="5"/>
      <c r="J7" s="5"/>
      <c r="K7" s="5">
        <v>11.83</v>
      </c>
      <c r="L7" s="8">
        <v>4</v>
      </c>
      <c r="M7" s="5">
        <f t="shared" si="0"/>
        <v>47.32</v>
      </c>
    </row>
    <row r="8" spans="1:17">
      <c r="A8" s="7">
        <v>96516181</v>
      </c>
      <c r="B8" s="7" t="s">
        <v>775</v>
      </c>
      <c r="C8" s="61">
        <v>1771</v>
      </c>
      <c r="D8" s="5">
        <v>885.5</v>
      </c>
      <c r="E8" s="5"/>
      <c r="G8" s="5">
        <v>520</v>
      </c>
      <c r="K8" s="5">
        <v>11.83</v>
      </c>
      <c r="L8" s="8">
        <v>4</v>
      </c>
      <c r="M8" s="5">
        <f t="shared" si="0"/>
        <v>47.32</v>
      </c>
    </row>
    <row r="9" spans="1:17">
      <c r="A9" s="7">
        <v>96516247</v>
      </c>
      <c r="B9" s="7" t="s">
        <v>775</v>
      </c>
      <c r="C9" s="61">
        <v>1861</v>
      </c>
      <c r="D9" s="5">
        <v>930.5</v>
      </c>
      <c r="E9" s="5"/>
      <c r="G9" s="5">
        <v>520</v>
      </c>
      <c r="K9" s="5">
        <v>11.83</v>
      </c>
      <c r="L9" s="8">
        <v>4</v>
      </c>
      <c r="M9" s="5">
        <f t="shared" si="0"/>
        <v>47.32</v>
      </c>
    </row>
    <row r="10" spans="1:17">
      <c r="A10" s="7">
        <v>92900982</v>
      </c>
      <c r="B10" s="7" t="s">
        <v>776</v>
      </c>
      <c r="C10" s="61">
        <v>2060</v>
      </c>
      <c r="D10" s="5">
        <v>1030</v>
      </c>
      <c r="E10" s="5"/>
      <c r="F10" s="5"/>
      <c r="G10" s="5">
        <v>520</v>
      </c>
      <c r="H10" s="5"/>
      <c r="I10" s="5"/>
      <c r="J10" s="5"/>
      <c r="K10" s="5">
        <v>11.83</v>
      </c>
      <c r="L10" s="8">
        <v>4</v>
      </c>
      <c r="M10" s="5">
        <f t="shared" si="0"/>
        <v>47.32</v>
      </c>
      <c r="N10" s="5"/>
      <c r="O10" s="5"/>
      <c r="P10" s="5"/>
      <c r="Q10" s="5"/>
    </row>
    <row r="11" spans="1:17">
      <c r="A11" s="7">
        <v>92901045</v>
      </c>
      <c r="B11" s="7" t="s">
        <v>776</v>
      </c>
      <c r="C11" s="61">
        <v>2150</v>
      </c>
      <c r="D11" s="5">
        <v>1075</v>
      </c>
      <c r="E11" s="5"/>
      <c r="G11" s="5">
        <v>520</v>
      </c>
      <c r="H11" s="5"/>
      <c r="I11" s="5"/>
      <c r="J11" s="5"/>
      <c r="K11" s="5">
        <v>11.83</v>
      </c>
      <c r="L11" s="8">
        <v>4</v>
      </c>
      <c r="M11" s="5">
        <f t="shared" si="0"/>
        <v>47.32</v>
      </c>
    </row>
    <row r="12" spans="1:17">
      <c r="A12" s="7">
        <v>96516183</v>
      </c>
      <c r="B12" s="7" t="s">
        <v>776</v>
      </c>
      <c r="C12" s="61">
        <v>1849</v>
      </c>
      <c r="D12" s="5">
        <v>924.5</v>
      </c>
      <c r="E12" s="5"/>
      <c r="G12" s="5">
        <v>520</v>
      </c>
      <c r="K12" s="5">
        <v>11.83</v>
      </c>
      <c r="L12" s="8">
        <v>4</v>
      </c>
      <c r="M12" s="5">
        <f t="shared" si="0"/>
        <v>47.32</v>
      </c>
    </row>
    <row r="13" spans="1:17">
      <c r="A13" s="7">
        <v>96516248</v>
      </c>
      <c r="B13" s="7" t="s">
        <v>776</v>
      </c>
      <c r="C13" s="61">
        <v>1939</v>
      </c>
      <c r="D13" s="5">
        <v>969.5</v>
      </c>
      <c r="E13" s="5"/>
      <c r="G13" s="5">
        <v>520</v>
      </c>
      <c r="K13" s="5">
        <v>11.83</v>
      </c>
      <c r="L13" s="8">
        <v>4</v>
      </c>
      <c r="M13" s="5">
        <f t="shared" si="0"/>
        <v>47.32</v>
      </c>
    </row>
    <row r="14" spans="1:17">
      <c r="A14" s="7">
        <v>92900983</v>
      </c>
      <c r="B14" s="7" t="s">
        <v>777</v>
      </c>
      <c r="C14" s="61">
        <v>2132</v>
      </c>
      <c r="D14" s="5">
        <v>1066</v>
      </c>
      <c r="E14" s="5"/>
      <c r="G14" s="5">
        <v>520</v>
      </c>
      <c r="H14" s="5"/>
      <c r="I14" s="5"/>
      <c r="J14" s="5"/>
      <c r="K14" s="5">
        <v>11.83</v>
      </c>
      <c r="L14" s="8">
        <v>4</v>
      </c>
      <c r="M14" s="5">
        <f t="shared" si="0"/>
        <v>47.32</v>
      </c>
    </row>
    <row r="15" spans="1:17">
      <c r="A15" s="7">
        <v>92901046</v>
      </c>
      <c r="B15" s="7" t="s">
        <v>777</v>
      </c>
      <c r="C15" s="61">
        <v>2222</v>
      </c>
      <c r="D15" s="5">
        <v>1111</v>
      </c>
      <c r="E15" s="5"/>
      <c r="G15" s="5">
        <v>520</v>
      </c>
      <c r="H15" s="5"/>
      <c r="I15" s="5"/>
      <c r="J15" s="5"/>
      <c r="K15" s="5">
        <v>11.83</v>
      </c>
      <c r="L15" s="8">
        <v>4</v>
      </c>
      <c r="M15" s="5">
        <f t="shared" si="0"/>
        <v>47.32</v>
      </c>
    </row>
    <row r="16" spans="1:17">
      <c r="A16" s="7">
        <v>96516185</v>
      </c>
      <c r="B16" s="7" t="s">
        <v>777</v>
      </c>
      <c r="C16" s="61">
        <v>1921</v>
      </c>
      <c r="D16" s="5">
        <v>960.5</v>
      </c>
      <c r="E16" s="5"/>
      <c r="G16" s="5">
        <v>520</v>
      </c>
      <c r="K16" s="5">
        <v>11.83</v>
      </c>
      <c r="L16" s="8">
        <v>4</v>
      </c>
      <c r="M16" s="5">
        <f t="shared" si="0"/>
        <v>47.32</v>
      </c>
    </row>
    <row r="17" spans="1:17">
      <c r="A17" s="7">
        <v>96516249</v>
      </c>
      <c r="B17" s="7" t="s">
        <v>777</v>
      </c>
      <c r="C17" s="61">
        <v>2011</v>
      </c>
      <c r="D17" s="5">
        <v>1005.5</v>
      </c>
      <c r="E17" s="5"/>
      <c r="G17" s="5">
        <v>520</v>
      </c>
      <c r="K17" s="5">
        <v>11.83</v>
      </c>
      <c r="L17" s="8">
        <v>4</v>
      </c>
      <c r="M17" s="5">
        <f t="shared" si="0"/>
        <v>47.32</v>
      </c>
    </row>
    <row r="18" spans="1:17">
      <c r="A18" s="7">
        <v>92900986</v>
      </c>
      <c r="B18" s="7" t="s">
        <v>778</v>
      </c>
      <c r="C18" s="61">
        <v>2287</v>
      </c>
      <c r="D18" s="5">
        <v>1143.5</v>
      </c>
      <c r="E18" s="5"/>
      <c r="G18" s="5">
        <v>520</v>
      </c>
      <c r="H18" s="5"/>
      <c r="I18" s="5"/>
      <c r="J18" s="5"/>
      <c r="K18" s="5">
        <v>11.83</v>
      </c>
      <c r="L18" s="8">
        <v>4</v>
      </c>
      <c r="M18" s="5">
        <f t="shared" si="0"/>
        <v>47.32</v>
      </c>
    </row>
    <row r="19" spans="1:17">
      <c r="A19" s="7">
        <v>92901047</v>
      </c>
      <c r="B19" s="7" t="s">
        <v>778</v>
      </c>
      <c r="C19" s="61">
        <v>2377</v>
      </c>
      <c r="D19" s="5">
        <v>1188.5</v>
      </c>
      <c r="E19" s="5"/>
      <c r="G19" s="5">
        <v>520</v>
      </c>
      <c r="H19" s="5"/>
      <c r="I19" s="5"/>
      <c r="J19" s="5"/>
      <c r="K19" s="5">
        <v>11.83</v>
      </c>
      <c r="L19" s="8">
        <v>4</v>
      </c>
      <c r="M19" s="5">
        <f t="shared" si="0"/>
        <v>47.32</v>
      </c>
    </row>
    <row r="20" spans="1:17">
      <c r="A20" s="7">
        <v>96516186</v>
      </c>
      <c r="B20" s="7" t="s">
        <v>778</v>
      </c>
      <c r="C20" s="61">
        <v>2076</v>
      </c>
      <c r="D20" s="5">
        <v>1038</v>
      </c>
      <c r="E20" s="5"/>
      <c r="G20" s="5">
        <v>520</v>
      </c>
      <c r="K20" s="5">
        <v>11.83</v>
      </c>
      <c r="L20" s="8">
        <v>4</v>
      </c>
      <c r="M20" s="5">
        <f t="shared" si="0"/>
        <v>47.32</v>
      </c>
    </row>
    <row r="21" spans="1:17">
      <c r="A21" s="7">
        <v>96516250</v>
      </c>
      <c r="B21" s="7" t="s">
        <v>778</v>
      </c>
      <c r="C21" s="61">
        <v>2166</v>
      </c>
      <c r="D21" s="5">
        <v>1083</v>
      </c>
      <c r="E21" s="5"/>
      <c r="G21" s="5">
        <v>520</v>
      </c>
      <c r="K21" s="5">
        <v>11.83</v>
      </c>
      <c r="L21" s="8">
        <v>4</v>
      </c>
      <c r="M21" s="5">
        <f t="shared" si="0"/>
        <v>47.32</v>
      </c>
    </row>
    <row r="22" spans="1:17">
      <c r="A22" s="7">
        <v>92901382</v>
      </c>
      <c r="B22" s="7" t="s">
        <v>779</v>
      </c>
      <c r="C22" s="61">
        <v>2562</v>
      </c>
      <c r="D22" s="5">
        <v>1281</v>
      </c>
      <c r="E22" s="5"/>
      <c r="G22" s="5">
        <v>520</v>
      </c>
      <c r="H22" s="5"/>
      <c r="I22" s="5"/>
      <c r="J22" s="5"/>
      <c r="K22" s="5">
        <v>11.83</v>
      </c>
      <c r="L22" s="8">
        <v>4</v>
      </c>
      <c r="M22" s="5">
        <f t="shared" si="0"/>
        <v>47.32</v>
      </c>
      <c r="N22" s="5"/>
      <c r="O22" s="5"/>
      <c r="P22" s="5"/>
      <c r="Q22" s="5"/>
    </row>
    <row r="23" spans="1:17">
      <c r="A23" s="7">
        <v>92901390</v>
      </c>
      <c r="B23" s="7" t="s">
        <v>779</v>
      </c>
      <c r="C23" s="61">
        <v>2652</v>
      </c>
      <c r="D23" s="5">
        <v>1326</v>
      </c>
      <c r="E23" s="5"/>
      <c r="G23" s="5">
        <v>520</v>
      </c>
      <c r="H23" s="5"/>
      <c r="I23" s="5"/>
      <c r="J23" s="5"/>
      <c r="K23" s="5">
        <v>11.83</v>
      </c>
      <c r="L23" s="8">
        <v>4</v>
      </c>
      <c r="M23" s="5">
        <f t="shared" si="0"/>
        <v>47.32</v>
      </c>
      <c r="N23" s="5"/>
      <c r="O23" s="5"/>
      <c r="P23" s="5"/>
      <c r="Q23" s="5"/>
    </row>
    <row r="24" spans="1:17">
      <c r="A24" s="7">
        <v>96516188</v>
      </c>
      <c r="B24" s="7" t="s">
        <v>779</v>
      </c>
      <c r="C24" s="61">
        <v>2216</v>
      </c>
      <c r="D24" s="5">
        <v>1108</v>
      </c>
      <c r="E24" s="5"/>
      <c r="G24" s="5">
        <v>520</v>
      </c>
      <c r="K24" s="5">
        <v>11.83</v>
      </c>
      <c r="L24" s="8">
        <v>4</v>
      </c>
      <c r="M24" s="5">
        <f t="shared" si="0"/>
        <v>47.32</v>
      </c>
    </row>
    <row r="25" spans="1:17">
      <c r="A25" s="7">
        <v>96516251</v>
      </c>
      <c r="B25" s="7" t="s">
        <v>779</v>
      </c>
      <c r="C25" s="61">
        <v>2306</v>
      </c>
      <c r="D25" s="5">
        <v>1153</v>
      </c>
      <c r="E25" s="5"/>
      <c r="G25" s="5">
        <v>520</v>
      </c>
      <c r="K25" s="5">
        <v>11.83</v>
      </c>
      <c r="L25" s="8">
        <v>4</v>
      </c>
      <c r="M25" s="5">
        <f t="shared" si="0"/>
        <v>47.32</v>
      </c>
    </row>
    <row r="26" spans="1:17">
      <c r="A26" s="7">
        <v>92901383</v>
      </c>
      <c r="B26" s="7" t="s">
        <v>780</v>
      </c>
      <c r="C26" s="61">
        <v>2717</v>
      </c>
      <c r="D26" s="5">
        <v>1358.5</v>
      </c>
      <c r="E26" s="5"/>
      <c r="G26" s="5">
        <v>520</v>
      </c>
      <c r="H26" s="5"/>
      <c r="I26" s="5"/>
      <c r="J26" s="5"/>
      <c r="K26" s="5">
        <v>11.83</v>
      </c>
      <c r="L26" s="8">
        <v>4</v>
      </c>
      <c r="M26" s="5">
        <f t="shared" si="0"/>
        <v>47.32</v>
      </c>
      <c r="N26" s="5"/>
      <c r="O26" s="5"/>
      <c r="P26" s="5"/>
      <c r="Q26" s="5"/>
    </row>
    <row r="27" spans="1:17">
      <c r="A27" s="7">
        <v>92901391</v>
      </c>
      <c r="B27" s="7" t="s">
        <v>780</v>
      </c>
      <c r="C27" s="61">
        <v>2807</v>
      </c>
      <c r="D27" s="5">
        <v>1403.5</v>
      </c>
      <c r="E27" s="5"/>
      <c r="G27" s="5">
        <v>520</v>
      </c>
      <c r="H27" s="5"/>
      <c r="I27" s="5"/>
      <c r="J27" s="5"/>
      <c r="K27" s="5">
        <v>11.83</v>
      </c>
      <c r="L27" s="8">
        <v>4</v>
      </c>
      <c r="M27" s="5">
        <f t="shared" si="0"/>
        <v>47.32</v>
      </c>
      <c r="N27" s="5"/>
      <c r="O27" s="5"/>
      <c r="P27" s="5"/>
      <c r="Q27" s="5"/>
    </row>
    <row r="28" spans="1:17">
      <c r="A28" s="7">
        <v>96516190</v>
      </c>
      <c r="B28" s="7" t="s">
        <v>780</v>
      </c>
      <c r="C28" s="61">
        <v>2371</v>
      </c>
      <c r="D28" s="5">
        <v>1185.5</v>
      </c>
      <c r="E28" s="5"/>
      <c r="G28" s="5">
        <v>520</v>
      </c>
      <c r="K28" s="5">
        <v>11.83</v>
      </c>
      <c r="L28" s="8">
        <v>4</v>
      </c>
      <c r="M28" s="5">
        <f t="shared" si="0"/>
        <v>47.32</v>
      </c>
    </row>
    <row r="29" spans="1:17">
      <c r="A29" s="7">
        <v>96516252</v>
      </c>
      <c r="B29" s="7" t="s">
        <v>780</v>
      </c>
      <c r="C29" s="61">
        <v>2461</v>
      </c>
      <c r="D29" s="5">
        <v>1230.5</v>
      </c>
      <c r="E29" s="5"/>
      <c r="G29" s="5">
        <v>520</v>
      </c>
      <c r="K29" s="5">
        <v>11.83</v>
      </c>
      <c r="L29" s="8">
        <v>4</v>
      </c>
      <c r="M29" s="5">
        <f t="shared" si="0"/>
        <v>47.32</v>
      </c>
    </row>
    <row r="30" spans="1:17">
      <c r="A30" s="7">
        <v>92900962</v>
      </c>
      <c r="B30" s="7" t="s">
        <v>781</v>
      </c>
      <c r="C30" s="61">
        <v>1376</v>
      </c>
      <c r="D30" s="5">
        <v>688</v>
      </c>
      <c r="E30" s="5"/>
      <c r="F30" s="5"/>
      <c r="G30" s="5">
        <v>520</v>
      </c>
      <c r="H30" s="5"/>
      <c r="I30" s="5"/>
      <c r="J30" s="5"/>
      <c r="K30" s="5">
        <v>11.83</v>
      </c>
      <c r="L30" s="8">
        <v>4</v>
      </c>
      <c r="M30" s="5">
        <f t="shared" si="0"/>
        <v>47.32</v>
      </c>
      <c r="N30" s="5"/>
      <c r="O30" s="5"/>
      <c r="P30" s="5"/>
      <c r="Q30" s="5"/>
    </row>
    <row r="31" spans="1:17">
      <c r="A31" s="7">
        <v>92901032</v>
      </c>
      <c r="B31" s="7" t="s">
        <v>781</v>
      </c>
      <c r="C31" s="61">
        <v>1467</v>
      </c>
      <c r="D31" s="5">
        <v>733.5</v>
      </c>
      <c r="E31" s="5"/>
      <c r="G31" s="5">
        <v>520</v>
      </c>
      <c r="H31" s="5"/>
      <c r="I31" s="5"/>
      <c r="J31" s="5"/>
      <c r="K31" s="5">
        <v>11.83</v>
      </c>
      <c r="L31" s="8">
        <v>4</v>
      </c>
      <c r="M31" s="5">
        <f t="shared" si="0"/>
        <v>47.32</v>
      </c>
    </row>
    <row r="32" spans="1:17">
      <c r="A32" s="7">
        <v>96516169</v>
      </c>
      <c r="B32" s="7" t="s">
        <v>781</v>
      </c>
      <c r="C32" s="61">
        <v>1294</v>
      </c>
      <c r="D32" s="5">
        <v>647</v>
      </c>
      <c r="E32" s="5"/>
      <c r="G32" s="5">
        <v>520</v>
      </c>
      <c r="K32" s="5">
        <v>11.83</v>
      </c>
      <c r="L32" s="8">
        <v>4</v>
      </c>
      <c r="M32" s="5">
        <f t="shared" si="0"/>
        <v>47.32</v>
      </c>
    </row>
    <row r="33" spans="1:17">
      <c r="A33" s="7">
        <v>96516239</v>
      </c>
      <c r="B33" s="7" t="s">
        <v>781</v>
      </c>
      <c r="C33" s="61">
        <v>1384</v>
      </c>
      <c r="D33" s="5">
        <v>692</v>
      </c>
      <c r="E33" s="5"/>
      <c r="G33" s="5">
        <v>520</v>
      </c>
      <c r="K33" s="5">
        <v>11.83</v>
      </c>
      <c r="L33" s="8">
        <v>4</v>
      </c>
      <c r="M33" s="5">
        <f t="shared" si="0"/>
        <v>47.32</v>
      </c>
    </row>
    <row r="34" spans="1:17">
      <c r="A34" s="7">
        <v>92901384</v>
      </c>
      <c r="B34" s="7" t="s">
        <v>782</v>
      </c>
      <c r="C34" s="61">
        <v>2872</v>
      </c>
      <c r="D34" s="5">
        <v>1436</v>
      </c>
      <c r="E34" s="5"/>
      <c r="G34" s="5">
        <v>520</v>
      </c>
      <c r="H34" s="5"/>
      <c r="I34" s="5"/>
      <c r="J34" s="5"/>
      <c r="K34" s="5">
        <v>11.83</v>
      </c>
      <c r="L34" s="8">
        <v>4</v>
      </c>
      <c r="M34" s="5">
        <f t="shared" si="0"/>
        <v>47.32</v>
      </c>
      <c r="N34" s="5"/>
      <c r="O34" s="5"/>
      <c r="P34" s="5"/>
      <c r="Q34" s="5"/>
    </row>
    <row r="35" spans="1:17">
      <c r="A35" s="7">
        <v>92901392</v>
      </c>
      <c r="B35" s="7" t="s">
        <v>782</v>
      </c>
      <c r="C35" s="61">
        <v>2963</v>
      </c>
      <c r="D35" s="5">
        <v>1481.5</v>
      </c>
      <c r="E35" s="5"/>
      <c r="G35" s="5">
        <v>520</v>
      </c>
      <c r="H35" s="5"/>
      <c r="I35" s="5"/>
      <c r="J35" s="5"/>
      <c r="K35" s="5">
        <v>11.83</v>
      </c>
      <c r="L35" s="8">
        <v>4</v>
      </c>
      <c r="M35" s="5">
        <f t="shared" si="0"/>
        <v>47.32</v>
      </c>
      <c r="N35" s="5"/>
      <c r="O35" s="5"/>
      <c r="P35" s="5"/>
      <c r="Q35" s="5"/>
    </row>
    <row r="36" spans="1:17">
      <c r="A36" s="7">
        <v>96516192</v>
      </c>
      <c r="B36" s="7" t="s">
        <v>782</v>
      </c>
      <c r="C36" s="61">
        <v>2526</v>
      </c>
      <c r="D36" s="5">
        <v>1263</v>
      </c>
      <c r="E36" s="5"/>
      <c r="G36" s="5">
        <v>520</v>
      </c>
      <c r="K36" s="5">
        <v>11.83</v>
      </c>
      <c r="L36" s="8">
        <v>4</v>
      </c>
      <c r="M36" s="5">
        <f t="shared" si="0"/>
        <v>47.32</v>
      </c>
    </row>
    <row r="37" spans="1:17">
      <c r="A37" s="7">
        <v>96516253</v>
      </c>
      <c r="B37" s="7" t="s">
        <v>782</v>
      </c>
      <c r="C37" s="61">
        <v>2617</v>
      </c>
      <c r="D37" s="5">
        <v>1308.5</v>
      </c>
      <c r="E37" s="5"/>
      <c r="G37" s="5">
        <v>520</v>
      </c>
      <c r="K37" s="5">
        <v>11.83</v>
      </c>
      <c r="L37" s="8">
        <v>4</v>
      </c>
      <c r="M37" s="5">
        <f t="shared" si="0"/>
        <v>47.32</v>
      </c>
    </row>
    <row r="38" spans="1:17">
      <c r="A38" s="7">
        <v>92901385</v>
      </c>
      <c r="B38" s="7" t="s">
        <v>783</v>
      </c>
      <c r="C38" s="61">
        <v>3034</v>
      </c>
      <c r="D38" s="5">
        <v>1517</v>
      </c>
      <c r="E38" s="5"/>
      <c r="G38" s="5">
        <v>520</v>
      </c>
      <c r="H38" s="5"/>
      <c r="I38" s="5"/>
      <c r="J38" s="5"/>
      <c r="K38" s="5">
        <v>11.83</v>
      </c>
      <c r="L38" s="8">
        <v>4</v>
      </c>
      <c r="M38" s="5">
        <f t="shared" si="0"/>
        <v>47.32</v>
      </c>
      <c r="N38" s="5"/>
      <c r="O38" s="5"/>
      <c r="P38" s="5"/>
      <c r="Q38" s="5"/>
    </row>
    <row r="39" spans="1:17">
      <c r="A39" s="7">
        <v>92901393</v>
      </c>
      <c r="B39" s="7" t="s">
        <v>783</v>
      </c>
      <c r="C39" s="61">
        <v>3124</v>
      </c>
      <c r="D39" s="5">
        <v>1562</v>
      </c>
      <c r="E39" s="5"/>
      <c r="G39" s="5">
        <v>520</v>
      </c>
      <c r="H39" s="5"/>
      <c r="I39" s="5"/>
      <c r="J39" s="5"/>
      <c r="K39" s="5">
        <v>11.83</v>
      </c>
      <c r="L39" s="8">
        <v>4</v>
      </c>
      <c r="M39" s="5">
        <f t="shared" si="0"/>
        <v>47.32</v>
      </c>
      <c r="N39" s="5"/>
      <c r="O39" s="5"/>
      <c r="P39" s="5"/>
      <c r="Q39" s="5"/>
    </row>
    <row r="40" spans="1:17">
      <c r="A40" s="7">
        <v>96516193</v>
      </c>
      <c r="B40" s="7" t="s">
        <v>783</v>
      </c>
      <c r="C40" s="61">
        <v>2688</v>
      </c>
      <c r="D40" s="5">
        <v>1344</v>
      </c>
      <c r="E40" s="5"/>
      <c r="G40" s="5">
        <v>520</v>
      </c>
      <c r="K40" s="5">
        <v>11.83</v>
      </c>
      <c r="L40" s="8">
        <v>4</v>
      </c>
      <c r="M40" s="5">
        <f t="shared" si="0"/>
        <v>47.32</v>
      </c>
    </row>
    <row r="41" spans="1:17">
      <c r="A41" s="7">
        <v>96516254</v>
      </c>
      <c r="B41" s="7" t="s">
        <v>783</v>
      </c>
      <c r="C41" s="61">
        <v>2778</v>
      </c>
      <c r="D41" s="5">
        <v>1389</v>
      </c>
      <c r="E41" s="5"/>
      <c r="G41" s="5">
        <v>520</v>
      </c>
      <c r="K41" s="5">
        <v>11.83</v>
      </c>
      <c r="L41" s="8">
        <v>4</v>
      </c>
      <c r="M41" s="5">
        <f t="shared" si="0"/>
        <v>47.32</v>
      </c>
    </row>
    <row r="42" spans="1:17">
      <c r="A42" s="7">
        <v>92901048</v>
      </c>
      <c r="B42" s="7" t="s">
        <v>784</v>
      </c>
      <c r="C42" s="61">
        <v>3535</v>
      </c>
      <c r="D42" s="5">
        <v>1767.5</v>
      </c>
      <c r="E42" s="5"/>
      <c r="G42" s="5">
        <v>520</v>
      </c>
      <c r="H42" s="5"/>
      <c r="I42" s="5"/>
      <c r="J42" s="5"/>
      <c r="K42" s="5">
        <v>11.83</v>
      </c>
      <c r="L42" s="8">
        <v>4</v>
      </c>
      <c r="M42" s="5">
        <f t="shared" si="0"/>
        <v>47.32</v>
      </c>
    </row>
    <row r="43" spans="1:17">
      <c r="A43" s="7">
        <v>96516255</v>
      </c>
      <c r="B43" s="7" t="s">
        <v>784</v>
      </c>
      <c r="C43" s="61">
        <v>3071</v>
      </c>
      <c r="D43" s="5">
        <v>1535.5</v>
      </c>
      <c r="E43" s="5"/>
      <c r="G43" s="5">
        <v>520</v>
      </c>
      <c r="K43" s="5">
        <v>11.83</v>
      </c>
      <c r="L43" s="8">
        <v>4</v>
      </c>
      <c r="M43" s="5">
        <f t="shared" si="0"/>
        <v>47.32</v>
      </c>
    </row>
    <row r="44" spans="1:17">
      <c r="A44" s="7">
        <v>92901049</v>
      </c>
      <c r="B44" s="7" t="s">
        <v>785</v>
      </c>
      <c r="C44" s="61">
        <v>3689</v>
      </c>
      <c r="D44" s="5">
        <v>1844.5</v>
      </c>
      <c r="E44" s="5"/>
      <c r="G44" s="5">
        <v>520</v>
      </c>
      <c r="H44" s="5"/>
      <c r="I44" s="5"/>
      <c r="J44" s="5"/>
      <c r="K44" s="5">
        <v>11.83</v>
      </c>
      <c r="L44" s="8">
        <v>4</v>
      </c>
      <c r="M44" s="5">
        <f t="shared" si="0"/>
        <v>47.32</v>
      </c>
    </row>
    <row r="45" spans="1:17">
      <c r="A45" s="7">
        <v>96516256</v>
      </c>
      <c r="B45" s="7" t="s">
        <v>785</v>
      </c>
      <c r="C45" s="61">
        <v>3225</v>
      </c>
      <c r="D45" s="5">
        <v>1612.5</v>
      </c>
      <c r="E45" s="5"/>
      <c r="G45" s="5">
        <v>520</v>
      </c>
      <c r="K45" s="5">
        <v>11.83</v>
      </c>
      <c r="L45" s="8">
        <v>4</v>
      </c>
      <c r="M45" s="5">
        <f t="shared" si="0"/>
        <v>47.32</v>
      </c>
    </row>
    <row r="46" spans="1:17">
      <c r="A46" s="7">
        <v>92900963</v>
      </c>
      <c r="B46" s="7" t="s">
        <v>786</v>
      </c>
      <c r="C46" s="61">
        <v>1426</v>
      </c>
      <c r="D46" s="5">
        <v>713</v>
      </c>
      <c r="E46" s="5"/>
      <c r="F46" s="5"/>
      <c r="G46" s="5">
        <v>520</v>
      </c>
      <c r="H46" s="5"/>
      <c r="I46" s="5"/>
      <c r="J46" s="5"/>
      <c r="K46" s="5">
        <v>11.83</v>
      </c>
      <c r="L46" s="8">
        <v>4</v>
      </c>
      <c r="M46" s="5">
        <f t="shared" si="0"/>
        <v>47.32</v>
      </c>
      <c r="N46" s="5"/>
      <c r="O46" s="5"/>
      <c r="P46" s="5"/>
      <c r="Q46" s="5"/>
    </row>
    <row r="47" spans="1:17">
      <c r="A47" s="7">
        <v>92901033</v>
      </c>
      <c r="B47" s="7" t="s">
        <v>786</v>
      </c>
      <c r="C47" s="61">
        <v>1516</v>
      </c>
      <c r="D47" s="5">
        <v>758</v>
      </c>
      <c r="E47" s="5"/>
      <c r="G47" s="5">
        <v>520</v>
      </c>
      <c r="H47" s="5"/>
      <c r="I47" s="5"/>
      <c r="J47" s="5"/>
      <c r="K47" s="5">
        <v>11.83</v>
      </c>
      <c r="L47" s="8">
        <v>4</v>
      </c>
      <c r="M47" s="5">
        <f t="shared" si="0"/>
        <v>47.32</v>
      </c>
    </row>
    <row r="48" spans="1:17">
      <c r="A48" s="7">
        <v>96516170</v>
      </c>
      <c r="B48" s="7" t="s">
        <v>786</v>
      </c>
      <c r="C48" s="61">
        <v>1343</v>
      </c>
      <c r="D48" s="5">
        <v>671.5</v>
      </c>
      <c r="E48" s="5"/>
      <c r="G48" s="5">
        <v>520</v>
      </c>
      <c r="K48" s="5">
        <v>11.83</v>
      </c>
      <c r="L48" s="8">
        <v>4</v>
      </c>
      <c r="M48" s="5">
        <f t="shared" si="0"/>
        <v>47.32</v>
      </c>
    </row>
    <row r="49" spans="1:17">
      <c r="A49" s="7">
        <v>96516240</v>
      </c>
      <c r="B49" s="7" t="s">
        <v>786</v>
      </c>
      <c r="C49" s="61">
        <v>1434</v>
      </c>
      <c r="D49" s="5">
        <v>717</v>
      </c>
      <c r="E49" s="5"/>
      <c r="G49" s="5">
        <v>520</v>
      </c>
      <c r="K49" s="5">
        <v>11.83</v>
      </c>
      <c r="L49" s="8">
        <v>4</v>
      </c>
      <c r="M49" s="5">
        <f t="shared" si="0"/>
        <v>47.32</v>
      </c>
    </row>
    <row r="50" spans="1:17">
      <c r="A50" s="7">
        <v>92901050</v>
      </c>
      <c r="B50" s="7" t="s">
        <v>787</v>
      </c>
      <c r="C50" s="61">
        <v>3928</v>
      </c>
      <c r="D50" s="5">
        <v>1964</v>
      </c>
      <c r="E50" s="5"/>
      <c r="G50" s="5">
        <v>520</v>
      </c>
      <c r="H50" s="5"/>
      <c r="I50" s="5"/>
      <c r="J50" s="5"/>
      <c r="K50" s="5">
        <v>11.83</v>
      </c>
      <c r="L50" s="8">
        <v>4</v>
      </c>
      <c r="M50" s="5">
        <f t="shared" si="0"/>
        <v>47.32</v>
      </c>
    </row>
    <row r="51" spans="1:17">
      <c r="A51" s="7">
        <v>96516257</v>
      </c>
      <c r="B51" s="7" t="s">
        <v>787</v>
      </c>
      <c r="C51" s="61">
        <v>3465</v>
      </c>
      <c r="D51" s="5">
        <v>1732.5</v>
      </c>
      <c r="E51" s="5"/>
      <c r="G51" s="5">
        <v>520</v>
      </c>
      <c r="K51" s="5">
        <v>11.83</v>
      </c>
      <c r="L51" s="8">
        <v>4</v>
      </c>
      <c r="M51" s="5">
        <f t="shared" si="0"/>
        <v>47.32</v>
      </c>
    </row>
    <row r="52" spans="1:17">
      <c r="A52" s="7">
        <v>92901051</v>
      </c>
      <c r="B52" s="7" t="s">
        <v>788</v>
      </c>
      <c r="C52" s="61">
        <v>4391</v>
      </c>
      <c r="D52" s="5">
        <v>2195.5</v>
      </c>
      <c r="E52" s="5"/>
      <c r="G52" s="5">
        <v>520</v>
      </c>
      <c r="H52" s="5"/>
      <c r="I52" s="5"/>
      <c r="J52" s="5"/>
      <c r="K52" s="5">
        <v>11.83</v>
      </c>
      <c r="L52" s="8">
        <v>4</v>
      </c>
      <c r="M52" s="5">
        <f t="shared" si="0"/>
        <v>47.32</v>
      </c>
    </row>
    <row r="53" spans="1:17">
      <c r="A53" s="7">
        <v>96516258</v>
      </c>
      <c r="B53" s="7" t="s">
        <v>788</v>
      </c>
      <c r="C53" s="61">
        <v>3887</v>
      </c>
      <c r="D53" s="5">
        <v>1943.5</v>
      </c>
      <c r="E53" s="5"/>
      <c r="G53" s="5">
        <v>520</v>
      </c>
      <c r="K53" s="5">
        <v>11.83</v>
      </c>
      <c r="L53" s="8">
        <v>4</v>
      </c>
      <c r="M53" s="5">
        <f t="shared" si="0"/>
        <v>47.32</v>
      </c>
    </row>
    <row r="54" spans="1:17">
      <c r="A54" s="7">
        <v>92901052</v>
      </c>
      <c r="B54" s="7" t="s">
        <v>789</v>
      </c>
      <c r="C54" s="61">
        <v>4630</v>
      </c>
      <c r="D54" s="5">
        <v>2315</v>
      </c>
      <c r="E54" s="5"/>
      <c r="G54" s="5">
        <v>520</v>
      </c>
      <c r="H54" s="5"/>
      <c r="I54" s="5"/>
      <c r="J54" s="5"/>
      <c r="K54" s="5">
        <v>11.83</v>
      </c>
      <c r="L54" s="8">
        <v>4</v>
      </c>
      <c r="M54" s="5">
        <f t="shared" si="0"/>
        <v>47.32</v>
      </c>
    </row>
    <row r="55" spans="1:17">
      <c r="A55" s="7">
        <v>96516259</v>
      </c>
      <c r="B55" s="7" t="s">
        <v>789</v>
      </c>
      <c r="C55" s="61">
        <v>4126</v>
      </c>
      <c r="D55" s="5">
        <v>2063</v>
      </c>
      <c r="E55" s="5"/>
      <c r="G55" s="5">
        <v>520</v>
      </c>
      <c r="K55" s="5">
        <v>11.83</v>
      </c>
      <c r="L55" s="8">
        <v>4</v>
      </c>
      <c r="M55" s="5">
        <f t="shared" si="0"/>
        <v>47.32</v>
      </c>
    </row>
    <row r="56" spans="1:17">
      <c r="A56" s="7">
        <v>92900965</v>
      </c>
      <c r="B56" s="7" t="s">
        <v>790</v>
      </c>
      <c r="C56" s="61">
        <v>1476</v>
      </c>
      <c r="D56" s="5">
        <v>738</v>
      </c>
      <c r="E56" s="5"/>
      <c r="G56" s="5">
        <v>520</v>
      </c>
      <c r="H56" s="5"/>
      <c r="I56" s="5"/>
      <c r="J56" s="5"/>
      <c r="K56" s="5">
        <v>11.83</v>
      </c>
      <c r="L56" s="8">
        <v>4</v>
      </c>
      <c r="M56" s="5">
        <f t="shared" si="0"/>
        <v>47.32</v>
      </c>
    </row>
    <row r="57" spans="1:17">
      <c r="A57" s="7">
        <v>92901034</v>
      </c>
      <c r="B57" s="7" t="s">
        <v>790</v>
      </c>
      <c r="C57" s="61">
        <v>1566</v>
      </c>
      <c r="D57" s="5">
        <v>783</v>
      </c>
      <c r="E57" s="5"/>
      <c r="G57" s="5">
        <v>520</v>
      </c>
      <c r="H57" s="5"/>
      <c r="I57" s="5"/>
      <c r="J57" s="5"/>
      <c r="K57" s="5">
        <v>11.83</v>
      </c>
      <c r="L57" s="8">
        <v>4</v>
      </c>
      <c r="M57" s="5">
        <f t="shared" si="0"/>
        <v>47.32</v>
      </c>
    </row>
    <row r="58" spans="1:17">
      <c r="A58" s="7">
        <v>96516172</v>
      </c>
      <c r="B58" s="7" t="s">
        <v>790</v>
      </c>
      <c r="C58" s="61">
        <v>1393</v>
      </c>
      <c r="D58" s="5">
        <v>696.5</v>
      </c>
      <c r="E58" s="5"/>
      <c r="G58" s="5">
        <v>520</v>
      </c>
      <c r="K58" s="5">
        <v>11.83</v>
      </c>
      <c r="L58" s="8">
        <v>4</v>
      </c>
      <c r="M58" s="5">
        <f t="shared" si="0"/>
        <v>47.32</v>
      </c>
    </row>
    <row r="59" spans="1:17">
      <c r="A59" s="7">
        <v>96516241</v>
      </c>
      <c r="B59" s="7" t="s">
        <v>790</v>
      </c>
      <c r="C59" s="61">
        <v>1483</v>
      </c>
      <c r="D59" s="5">
        <v>741.5</v>
      </c>
      <c r="E59" s="5"/>
      <c r="G59" s="5">
        <v>520</v>
      </c>
      <c r="K59" s="5">
        <v>11.83</v>
      </c>
      <c r="L59" s="8">
        <v>4</v>
      </c>
      <c r="M59" s="5">
        <f t="shared" si="0"/>
        <v>47.32</v>
      </c>
    </row>
    <row r="60" spans="1:17">
      <c r="A60" s="7">
        <v>92900969</v>
      </c>
      <c r="B60" s="7" t="s">
        <v>791</v>
      </c>
      <c r="C60" s="61">
        <v>1526</v>
      </c>
      <c r="D60" s="5">
        <v>763</v>
      </c>
      <c r="E60" s="5"/>
      <c r="G60" s="5">
        <v>520</v>
      </c>
      <c r="H60" s="5"/>
      <c r="I60" s="5"/>
      <c r="J60" s="5"/>
      <c r="K60" s="5">
        <v>11.83</v>
      </c>
      <c r="L60" s="8">
        <v>4</v>
      </c>
      <c r="M60" s="5">
        <f t="shared" si="0"/>
        <v>47.32</v>
      </c>
    </row>
    <row r="61" spans="1:17">
      <c r="A61" s="7">
        <v>92901036</v>
      </c>
      <c r="B61" s="7" t="s">
        <v>791</v>
      </c>
      <c r="C61" s="61">
        <v>1616</v>
      </c>
      <c r="D61" s="5">
        <v>808</v>
      </c>
      <c r="E61" s="5"/>
      <c r="G61" s="5">
        <v>520</v>
      </c>
      <c r="H61" s="5"/>
      <c r="I61" s="5"/>
      <c r="J61" s="5"/>
      <c r="K61" s="5">
        <v>11.83</v>
      </c>
      <c r="L61" s="8">
        <v>4</v>
      </c>
      <c r="M61" s="5">
        <f t="shared" si="0"/>
        <v>47.32</v>
      </c>
    </row>
    <row r="62" spans="1:17">
      <c r="A62" s="7">
        <v>96516173</v>
      </c>
      <c r="B62" s="7" t="s">
        <v>791</v>
      </c>
      <c r="C62" s="61">
        <v>1443</v>
      </c>
      <c r="D62" s="5">
        <v>721.5</v>
      </c>
      <c r="E62" s="5"/>
      <c r="G62" s="5">
        <v>520</v>
      </c>
      <c r="K62" s="5">
        <v>11.83</v>
      </c>
      <c r="L62" s="8">
        <v>4</v>
      </c>
      <c r="M62" s="5">
        <f t="shared" si="0"/>
        <v>47.32</v>
      </c>
    </row>
    <row r="63" spans="1:17">
      <c r="A63" s="7">
        <v>96516242</v>
      </c>
      <c r="B63" s="7" t="s">
        <v>791</v>
      </c>
      <c r="C63" s="61">
        <v>1534</v>
      </c>
      <c r="D63" s="5">
        <v>767</v>
      </c>
      <c r="E63" s="5"/>
      <c r="G63" s="5">
        <v>520</v>
      </c>
      <c r="K63" s="5">
        <v>11.83</v>
      </c>
      <c r="L63" s="8">
        <v>4</v>
      </c>
      <c r="M63" s="5">
        <f t="shared" si="0"/>
        <v>47.32</v>
      </c>
    </row>
    <row r="64" spans="1:17">
      <c r="A64" s="7">
        <v>92900970</v>
      </c>
      <c r="B64" s="7" t="s">
        <v>792</v>
      </c>
      <c r="C64" s="61">
        <v>1576</v>
      </c>
      <c r="D64" s="5">
        <v>788</v>
      </c>
      <c r="E64" s="5"/>
      <c r="F64" s="5"/>
      <c r="G64" s="5">
        <v>520</v>
      </c>
      <c r="H64" s="5"/>
      <c r="I64" s="5"/>
      <c r="J64" s="5"/>
      <c r="K64" s="5">
        <v>11.83</v>
      </c>
      <c r="L64" s="8">
        <v>4</v>
      </c>
      <c r="M64" s="5">
        <f t="shared" si="0"/>
        <v>47.32</v>
      </c>
      <c r="N64" s="5"/>
      <c r="O64" s="5"/>
      <c r="P64" s="5"/>
      <c r="Q64" s="5"/>
    </row>
    <row r="65" spans="1:17">
      <c r="A65" s="7">
        <v>92901037</v>
      </c>
      <c r="B65" s="7" t="s">
        <v>792</v>
      </c>
      <c r="C65" s="61">
        <v>1667</v>
      </c>
      <c r="D65" s="5">
        <v>833.5</v>
      </c>
      <c r="E65" s="5"/>
      <c r="G65" s="5">
        <v>520</v>
      </c>
      <c r="H65" s="5"/>
      <c r="I65" s="5"/>
      <c r="J65" s="5"/>
      <c r="K65" s="5">
        <v>11.83</v>
      </c>
      <c r="L65" s="8">
        <v>4</v>
      </c>
      <c r="M65" s="5">
        <f t="shared" si="0"/>
        <v>47.32</v>
      </c>
    </row>
    <row r="66" spans="1:17">
      <c r="A66" s="7">
        <v>96516174</v>
      </c>
      <c r="B66" s="7" t="s">
        <v>792</v>
      </c>
      <c r="C66" s="61">
        <v>1494</v>
      </c>
      <c r="D66" s="5">
        <v>747</v>
      </c>
      <c r="E66" s="5"/>
      <c r="G66" s="5">
        <v>520</v>
      </c>
      <c r="K66" s="5">
        <v>11.83</v>
      </c>
      <c r="L66" s="8">
        <v>4</v>
      </c>
      <c r="M66" s="5">
        <f t="shared" si="0"/>
        <v>47.32</v>
      </c>
    </row>
    <row r="67" spans="1:17">
      <c r="A67" s="7">
        <v>96516243</v>
      </c>
      <c r="B67" s="7" t="s">
        <v>792</v>
      </c>
      <c r="C67" s="61">
        <v>1584</v>
      </c>
      <c r="D67" s="5">
        <v>792</v>
      </c>
      <c r="E67" s="5"/>
      <c r="G67" s="5">
        <v>520</v>
      </c>
      <c r="K67" s="5">
        <v>11.83</v>
      </c>
      <c r="L67" s="8">
        <v>4</v>
      </c>
      <c r="M67" s="5">
        <f t="shared" si="0"/>
        <v>47.32</v>
      </c>
    </row>
    <row r="68" spans="1:17">
      <c r="A68" s="7">
        <v>92900972</v>
      </c>
      <c r="B68" s="7" t="s">
        <v>793</v>
      </c>
      <c r="C68" s="61">
        <v>1626</v>
      </c>
      <c r="D68" s="5">
        <v>813</v>
      </c>
      <c r="E68" s="5"/>
      <c r="F68" s="5"/>
      <c r="G68" s="5">
        <v>520</v>
      </c>
      <c r="H68" s="5"/>
      <c r="I68" s="5"/>
      <c r="J68" s="5"/>
      <c r="K68" s="5">
        <v>11.83</v>
      </c>
      <c r="L68" s="8">
        <v>4</v>
      </c>
      <c r="M68" s="5">
        <f t="shared" si="0"/>
        <v>47.32</v>
      </c>
      <c r="N68" s="5"/>
      <c r="O68" s="5"/>
      <c r="P68" s="5"/>
      <c r="Q68" s="5"/>
    </row>
    <row r="69" spans="1:17">
      <c r="A69" s="7">
        <v>92901038</v>
      </c>
      <c r="B69" s="7" t="s">
        <v>793</v>
      </c>
      <c r="C69" s="61">
        <v>1717</v>
      </c>
      <c r="D69" s="5">
        <v>858.5</v>
      </c>
      <c r="E69" s="5"/>
      <c r="G69" s="5">
        <v>520</v>
      </c>
      <c r="H69" s="5"/>
      <c r="I69" s="5"/>
      <c r="J69" s="5"/>
      <c r="K69" s="5">
        <v>11.83</v>
      </c>
      <c r="L69" s="8">
        <v>4</v>
      </c>
      <c r="M69" s="5">
        <f t="shared" si="0"/>
        <v>47.32</v>
      </c>
    </row>
    <row r="70" spans="1:17">
      <c r="A70" s="7">
        <v>96516176</v>
      </c>
      <c r="B70" s="7" t="s">
        <v>793</v>
      </c>
      <c r="C70" s="61">
        <v>1544</v>
      </c>
      <c r="D70" s="5">
        <v>772</v>
      </c>
      <c r="E70" s="5"/>
      <c r="G70" s="5">
        <v>520</v>
      </c>
      <c r="K70" s="5">
        <v>11.83</v>
      </c>
      <c r="L70" s="8">
        <v>4</v>
      </c>
      <c r="M70" s="5">
        <f t="shared" si="0"/>
        <v>47.32</v>
      </c>
    </row>
    <row r="71" spans="1:17">
      <c r="A71" s="7">
        <v>96516244</v>
      </c>
      <c r="B71" s="7" t="s">
        <v>793</v>
      </c>
      <c r="C71" s="61">
        <v>1634</v>
      </c>
      <c r="D71" s="5">
        <v>817</v>
      </c>
      <c r="E71" s="5"/>
      <c r="G71" s="5">
        <v>520</v>
      </c>
      <c r="K71" s="5">
        <v>11.83</v>
      </c>
      <c r="L71" s="8">
        <v>4</v>
      </c>
      <c r="M71" s="5">
        <f t="shared" si="0"/>
        <v>47.32</v>
      </c>
    </row>
    <row r="72" spans="1:17">
      <c r="A72" s="7">
        <v>92900974</v>
      </c>
      <c r="B72" s="7" t="s">
        <v>794</v>
      </c>
      <c r="C72" s="61">
        <v>1701</v>
      </c>
      <c r="D72" s="5">
        <v>850.5</v>
      </c>
      <c r="E72" s="5"/>
      <c r="F72" s="5"/>
      <c r="G72" s="5">
        <v>520</v>
      </c>
      <c r="H72" s="5"/>
      <c r="I72" s="5"/>
      <c r="J72" s="5"/>
      <c r="K72" s="5">
        <v>11.83</v>
      </c>
      <c r="L72" s="8">
        <v>4</v>
      </c>
      <c r="M72" s="5">
        <f t="shared" si="0"/>
        <v>47.32</v>
      </c>
      <c r="N72" s="5"/>
      <c r="O72" s="5"/>
      <c r="P72" s="5"/>
      <c r="Q72" s="5"/>
    </row>
    <row r="73" spans="1:17">
      <c r="A73" s="7">
        <v>92901039</v>
      </c>
      <c r="B73" s="7" t="s">
        <v>794</v>
      </c>
      <c r="C73" s="61">
        <v>1791</v>
      </c>
      <c r="D73" s="5">
        <v>895.5</v>
      </c>
      <c r="E73" s="5"/>
      <c r="G73" s="5">
        <v>520</v>
      </c>
      <c r="H73" s="5"/>
      <c r="I73" s="5"/>
      <c r="J73" s="5"/>
      <c r="K73" s="5">
        <v>11.83</v>
      </c>
      <c r="L73" s="8">
        <v>4</v>
      </c>
      <c r="M73" s="5">
        <f t="shared" si="0"/>
        <v>47.32</v>
      </c>
    </row>
    <row r="74" spans="1:17">
      <c r="A74" s="7">
        <v>96516177</v>
      </c>
      <c r="B74" s="7" t="s">
        <v>794</v>
      </c>
      <c r="C74" s="61">
        <v>1583</v>
      </c>
      <c r="D74" s="5">
        <v>791.5</v>
      </c>
      <c r="E74" s="5"/>
      <c r="G74" s="5">
        <v>520</v>
      </c>
      <c r="K74" s="5">
        <v>11.83</v>
      </c>
      <c r="L74" s="8">
        <v>4</v>
      </c>
      <c r="M74" s="5">
        <f t="shared" si="0"/>
        <v>47.32</v>
      </c>
    </row>
    <row r="75" spans="1:17">
      <c r="A75" s="7">
        <v>96516245</v>
      </c>
      <c r="B75" s="7" t="s">
        <v>794</v>
      </c>
      <c r="C75" s="61">
        <v>1673</v>
      </c>
      <c r="D75" s="5">
        <v>836.5</v>
      </c>
      <c r="E75" s="5"/>
      <c r="G75" s="5">
        <v>520</v>
      </c>
      <c r="K75" s="5">
        <v>11.83</v>
      </c>
      <c r="L75" s="8">
        <v>4</v>
      </c>
      <c r="M75" s="5">
        <f t="shared" si="0"/>
        <v>47.32</v>
      </c>
    </row>
    <row r="76" spans="1:17">
      <c r="A76" s="7">
        <v>92900977</v>
      </c>
      <c r="B76" s="7" t="s">
        <v>795</v>
      </c>
      <c r="C76" s="61">
        <v>1733</v>
      </c>
      <c r="D76" s="5">
        <v>866.5</v>
      </c>
      <c r="E76" s="5"/>
      <c r="G76" s="5">
        <v>520</v>
      </c>
      <c r="H76" s="5"/>
      <c r="I76" s="5"/>
      <c r="J76" s="5"/>
      <c r="K76" s="5">
        <v>11.83</v>
      </c>
      <c r="L76" s="8">
        <v>4</v>
      </c>
      <c r="M76" s="5">
        <f t="shared" si="0"/>
        <v>47.32</v>
      </c>
    </row>
    <row r="77" spans="1:17">
      <c r="A77" s="7">
        <v>92901040</v>
      </c>
      <c r="B77" s="7" t="s">
        <v>795</v>
      </c>
      <c r="C77" s="61">
        <v>1824</v>
      </c>
      <c r="D77" s="5">
        <v>912</v>
      </c>
      <c r="E77" s="5"/>
      <c r="G77" s="5">
        <v>520</v>
      </c>
      <c r="H77" s="5"/>
      <c r="I77" s="5"/>
      <c r="J77" s="5"/>
      <c r="K77" s="5">
        <v>11.83</v>
      </c>
      <c r="L77" s="8">
        <v>4</v>
      </c>
      <c r="M77" s="5">
        <f t="shared" si="0"/>
        <v>47.32</v>
      </c>
    </row>
    <row r="78" spans="1:17">
      <c r="A78" s="7">
        <v>96516178</v>
      </c>
      <c r="B78" s="7" t="s">
        <v>795</v>
      </c>
      <c r="C78" s="61">
        <v>1616</v>
      </c>
      <c r="D78" s="5">
        <v>808</v>
      </c>
      <c r="E78" s="5"/>
      <c r="G78" s="5">
        <v>520</v>
      </c>
      <c r="K78" s="5">
        <v>11.83</v>
      </c>
      <c r="L78" s="8">
        <v>4</v>
      </c>
      <c r="M78" s="5">
        <f t="shared" si="0"/>
        <v>47.32</v>
      </c>
    </row>
    <row r="79" spans="1:17">
      <c r="A79" s="7">
        <v>98149308</v>
      </c>
      <c r="B79" s="7" t="s">
        <v>795</v>
      </c>
      <c r="C79" s="61">
        <v>1760</v>
      </c>
      <c r="D79" s="5">
        <v>880</v>
      </c>
      <c r="E79" s="5"/>
      <c r="G79" s="5">
        <v>520</v>
      </c>
      <c r="K79" s="5">
        <v>11.83</v>
      </c>
      <c r="L79" s="8">
        <v>4</v>
      </c>
      <c r="M79" s="5">
        <f t="shared" si="0"/>
        <v>47.32</v>
      </c>
    </row>
    <row r="80" spans="1:17">
      <c r="A80" s="7">
        <v>92959550</v>
      </c>
      <c r="B80" s="7" t="s">
        <v>796</v>
      </c>
      <c r="C80" s="61">
        <v>2000</v>
      </c>
      <c r="D80" s="5">
        <v>1000</v>
      </c>
      <c r="E80" s="5"/>
      <c r="G80" s="5">
        <v>520</v>
      </c>
      <c r="K80" s="5">
        <v>11.83</v>
      </c>
      <c r="L80" s="8">
        <v>4</v>
      </c>
      <c r="M80" s="5">
        <f t="shared" si="0"/>
        <v>47.32</v>
      </c>
    </row>
    <row r="81" spans="1:13">
      <c r="A81" s="7">
        <v>96500963</v>
      </c>
      <c r="B81" s="7" t="s">
        <v>796</v>
      </c>
      <c r="C81" s="61">
        <v>1919</v>
      </c>
      <c r="D81" s="5">
        <v>959.5</v>
      </c>
      <c r="E81" s="5"/>
      <c r="G81" s="5">
        <v>520</v>
      </c>
      <c r="K81" s="5">
        <v>11.83</v>
      </c>
      <c r="L81" s="8">
        <v>4</v>
      </c>
      <c r="M81" s="5">
        <f t="shared" si="0"/>
        <v>47.32</v>
      </c>
    </row>
    <row r="82" spans="1:13">
      <c r="A82" s="7">
        <v>96501219</v>
      </c>
      <c r="B82" s="7" t="s">
        <v>797</v>
      </c>
      <c r="C82" s="61">
        <v>4421</v>
      </c>
      <c r="D82" s="5">
        <v>2210.5</v>
      </c>
      <c r="E82" s="5"/>
      <c r="G82" s="5">
        <v>520</v>
      </c>
      <c r="K82" s="5">
        <v>11.83</v>
      </c>
      <c r="L82" s="8">
        <v>4</v>
      </c>
      <c r="M82" s="5">
        <f t="shared" si="0"/>
        <v>47.32</v>
      </c>
    </row>
    <row r="83" spans="1:13">
      <c r="A83" s="7">
        <v>96501220</v>
      </c>
      <c r="B83" s="7" t="s">
        <v>798</v>
      </c>
      <c r="C83" s="61">
        <v>4765</v>
      </c>
      <c r="D83" s="5">
        <v>2382.5</v>
      </c>
      <c r="E83" s="5"/>
      <c r="G83" s="5">
        <v>520</v>
      </c>
      <c r="K83" s="5">
        <v>11.83</v>
      </c>
      <c r="L83" s="8">
        <v>4</v>
      </c>
      <c r="M83" s="5">
        <f t="shared" si="0"/>
        <v>47.32</v>
      </c>
    </row>
    <row r="84" spans="1:13">
      <c r="A84" s="7">
        <v>96501221</v>
      </c>
      <c r="B84" s="7" t="s">
        <v>799</v>
      </c>
      <c r="C84" s="61">
        <v>5554</v>
      </c>
      <c r="D84" s="5">
        <v>2777</v>
      </c>
      <c r="E84" s="5"/>
      <c r="G84" s="5">
        <v>520</v>
      </c>
      <c r="K84" s="5">
        <v>11.83</v>
      </c>
      <c r="L84" s="8">
        <v>4</v>
      </c>
      <c r="M84" s="5">
        <f t="shared" si="0"/>
        <v>47.32</v>
      </c>
    </row>
    <row r="85" spans="1:13">
      <c r="A85" s="7">
        <v>96501222</v>
      </c>
      <c r="B85" s="7" t="s">
        <v>800</v>
      </c>
      <c r="C85" s="61">
        <v>5896</v>
      </c>
      <c r="D85" s="5">
        <v>2948</v>
      </c>
      <c r="E85" s="5"/>
      <c r="G85" s="5">
        <v>520</v>
      </c>
      <c r="K85" s="5">
        <v>11.83</v>
      </c>
      <c r="L85" s="8">
        <v>4</v>
      </c>
      <c r="M85" s="5">
        <f t="shared" si="0"/>
        <v>47.32</v>
      </c>
    </row>
    <row r="86" spans="1:13">
      <c r="A86" s="7">
        <v>96501223</v>
      </c>
      <c r="B86" s="7" t="s">
        <v>801</v>
      </c>
      <c r="C86" s="61">
        <v>6405</v>
      </c>
      <c r="D86" s="5">
        <v>3202.5</v>
      </c>
      <c r="E86" s="5"/>
      <c r="G86" s="5">
        <v>520</v>
      </c>
      <c r="K86" s="5">
        <v>11.83</v>
      </c>
      <c r="L86" s="8">
        <v>4</v>
      </c>
      <c r="M86" s="5">
        <f t="shared" si="0"/>
        <v>47.32</v>
      </c>
    </row>
    <row r="87" spans="1:13">
      <c r="A87" s="7">
        <v>92959551</v>
      </c>
      <c r="B87" s="7" t="s">
        <v>802</v>
      </c>
      <c r="C87" s="61">
        <v>2318</v>
      </c>
      <c r="D87" s="5">
        <v>1159</v>
      </c>
      <c r="E87" s="5"/>
      <c r="G87" s="5">
        <v>520</v>
      </c>
      <c r="K87" s="5">
        <v>11.83</v>
      </c>
      <c r="L87" s="8">
        <v>4</v>
      </c>
      <c r="M87" s="5">
        <f t="shared" si="0"/>
        <v>47.32</v>
      </c>
    </row>
    <row r="88" spans="1:13">
      <c r="A88" s="7">
        <v>96500964</v>
      </c>
      <c r="B88" s="7" t="s">
        <v>802</v>
      </c>
      <c r="C88" s="61">
        <v>2113</v>
      </c>
      <c r="D88" s="5">
        <v>1056.5</v>
      </c>
      <c r="E88" s="5"/>
      <c r="G88" s="5">
        <v>520</v>
      </c>
      <c r="K88" s="5">
        <v>11.83</v>
      </c>
      <c r="L88" s="8">
        <v>4</v>
      </c>
      <c r="M88" s="5">
        <f t="shared" si="0"/>
        <v>47.32</v>
      </c>
    </row>
    <row r="89" spans="1:13">
      <c r="A89" s="7">
        <v>96501224</v>
      </c>
      <c r="B89" s="7" t="s">
        <v>803</v>
      </c>
      <c r="C89" s="61">
        <v>6742</v>
      </c>
      <c r="D89" s="5">
        <v>3371</v>
      </c>
      <c r="E89" s="5"/>
      <c r="G89" s="5">
        <v>520</v>
      </c>
      <c r="K89" s="5">
        <v>11.83</v>
      </c>
      <c r="L89" s="8">
        <v>4</v>
      </c>
      <c r="M89" s="5">
        <f t="shared" si="0"/>
        <v>47.32</v>
      </c>
    </row>
    <row r="90" spans="1:13">
      <c r="A90" s="7">
        <v>96501225</v>
      </c>
      <c r="B90" s="7" t="s">
        <v>804</v>
      </c>
      <c r="C90" s="61">
        <v>7083</v>
      </c>
      <c r="D90" s="5">
        <v>3541.5</v>
      </c>
      <c r="E90" s="5"/>
      <c r="G90" s="5">
        <v>520</v>
      </c>
      <c r="K90" s="5">
        <v>11.83</v>
      </c>
      <c r="L90" s="8">
        <v>4</v>
      </c>
      <c r="M90" s="5">
        <f t="shared" si="0"/>
        <v>47.32</v>
      </c>
    </row>
    <row r="91" spans="1:13">
      <c r="A91" s="7">
        <v>92959552</v>
      </c>
      <c r="B91" s="7" t="s">
        <v>805</v>
      </c>
      <c r="C91" s="61">
        <v>2831</v>
      </c>
      <c r="D91" s="5">
        <v>1415.5</v>
      </c>
      <c r="E91" s="5"/>
      <c r="G91" s="5">
        <v>520</v>
      </c>
      <c r="K91" s="5">
        <v>11.83</v>
      </c>
      <c r="L91" s="8">
        <v>4</v>
      </c>
      <c r="M91" s="5">
        <f t="shared" si="0"/>
        <v>47.32</v>
      </c>
    </row>
    <row r="92" spans="1:13">
      <c r="A92" s="7">
        <v>96500965</v>
      </c>
      <c r="B92" s="7" t="s">
        <v>805</v>
      </c>
      <c r="C92" s="61">
        <v>2492</v>
      </c>
      <c r="D92" s="5">
        <v>1246</v>
      </c>
      <c r="E92" s="5"/>
      <c r="G92" s="5">
        <v>520</v>
      </c>
      <c r="K92" s="5">
        <v>11.83</v>
      </c>
      <c r="L92" s="8">
        <v>4</v>
      </c>
      <c r="M92" s="5">
        <f t="shared" si="0"/>
        <v>47.32</v>
      </c>
    </row>
    <row r="93" spans="1:13">
      <c r="A93" s="7">
        <v>92959623</v>
      </c>
      <c r="B93" s="7" t="s">
        <v>806</v>
      </c>
      <c r="C93" s="61">
        <v>3256</v>
      </c>
      <c r="D93" s="5">
        <v>1628</v>
      </c>
      <c r="E93" s="5"/>
      <c r="G93" s="5">
        <v>520</v>
      </c>
      <c r="K93" s="5">
        <v>11.83</v>
      </c>
      <c r="L93" s="8">
        <v>4</v>
      </c>
      <c r="M93" s="5">
        <f t="shared" si="0"/>
        <v>47.32</v>
      </c>
    </row>
    <row r="94" spans="1:13">
      <c r="A94" s="7">
        <v>96500966</v>
      </c>
      <c r="B94" s="7" t="s">
        <v>806</v>
      </c>
      <c r="C94" s="61">
        <v>2803</v>
      </c>
      <c r="D94" s="5">
        <v>1401.5</v>
      </c>
      <c r="E94" s="5"/>
      <c r="G94" s="5">
        <v>520</v>
      </c>
      <c r="K94" s="5">
        <v>11.83</v>
      </c>
      <c r="L94" s="8">
        <v>4</v>
      </c>
      <c r="M94" s="5">
        <f t="shared" si="0"/>
        <v>47.32</v>
      </c>
    </row>
    <row r="95" spans="1:13">
      <c r="A95" s="7">
        <v>92959626</v>
      </c>
      <c r="B95" s="7" t="s">
        <v>807</v>
      </c>
      <c r="C95" s="61">
        <v>3538</v>
      </c>
      <c r="D95" s="5">
        <v>1769</v>
      </c>
      <c r="E95" s="5"/>
      <c r="G95" s="5">
        <v>520</v>
      </c>
      <c r="K95" s="5">
        <v>11.83</v>
      </c>
      <c r="L95" s="8">
        <v>4</v>
      </c>
      <c r="M95" s="5">
        <f t="shared" si="0"/>
        <v>47.32</v>
      </c>
    </row>
    <row r="96" spans="1:13">
      <c r="A96" s="7">
        <v>96500967</v>
      </c>
      <c r="B96" s="7" t="s">
        <v>807</v>
      </c>
      <c r="C96" s="61">
        <v>3045</v>
      </c>
      <c r="D96" s="5">
        <v>1522.5</v>
      </c>
      <c r="E96" s="5"/>
      <c r="F96" s="5">
        <v>135</v>
      </c>
      <c r="G96" s="5">
        <v>520</v>
      </c>
      <c r="K96" s="5">
        <v>11.83</v>
      </c>
      <c r="L96" s="8">
        <v>4</v>
      </c>
      <c r="M96" s="5">
        <f t="shared" si="0"/>
        <v>47.32</v>
      </c>
    </row>
    <row r="97" spans="1:13">
      <c r="A97" s="7">
        <v>92959628</v>
      </c>
      <c r="B97" s="7" t="s">
        <v>808</v>
      </c>
      <c r="C97" s="61">
        <v>3373</v>
      </c>
      <c r="D97" s="5">
        <v>1686.5</v>
      </c>
      <c r="E97" s="5"/>
      <c r="G97" s="5">
        <v>520</v>
      </c>
      <c r="K97" s="5">
        <v>11.83</v>
      </c>
      <c r="L97" s="8">
        <v>4</v>
      </c>
      <c r="M97" s="5">
        <f t="shared" si="0"/>
        <v>47.32</v>
      </c>
    </row>
    <row r="98" spans="1:13">
      <c r="A98" s="7">
        <v>96500968</v>
      </c>
      <c r="B98" s="7" t="s">
        <v>808</v>
      </c>
      <c r="C98" s="61">
        <v>3209</v>
      </c>
      <c r="D98" s="5">
        <v>1604.5</v>
      </c>
      <c r="E98" s="5"/>
      <c r="G98" s="5">
        <v>520</v>
      </c>
      <c r="K98" s="5">
        <v>11.83</v>
      </c>
      <c r="L98" s="8">
        <v>4</v>
      </c>
      <c r="M98" s="5">
        <f t="shared" si="0"/>
        <v>47.32</v>
      </c>
    </row>
    <row r="99" spans="1:13">
      <c r="A99" s="7">
        <v>96500969</v>
      </c>
      <c r="B99" s="7" t="s">
        <v>809</v>
      </c>
      <c r="C99" s="61">
        <v>3535</v>
      </c>
      <c r="D99" s="5">
        <v>1767.5</v>
      </c>
      <c r="E99" s="5"/>
      <c r="G99" s="5">
        <v>520</v>
      </c>
      <c r="K99" s="5">
        <v>11.83</v>
      </c>
      <c r="L99" s="8">
        <v>4</v>
      </c>
      <c r="M99" s="5">
        <f t="shared" si="0"/>
        <v>47.32</v>
      </c>
    </row>
    <row r="100" spans="1:13">
      <c r="A100" s="7">
        <v>96500970</v>
      </c>
      <c r="B100" s="7" t="s">
        <v>810</v>
      </c>
      <c r="C100" s="61">
        <v>3699</v>
      </c>
      <c r="D100" s="5">
        <v>1849.5</v>
      </c>
      <c r="E100" s="5"/>
      <c r="G100" s="5">
        <v>520</v>
      </c>
      <c r="K100" s="5">
        <v>11.83</v>
      </c>
      <c r="L100" s="8">
        <v>4</v>
      </c>
      <c r="M100" s="5">
        <f t="shared" si="0"/>
        <v>47.32</v>
      </c>
    </row>
    <row r="101" spans="1:13">
      <c r="A101" s="7">
        <v>96500971</v>
      </c>
      <c r="B101" s="7" t="s">
        <v>811</v>
      </c>
      <c r="C101" s="61">
        <v>3870</v>
      </c>
      <c r="D101" s="5">
        <v>1935</v>
      </c>
      <c r="E101" s="5"/>
      <c r="G101" s="5">
        <v>520</v>
      </c>
      <c r="K101" s="5">
        <v>11.83</v>
      </c>
      <c r="L101" s="8">
        <v>4</v>
      </c>
      <c r="M101" s="5">
        <f t="shared" si="0"/>
        <v>47.32</v>
      </c>
    </row>
    <row r="102" spans="1:13">
      <c r="A102" s="7">
        <v>99142431</v>
      </c>
      <c r="B102" s="7" t="s">
        <v>812</v>
      </c>
      <c r="C102" s="61">
        <v>11052</v>
      </c>
      <c r="D102" s="5">
        <v>5526</v>
      </c>
      <c r="E102" s="5"/>
      <c r="M102" s="5">
        <f t="shared" si="0"/>
        <v>0</v>
      </c>
    </row>
    <row r="103" spans="1:13">
      <c r="A103" s="7">
        <v>99142574</v>
      </c>
      <c r="B103" s="7" t="s">
        <v>813</v>
      </c>
      <c r="C103" s="61">
        <v>18036</v>
      </c>
      <c r="D103" s="5">
        <v>9018</v>
      </c>
      <c r="E103" s="5"/>
      <c r="M103" s="5">
        <f t="shared" si="0"/>
        <v>0</v>
      </c>
    </row>
    <row r="104" spans="1:13">
      <c r="A104" s="7">
        <v>99142573</v>
      </c>
      <c r="B104" s="7" t="s">
        <v>814</v>
      </c>
      <c r="C104" s="61">
        <v>16127</v>
      </c>
      <c r="D104" s="5">
        <v>8063.5</v>
      </c>
      <c r="E104" s="5"/>
      <c r="M104" s="5">
        <f t="shared" si="0"/>
        <v>0</v>
      </c>
    </row>
    <row r="105" spans="1:13">
      <c r="A105" s="7">
        <v>99142432</v>
      </c>
      <c r="B105" s="7" t="s">
        <v>815</v>
      </c>
      <c r="C105" s="61">
        <v>13765</v>
      </c>
      <c r="D105" s="5">
        <v>6882.5</v>
      </c>
      <c r="E105" s="5"/>
      <c r="M105" s="5">
        <f t="shared" si="0"/>
        <v>0</v>
      </c>
    </row>
    <row r="106" spans="1:13">
      <c r="A106" s="7">
        <v>99751480</v>
      </c>
      <c r="B106" s="7" t="s">
        <v>816</v>
      </c>
      <c r="C106" s="61">
        <v>19973</v>
      </c>
      <c r="D106" s="5">
        <v>9986.5</v>
      </c>
      <c r="E106" s="5"/>
      <c r="M106" s="5">
        <f t="shared" si="0"/>
        <v>0</v>
      </c>
    </row>
    <row r="107" spans="1:13">
      <c r="A107" s="7">
        <v>99751479</v>
      </c>
      <c r="B107" s="7" t="s">
        <v>817</v>
      </c>
      <c r="C107" s="61">
        <v>19342</v>
      </c>
      <c r="D107" s="5">
        <v>9671</v>
      </c>
      <c r="E107" s="5"/>
      <c r="M107" s="5">
        <f t="shared" si="0"/>
        <v>0</v>
      </c>
    </row>
    <row r="108" spans="1:13">
      <c r="A108" s="7">
        <v>99751483</v>
      </c>
      <c r="B108" s="7" t="s">
        <v>818</v>
      </c>
      <c r="C108" s="61">
        <v>26409</v>
      </c>
      <c r="D108" s="5">
        <v>13204.5</v>
      </c>
      <c r="E108" s="5"/>
      <c r="M108" s="5">
        <f t="shared" si="0"/>
        <v>0</v>
      </c>
    </row>
    <row r="109" spans="1:13">
      <c r="A109" s="7">
        <v>99751482</v>
      </c>
      <c r="B109" s="7" t="s">
        <v>819</v>
      </c>
      <c r="C109" s="61">
        <v>20861</v>
      </c>
      <c r="D109" s="5">
        <v>10430.5</v>
      </c>
      <c r="E109" s="5"/>
      <c r="M109" s="5">
        <f t="shared" si="0"/>
        <v>0</v>
      </c>
    </row>
    <row r="110" spans="1:13">
      <c r="A110" s="7">
        <v>99751486</v>
      </c>
      <c r="B110" s="7" t="s">
        <v>820</v>
      </c>
      <c r="C110" s="61">
        <v>32401</v>
      </c>
      <c r="D110" s="5">
        <v>16200.5</v>
      </c>
      <c r="E110" s="5"/>
      <c r="M110" s="5">
        <f t="shared" si="0"/>
        <v>0</v>
      </c>
    </row>
    <row r="111" spans="1:13">
      <c r="A111" s="7">
        <v>92959640</v>
      </c>
      <c r="B111" s="7" t="s">
        <v>821</v>
      </c>
      <c r="C111" s="61">
        <v>2959</v>
      </c>
      <c r="D111" s="5">
        <v>1479.5</v>
      </c>
      <c r="E111" s="5"/>
      <c r="G111" s="5">
        <v>520</v>
      </c>
      <c r="K111" s="5">
        <v>11.83</v>
      </c>
      <c r="L111" s="8">
        <v>4</v>
      </c>
      <c r="M111" s="5">
        <f t="shared" si="0"/>
        <v>47.32</v>
      </c>
    </row>
    <row r="112" spans="1:13">
      <c r="A112" s="7">
        <v>96501697</v>
      </c>
      <c r="B112" s="7" t="s">
        <v>821</v>
      </c>
      <c r="C112" s="61">
        <v>2622</v>
      </c>
      <c r="D112" s="5">
        <v>1311</v>
      </c>
      <c r="E112" s="5"/>
      <c r="G112" s="5">
        <v>520</v>
      </c>
      <c r="K112" s="5">
        <v>11.83</v>
      </c>
      <c r="L112" s="8">
        <v>4</v>
      </c>
      <c r="M112" s="5">
        <f t="shared" si="0"/>
        <v>47.32</v>
      </c>
    </row>
    <row r="113" spans="1:13">
      <c r="A113" s="7">
        <v>96501901</v>
      </c>
      <c r="B113" s="7" t="s">
        <v>822</v>
      </c>
      <c r="C113" s="61">
        <v>8141</v>
      </c>
      <c r="D113" s="5">
        <v>4070.5</v>
      </c>
      <c r="E113" s="5"/>
      <c r="G113" s="5">
        <v>520</v>
      </c>
      <c r="K113" s="5">
        <v>11.83</v>
      </c>
      <c r="L113" s="8">
        <v>4</v>
      </c>
      <c r="M113" s="5">
        <f t="shared" si="0"/>
        <v>47.32</v>
      </c>
    </row>
    <row r="114" spans="1:13">
      <c r="A114" s="7">
        <v>96501902</v>
      </c>
      <c r="B114" s="7" t="s">
        <v>823</v>
      </c>
      <c r="C114" s="61">
        <v>8579</v>
      </c>
      <c r="D114" s="5">
        <v>4289.5</v>
      </c>
      <c r="E114" s="5"/>
      <c r="G114" s="5">
        <v>520</v>
      </c>
      <c r="K114" s="5">
        <v>11.83</v>
      </c>
      <c r="L114" s="8">
        <v>4</v>
      </c>
      <c r="M114" s="5">
        <f t="shared" si="0"/>
        <v>47.32</v>
      </c>
    </row>
    <row r="115" spans="1:13">
      <c r="A115" s="7">
        <v>96501903</v>
      </c>
      <c r="B115" s="7" t="s">
        <v>824</v>
      </c>
      <c r="C115" s="61">
        <v>9025</v>
      </c>
      <c r="D115" s="5">
        <v>4512.5</v>
      </c>
      <c r="E115" s="5"/>
      <c r="G115" s="5">
        <v>520</v>
      </c>
      <c r="K115" s="5">
        <v>11.83</v>
      </c>
      <c r="L115" s="8">
        <v>4</v>
      </c>
      <c r="M115" s="5">
        <f t="shared" si="0"/>
        <v>47.32</v>
      </c>
    </row>
    <row r="116" spans="1:13">
      <c r="A116" s="7">
        <v>96501904</v>
      </c>
      <c r="B116" s="7" t="s">
        <v>825</v>
      </c>
      <c r="C116" s="61">
        <v>11540</v>
      </c>
      <c r="D116" s="5">
        <v>5770</v>
      </c>
      <c r="E116" s="5"/>
      <c r="G116" s="5">
        <v>520</v>
      </c>
      <c r="K116" s="5">
        <v>11.83</v>
      </c>
      <c r="L116" s="8">
        <v>4</v>
      </c>
      <c r="M116" s="5">
        <f t="shared" si="0"/>
        <v>47.32</v>
      </c>
    </row>
    <row r="117" spans="1:13">
      <c r="A117" s="7">
        <v>92959642</v>
      </c>
      <c r="B117" s="7" t="s">
        <v>826</v>
      </c>
      <c r="C117" s="61">
        <v>3795</v>
      </c>
      <c r="D117" s="5">
        <v>1897.5</v>
      </c>
      <c r="E117" s="5"/>
      <c r="G117" s="5">
        <v>520</v>
      </c>
      <c r="K117" s="5">
        <v>11.83</v>
      </c>
      <c r="L117" s="8">
        <v>4</v>
      </c>
      <c r="M117" s="5">
        <f t="shared" si="0"/>
        <v>47.32</v>
      </c>
    </row>
    <row r="118" spans="1:13">
      <c r="A118" s="7">
        <v>96501698</v>
      </c>
      <c r="B118" s="7" t="s">
        <v>826</v>
      </c>
      <c r="C118" s="61">
        <v>3305</v>
      </c>
      <c r="D118" s="5">
        <v>1652.5</v>
      </c>
      <c r="E118" s="5"/>
      <c r="G118" s="5">
        <v>520</v>
      </c>
      <c r="K118" s="5">
        <v>11.83</v>
      </c>
      <c r="L118" s="8">
        <v>4</v>
      </c>
      <c r="M118" s="5">
        <f t="shared" si="0"/>
        <v>47.32</v>
      </c>
    </row>
    <row r="119" spans="1:13">
      <c r="A119" s="7">
        <v>96501699</v>
      </c>
      <c r="B119" s="7" t="s">
        <v>827</v>
      </c>
      <c r="C119" s="61">
        <v>3820</v>
      </c>
      <c r="D119" s="5">
        <v>1910</v>
      </c>
      <c r="E119" s="5"/>
      <c r="F119" s="5">
        <v>62</v>
      </c>
      <c r="G119" s="5">
        <v>520</v>
      </c>
      <c r="K119" s="5">
        <v>11.83</v>
      </c>
      <c r="L119" s="8">
        <v>4</v>
      </c>
      <c r="M119" s="5">
        <f t="shared" si="0"/>
        <v>47.32</v>
      </c>
    </row>
    <row r="120" spans="1:13">
      <c r="A120" s="7">
        <v>96501895</v>
      </c>
      <c r="B120" s="7" t="s">
        <v>828</v>
      </c>
      <c r="C120" s="61">
        <v>4437</v>
      </c>
      <c r="D120" s="5">
        <v>2218.5</v>
      </c>
      <c r="E120" s="5"/>
      <c r="G120" s="5">
        <v>520</v>
      </c>
      <c r="K120" s="5">
        <v>11.83</v>
      </c>
      <c r="L120" s="8">
        <v>4</v>
      </c>
      <c r="M120" s="5">
        <f t="shared" si="0"/>
        <v>47.32</v>
      </c>
    </row>
    <row r="121" spans="1:13">
      <c r="A121" s="7">
        <v>96501896</v>
      </c>
      <c r="B121" s="7" t="s">
        <v>829</v>
      </c>
      <c r="C121" s="61">
        <v>4657</v>
      </c>
      <c r="D121" s="5">
        <v>2328.5</v>
      </c>
      <c r="E121" s="5"/>
      <c r="G121" s="5">
        <v>520</v>
      </c>
      <c r="K121" s="5">
        <v>11.83</v>
      </c>
      <c r="L121" s="8">
        <v>4</v>
      </c>
      <c r="M121" s="5">
        <f t="shared" si="0"/>
        <v>47.32</v>
      </c>
    </row>
    <row r="122" spans="1:13">
      <c r="A122" s="7">
        <v>96501897</v>
      </c>
      <c r="B122" s="7" t="s">
        <v>830</v>
      </c>
      <c r="C122" s="61">
        <v>5541</v>
      </c>
      <c r="D122" s="5">
        <v>2770.5</v>
      </c>
      <c r="E122" s="5"/>
      <c r="G122" s="5">
        <v>520</v>
      </c>
      <c r="K122" s="5">
        <v>11.83</v>
      </c>
      <c r="L122" s="8">
        <v>4</v>
      </c>
      <c r="M122" s="5">
        <f t="shared" si="0"/>
        <v>47.32</v>
      </c>
    </row>
    <row r="123" spans="1:13">
      <c r="A123" s="7">
        <v>96501898</v>
      </c>
      <c r="B123" s="7" t="s">
        <v>831</v>
      </c>
      <c r="C123" s="61">
        <v>5761</v>
      </c>
      <c r="D123" s="5">
        <v>2880.5</v>
      </c>
      <c r="E123" s="5"/>
      <c r="G123" s="5">
        <v>520</v>
      </c>
      <c r="K123" s="5">
        <v>11.83</v>
      </c>
      <c r="L123" s="8">
        <v>4</v>
      </c>
      <c r="M123" s="5">
        <f t="shared" si="0"/>
        <v>47.32</v>
      </c>
    </row>
    <row r="124" spans="1:13">
      <c r="A124" s="7">
        <v>96501899</v>
      </c>
      <c r="B124" s="7" t="s">
        <v>832</v>
      </c>
      <c r="C124" s="61">
        <v>6704</v>
      </c>
      <c r="D124" s="5">
        <v>3352</v>
      </c>
      <c r="E124" s="5"/>
      <c r="G124" s="5">
        <v>520</v>
      </c>
      <c r="K124" s="5">
        <v>11.83</v>
      </c>
      <c r="L124" s="8">
        <v>4</v>
      </c>
      <c r="M124" s="5">
        <f t="shared" si="0"/>
        <v>47.32</v>
      </c>
    </row>
    <row r="125" spans="1:13">
      <c r="A125" s="7">
        <v>96501900</v>
      </c>
      <c r="B125" s="7" t="s">
        <v>833</v>
      </c>
      <c r="C125" s="61">
        <v>6929</v>
      </c>
      <c r="D125" s="5">
        <v>3464.5</v>
      </c>
      <c r="E125" s="5"/>
      <c r="G125" s="5">
        <v>520</v>
      </c>
      <c r="K125" s="5">
        <v>11.83</v>
      </c>
      <c r="L125" s="8">
        <v>4</v>
      </c>
      <c r="M125" s="5">
        <f t="shared" si="0"/>
        <v>47.32</v>
      </c>
    </row>
    <row r="126" spans="1:13">
      <c r="A126" s="7">
        <v>99143255</v>
      </c>
      <c r="B126" s="7" t="s">
        <v>834</v>
      </c>
      <c r="C126" s="61">
        <v>13829</v>
      </c>
      <c r="D126" s="5">
        <v>6914.5</v>
      </c>
      <c r="E126" s="5"/>
      <c r="M126" s="5">
        <f t="shared" si="0"/>
        <v>0</v>
      </c>
    </row>
    <row r="127" spans="1:13">
      <c r="A127" s="7">
        <v>99143254</v>
      </c>
      <c r="B127" s="7" t="s">
        <v>835</v>
      </c>
      <c r="C127" s="61">
        <v>11103</v>
      </c>
      <c r="D127" s="5">
        <v>5551.5</v>
      </c>
      <c r="E127" s="5"/>
      <c r="M127" s="5">
        <f t="shared" si="0"/>
        <v>0</v>
      </c>
    </row>
    <row r="128" spans="1:13">
      <c r="A128" s="7">
        <v>99751487</v>
      </c>
      <c r="B128" s="7" t="s">
        <v>836</v>
      </c>
      <c r="C128" s="61">
        <v>17990</v>
      </c>
      <c r="D128" s="5">
        <v>8995</v>
      </c>
      <c r="E128" s="5"/>
      <c r="M128" s="5">
        <f t="shared" si="0"/>
        <v>0</v>
      </c>
    </row>
    <row r="129" spans="1:17">
      <c r="A129" s="7">
        <v>99143257</v>
      </c>
      <c r="B129" s="7" t="s">
        <v>837</v>
      </c>
      <c r="C129" s="61">
        <v>18119</v>
      </c>
      <c r="D129" s="5">
        <v>9059.5</v>
      </c>
      <c r="E129" s="5"/>
      <c r="M129" s="5">
        <f t="shared" si="0"/>
        <v>0</v>
      </c>
    </row>
    <row r="130" spans="1:17">
      <c r="A130" s="7">
        <v>99751489</v>
      </c>
      <c r="B130" s="7" t="s">
        <v>838</v>
      </c>
      <c r="C130" s="61">
        <v>26474</v>
      </c>
      <c r="D130" s="5">
        <v>13237</v>
      </c>
      <c r="E130" s="5"/>
      <c r="M130" s="5">
        <f t="shared" si="0"/>
        <v>0</v>
      </c>
    </row>
    <row r="131" spans="1:17">
      <c r="A131" s="7">
        <v>99751488</v>
      </c>
      <c r="B131" s="7" t="s">
        <v>839</v>
      </c>
      <c r="C131" s="61">
        <v>20912</v>
      </c>
      <c r="D131" s="5">
        <v>10456</v>
      </c>
      <c r="E131" s="5"/>
      <c r="M131" s="5">
        <f t="shared" si="0"/>
        <v>0</v>
      </c>
    </row>
    <row r="132" spans="1:17">
      <c r="A132" s="7">
        <v>99751490</v>
      </c>
      <c r="B132" s="7" t="s">
        <v>840</v>
      </c>
      <c r="C132" s="61">
        <v>32482</v>
      </c>
      <c r="D132" s="5">
        <v>16241</v>
      </c>
      <c r="E132" s="5"/>
      <c r="M132" s="5">
        <f t="shared" si="0"/>
        <v>0</v>
      </c>
    </row>
    <row r="133" spans="1:17">
      <c r="A133" s="7">
        <v>99143712</v>
      </c>
      <c r="B133" s="7" t="s">
        <v>841</v>
      </c>
      <c r="C133" s="61">
        <v>20926</v>
      </c>
      <c r="D133" s="5">
        <v>10463</v>
      </c>
      <c r="E133" s="5"/>
      <c r="M133" s="5">
        <f t="shared" si="0"/>
        <v>0</v>
      </c>
    </row>
    <row r="134" spans="1:17">
      <c r="A134" s="7">
        <v>99143711</v>
      </c>
      <c r="B134" s="7" t="s">
        <v>842</v>
      </c>
      <c r="C134" s="61">
        <v>19065</v>
      </c>
      <c r="D134" s="5">
        <v>9532.5</v>
      </c>
      <c r="E134" s="5"/>
      <c r="M134" s="5">
        <f t="shared" si="0"/>
        <v>0</v>
      </c>
    </row>
    <row r="135" spans="1:17">
      <c r="A135" s="7">
        <v>92501238</v>
      </c>
      <c r="B135" s="7" t="s">
        <v>843</v>
      </c>
      <c r="C135" s="61">
        <v>33017</v>
      </c>
      <c r="D135" s="5">
        <v>16508.5</v>
      </c>
      <c r="E135" s="5"/>
      <c r="F135" s="5"/>
      <c r="G135" s="5"/>
      <c r="H135" s="5"/>
      <c r="I135" s="5"/>
      <c r="J135" s="5"/>
      <c r="K135" s="5"/>
      <c r="L135" s="5"/>
      <c r="M135" s="5">
        <f t="shared" si="0"/>
        <v>0</v>
      </c>
      <c r="N135" s="5"/>
      <c r="O135" s="5"/>
      <c r="P135" s="5"/>
      <c r="Q135" s="5"/>
    </row>
    <row r="136" spans="1:17">
      <c r="A136" s="7">
        <v>92501226</v>
      </c>
      <c r="B136" s="7" t="s">
        <v>844</v>
      </c>
      <c r="C136" s="61">
        <v>26594</v>
      </c>
      <c r="D136" s="5">
        <v>13297</v>
      </c>
      <c r="E136" s="5"/>
      <c r="F136" s="5"/>
      <c r="G136" s="5"/>
      <c r="H136" s="5"/>
      <c r="I136" s="5"/>
      <c r="J136" s="5"/>
      <c r="K136" s="5"/>
      <c r="L136" s="5"/>
      <c r="M136" s="5">
        <f t="shared" si="0"/>
        <v>0</v>
      </c>
      <c r="N136" s="5"/>
      <c r="O136" s="5"/>
      <c r="P136" s="5"/>
      <c r="Q136" s="5"/>
    </row>
    <row r="137" spans="1:17">
      <c r="A137" s="7">
        <v>92501272</v>
      </c>
      <c r="B137" s="7" t="s">
        <v>845</v>
      </c>
      <c r="C137" s="61">
        <v>47771</v>
      </c>
      <c r="D137" s="5">
        <v>23885.5</v>
      </c>
      <c r="E137" s="5"/>
      <c r="F137" s="5"/>
      <c r="G137" s="5"/>
      <c r="H137" s="5"/>
      <c r="I137" s="5"/>
      <c r="J137" s="5"/>
      <c r="K137" s="5"/>
      <c r="L137" s="5"/>
      <c r="M137" s="5">
        <f t="shared" si="0"/>
        <v>0</v>
      </c>
      <c r="N137" s="5"/>
      <c r="O137" s="5"/>
      <c r="P137" s="5"/>
      <c r="Q137" s="5"/>
    </row>
    <row r="138" spans="1:17">
      <c r="A138" s="7">
        <v>92501255</v>
      </c>
      <c r="B138" s="7" t="s">
        <v>846</v>
      </c>
      <c r="C138" s="61">
        <v>39968</v>
      </c>
      <c r="D138" s="5">
        <v>19984</v>
      </c>
      <c r="E138" s="5"/>
      <c r="F138" s="5"/>
      <c r="G138" s="5"/>
      <c r="H138" s="5"/>
      <c r="I138" s="5"/>
      <c r="J138" s="5"/>
      <c r="K138" s="5"/>
      <c r="L138" s="5"/>
      <c r="M138" s="5">
        <f t="shared" si="0"/>
        <v>0</v>
      </c>
      <c r="N138" s="5"/>
      <c r="O138" s="5"/>
      <c r="P138" s="5"/>
      <c r="Q138" s="5"/>
    </row>
    <row r="139" spans="1:17">
      <c r="A139" s="7">
        <v>92501317</v>
      </c>
      <c r="B139" s="7" t="s">
        <v>847</v>
      </c>
      <c r="C139" s="61">
        <v>56998</v>
      </c>
      <c r="D139" s="5">
        <v>28499</v>
      </c>
      <c r="E139" s="5"/>
      <c r="F139" s="5"/>
      <c r="G139" s="5"/>
      <c r="H139" s="5"/>
      <c r="I139" s="5"/>
      <c r="J139" s="5"/>
      <c r="K139" s="5"/>
      <c r="L139" s="5"/>
      <c r="M139" s="5">
        <f t="shared" si="0"/>
        <v>0</v>
      </c>
      <c r="N139" s="5"/>
      <c r="O139" s="5"/>
      <c r="P139" s="5"/>
      <c r="Q139" s="5"/>
    </row>
    <row r="140" spans="1:17">
      <c r="A140" s="7">
        <v>92501285</v>
      </c>
      <c r="B140" s="7" t="s">
        <v>848</v>
      </c>
      <c r="C140" s="61">
        <v>48977</v>
      </c>
      <c r="D140" s="5">
        <v>24488.5</v>
      </c>
      <c r="E140" s="5"/>
      <c r="F140" s="5"/>
      <c r="G140" s="5"/>
      <c r="H140" s="5"/>
      <c r="I140" s="5"/>
      <c r="J140" s="5"/>
      <c r="K140" s="5"/>
      <c r="L140" s="5"/>
      <c r="M140" s="5">
        <f t="shared" si="0"/>
        <v>0</v>
      </c>
      <c r="N140" s="5"/>
      <c r="O140" s="5"/>
      <c r="P140" s="5"/>
      <c r="Q140" s="5"/>
    </row>
    <row r="141" spans="1:17">
      <c r="A141" s="7">
        <v>92501802</v>
      </c>
      <c r="B141" s="7" t="s">
        <v>849</v>
      </c>
      <c r="C141" s="61">
        <v>63958</v>
      </c>
      <c r="D141" s="5">
        <v>31979</v>
      </c>
      <c r="E141" s="5"/>
      <c r="F141" s="5"/>
      <c r="G141" s="5"/>
      <c r="H141" s="5"/>
      <c r="I141" s="5"/>
      <c r="J141" s="5"/>
      <c r="K141" s="5"/>
      <c r="L141" s="5"/>
      <c r="M141" s="5">
        <f t="shared" si="0"/>
        <v>0</v>
      </c>
      <c r="N141" s="5"/>
      <c r="O141" s="5"/>
      <c r="P141" s="5"/>
      <c r="Q141" s="5"/>
    </row>
    <row r="142" spans="1:17">
      <c r="A142" s="7">
        <v>92501757</v>
      </c>
      <c r="B142" s="7" t="s">
        <v>850</v>
      </c>
      <c r="C142" s="61">
        <v>63958</v>
      </c>
      <c r="D142" s="5">
        <v>31979</v>
      </c>
      <c r="E142" s="5"/>
      <c r="F142" s="5"/>
      <c r="G142" s="5"/>
      <c r="H142" s="5"/>
      <c r="I142" s="5"/>
      <c r="J142" s="5"/>
      <c r="K142" s="5"/>
      <c r="L142" s="5"/>
      <c r="M142" s="5">
        <f t="shared" si="0"/>
        <v>0</v>
      </c>
      <c r="N142" s="5"/>
      <c r="O142" s="5"/>
      <c r="P142" s="5"/>
      <c r="Q142" s="5"/>
    </row>
    <row r="143" spans="1:17">
      <c r="A143" s="7">
        <v>92501854</v>
      </c>
      <c r="B143" s="7" t="s">
        <v>851</v>
      </c>
      <c r="C143" s="61">
        <v>72548</v>
      </c>
      <c r="D143" s="5">
        <v>36274</v>
      </c>
      <c r="E143" s="5"/>
      <c r="F143" s="5"/>
      <c r="G143" s="5"/>
      <c r="H143" s="5"/>
      <c r="I143" s="5"/>
      <c r="J143" s="5"/>
      <c r="K143" s="5"/>
      <c r="L143" s="5"/>
      <c r="M143" s="5">
        <f t="shared" si="0"/>
        <v>0</v>
      </c>
      <c r="N143" s="5"/>
      <c r="O143" s="5"/>
      <c r="P143" s="5"/>
      <c r="Q143" s="5"/>
    </row>
    <row r="144" spans="1:17">
      <c r="A144" s="7">
        <v>92501840</v>
      </c>
      <c r="B144" s="7" t="s">
        <v>852</v>
      </c>
      <c r="C144" s="61">
        <v>72548</v>
      </c>
      <c r="D144" s="5">
        <v>36274</v>
      </c>
      <c r="E144" s="5"/>
      <c r="F144" s="5"/>
      <c r="G144" s="5"/>
      <c r="H144" s="5"/>
      <c r="I144" s="5"/>
      <c r="J144" s="5"/>
      <c r="K144" s="5"/>
      <c r="L144" s="5"/>
      <c r="M144" s="5">
        <f t="shared" si="0"/>
        <v>0</v>
      </c>
      <c r="N144" s="5"/>
      <c r="O144" s="5"/>
      <c r="P144" s="5"/>
      <c r="Q144" s="5"/>
    </row>
    <row r="145" spans="1:17">
      <c r="A145" s="7">
        <v>92501903</v>
      </c>
      <c r="B145" s="7" t="s">
        <v>853</v>
      </c>
      <c r="C145" s="61">
        <v>84115</v>
      </c>
      <c r="D145" s="5">
        <v>42057.5</v>
      </c>
      <c r="E145" s="5"/>
      <c r="F145" s="5"/>
      <c r="G145" s="5"/>
      <c r="H145" s="5"/>
      <c r="I145" s="5"/>
      <c r="J145" s="5"/>
      <c r="K145" s="5"/>
      <c r="L145" s="5"/>
      <c r="M145" s="5">
        <f t="shared" si="0"/>
        <v>0</v>
      </c>
      <c r="N145" s="5"/>
      <c r="O145" s="5"/>
      <c r="P145" s="5"/>
      <c r="Q145" s="5"/>
    </row>
    <row r="146" spans="1:17">
      <c r="A146" s="7">
        <v>92501868</v>
      </c>
      <c r="B146" s="7" t="s">
        <v>854</v>
      </c>
      <c r="C146" s="61">
        <v>84115</v>
      </c>
      <c r="D146" s="5">
        <v>42057.5</v>
      </c>
      <c r="E146" s="5"/>
      <c r="F146" s="5"/>
      <c r="G146" s="5"/>
      <c r="H146" s="5"/>
      <c r="I146" s="5"/>
      <c r="J146" s="5"/>
      <c r="K146" s="5"/>
      <c r="L146" s="5"/>
      <c r="M146" s="5">
        <f t="shared" si="0"/>
        <v>0</v>
      </c>
      <c r="N146" s="5"/>
      <c r="O146" s="5"/>
      <c r="P146" s="5"/>
      <c r="Q146" s="5"/>
    </row>
    <row r="147" spans="1:17">
      <c r="A147" s="7">
        <v>92501939</v>
      </c>
      <c r="B147" s="7" t="s">
        <v>855</v>
      </c>
      <c r="C147" s="61">
        <v>99251</v>
      </c>
      <c r="D147" s="5">
        <v>49625.5</v>
      </c>
      <c r="E147" s="5"/>
      <c r="F147" s="5"/>
      <c r="G147" s="5"/>
      <c r="H147" s="5"/>
      <c r="I147" s="5"/>
      <c r="J147" s="5"/>
      <c r="K147" s="5"/>
      <c r="L147" s="5"/>
      <c r="M147" s="5">
        <f t="shared" si="0"/>
        <v>0</v>
      </c>
      <c r="N147" s="5"/>
      <c r="O147" s="5"/>
      <c r="P147" s="5"/>
      <c r="Q147" s="5"/>
    </row>
    <row r="148" spans="1:17">
      <c r="A148" s="7">
        <v>92501925</v>
      </c>
      <c r="B148" s="7" t="s">
        <v>856</v>
      </c>
      <c r="C148" s="61">
        <v>99251</v>
      </c>
      <c r="D148" s="5">
        <v>49625.5</v>
      </c>
      <c r="E148" s="5"/>
      <c r="F148" s="5"/>
      <c r="G148" s="5"/>
      <c r="H148" s="5"/>
      <c r="I148" s="5"/>
      <c r="J148" s="5"/>
      <c r="K148" s="5"/>
      <c r="L148" s="5"/>
      <c r="M148" s="5">
        <f t="shared" si="0"/>
        <v>0</v>
      </c>
      <c r="N148" s="5"/>
      <c r="O148" s="5"/>
      <c r="P148" s="5"/>
      <c r="Q148" s="5"/>
    </row>
    <row r="149" spans="1:17">
      <c r="A149" s="7">
        <v>92899728</v>
      </c>
      <c r="B149" s="7" t="s">
        <v>857</v>
      </c>
      <c r="C149" s="61">
        <v>1707</v>
      </c>
      <c r="D149" s="5">
        <v>853.5</v>
      </c>
      <c r="E149" s="5"/>
      <c r="F149" s="5"/>
      <c r="G149" s="5">
        <v>520</v>
      </c>
      <c r="H149" s="5"/>
      <c r="I149" s="5"/>
      <c r="J149" s="5"/>
      <c r="K149" s="5">
        <v>11.83</v>
      </c>
      <c r="L149" s="8">
        <v>4</v>
      </c>
      <c r="M149" s="5">
        <f t="shared" si="0"/>
        <v>47.32</v>
      </c>
      <c r="N149" s="5"/>
      <c r="O149" s="5"/>
      <c r="P149" s="5"/>
      <c r="Q149" s="5"/>
    </row>
    <row r="150" spans="1:17">
      <c r="A150" s="7">
        <v>92899792</v>
      </c>
      <c r="B150" s="7" t="s">
        <v>857</v>
      </c>
      <c r="C150" s="61">
        <v>1793</v>
      </c>
      <c r="D150" s="5">
        <v>896.5</v>
      </c>
      <c r="E150" s="5"/>
      <c r="F150" s="5"/>
      <c r="G150" s="5">
        <v>520</v>
      </c>
      <c r="H150" s="5"/>
      <c r="I150" s="5"/>
      <c r="J150" s="5"/>
      <c r="K150" s="5">
        <v>11.83</v>
      </c>
      <c r="L150" s="8">
        <v>4</v>
      </c>
      <c r="M150" s="5">
        <f t="shared" si="0"/>
        <v>47.32</v>
      </c>
      <c r="N150" s="5"/>
      <c r="O150" s="5"/>
      <c r="P150" s="5"/>
      <c r="Q150" s="5"/>
    </row>
    <row r="151" spans="1:17">
      <c r="A151" s="7">
        <v>96515560</v>
      </c>
      <c r="B151" s="7" t="s">
        <v>857</v>
      </c>
      <c r="C151" s="61">
        <v>1618</v>
      </c>
      <c r="D151" s="5">
        <v>809</v>
      </c>
      <c r="E151" s="5"/>
      <c r="G151" s="5">
        <v>520</v>
      </c>
      <c r="K151" s="5">
        <v>11.83</v>
      </c>
      <c r="L151" s="8">
        <v>4</v>
      </c>
      <c r="M151" s="5">
        <f t="shared" si="0"/>
        <v>47.32</v>
      </c>
    </row>
    <row r="152" spans="1:17">
      <c r="A152" s="7">
        <v>96515658</v>
      </c>
      <c r="B152" s="7" t="s">
        <v>857</v>
      </c>
      <c r="C152" s="61">
        <v>1703</v>
      </c>
      <c r="D152" s="5">
        <v>851.5</v>
      </c>
      <c r="E152" s="5"/>
      <c r="G152" s="5">
        <v>520</v>
      </c>
      <c r="K152" s="5">
        <v>11.83</v>
      </c>
      <c r="L152" s="8">
        <v>4</v>
      </c>
      <c r="M152" s="5">
        <f t="shared" si="0"/>
        <v>47.32</v>
      </c>
    </row>
    <row r="153" spans="1:17">
      <c r="A153" s="7">
        <v>92899729</v>
      </c>
      <c r="B153" s="7" t="s">
        <v>858</v>
      </c>
      <c r="C153" s="61">
        <v>1754</v>
      </c>
      <c r="D153" s="5">
        <v>877</v>
      </c>
      <c r="E153" s="5"/>
      <c r="F153" s="5"/>
      <c r="G153" s="5">
        <v>520</v>
      </c>
      <c r="H153" s="5"/>
      <c r="I153" s="5"/>
      <c r="J153" s="5"/>
      <c r="K153" s="5">
        <v>11.83</v>
      </c>
      <c r="L153" s="8">
        <v>4</v>
      </c>
      <c r="M153" s="5">
        <f t="shared" si="0"/>
        <v>47.32</v>
      </c>
      <c r="N153" s="5"/>
      <c r="O153" s="5"/>
      <c r="P153" s="5"/>
      <c r="Q153" s="5"/>
    </row>
    <row r="154" spans="1:17">
      <c r="A154" s="7">
        <v>92899793</v>
      </c>
      <c r="B154" s="7" t="s">
        <v>858</v>
      </c>
      <c r="C154" s="61">
        <v>1841</v>
      </c>
      <c r="D154" s="5">
        <v>920.5</v>
      </c>
      <c r="E154" s="5"/>
      <c r="F154" s="5"/>
      <c r="G154" s="5">
        <v>520</v>
      </c>
      <c r="H154" s="5"/>
      <c r="I154" s="5"/>
      <c r="J154" s="5"/>
      <c r="K154" s="5">
        <v>11.83</v>
      </c>
      <c r="L154" s="8">
        <v>4</v>
      </c>
      <c r="M154" s="5">
        <f t="shared" si="0"/>
        <v>47.32</v>
      </c>
      <c r="N154" s="5"/>
      <c r="O154" s="5"/>
      <c r="P154" s="5"/>
      <c r="Q154" s="5"/>
    </row>
    <row r="155" spans="1:17">
      <c r="A155" s="7">
        <v>96515561</v>
      </c>
      <c r="B155" s="7" t="s">
        <v>858</v>
      </c>
      <c r="C155" s="61">
        <v>1666</v>
      </c>
      <c r="D155" s="5">
        <v>833</v>
      </c>
      <c r="E155" s="5"/>
      <c r="G155" s="5">
        <v>520</v>
      </c>
      <c r="K155" s="5">
        <v>11.83</v>
      </c>
      <c r="L155" s="8">
        <v>4</v>
      </c>
      <c r="M155" s="5">
        <f t="shared" si="0"/>
        <v>47.32</v>
      </c>
    </row>
    <row r="156" spans="1:17">
      <c r="A156" s="7">
        <v>96515660</v>
      </c>
      <c r="B156" s="7" t="s">
        <v>858</v>
      </c>
      <c r="C156" s="61">
        <v>1751</v>
      </c>
      <c r="D156" s="5">
        <v>875.5</v>
      </c>
      <c r="E156" s="5"/>
      <c r="G156" s="5">
        <v>520</v>
      </c>
      <c r="K156" s="5">
        <v>11.83</v>
      </c>
      <c r="L156" s="8">
        <v>4</v>
      </c>
      <c r="M156" s="5">
        <f t="shared" si="0"/>
        <v>47.32</v>
      </c>
    </row>
    <row r="157" spans="1:17">
      <c r="A157" s="7">
        <v>92899730</v>
      </c>
      <c r="B157" s="7" t="s">
        <v>859</v>
      </c>
      <c r="C157" s="61">
        <v>1801</v>
      </c>
      <c r="D157" s="5">
        <v>900.5</v>
      </c>
      <c r="E157" s="5"/>
      <c r="F157" s="5"/>
      <c r="G157" s="5">
        <v>520</v>
      </c>
      <c r="H157" s="5"/>
      <c r="I157" s="5"/>
      <c r="J157" s="5"/>
      <c r="K157" s="5">
        <v>11.83</v>
      </c>
      <c r="L157" s="8">
        <v>4</v>
      </c>
      <c r="M157" s="5">
        <f t="shared" si="0"/>
        <v>47.32</v>
      </c>
      <c r="N157" s="5"/>
      <c r="O157" s="5"/>
      <c r="P157" s="5"/>
      <c r="Q157" s="5"/>
    </row>
    <row r="158" spans="1:17">
      <c r="A158" s="7">
        <v>92899794</v>
      </c>
      <c r="B158" s="7" t="s">
        <v>859</v>
      </c>
      <c r="C158" s="61">
        <v>1888</v>
      </c>
      <c r="D158" s="5">
        <v>944</v>
      </c>
      <c r="E158" s="5"/>
      <c r="F158" s="5"/>
      <c r="G158" s="5">
        <v>520</v>
      </c>
      <c r="H158" s="5"/>
      <c r="I158" s="5"/>
      <c r="J158" s="5"/>
      <c r="K158" s="5">
        <v>11.83</v>
      </c>
      <c r="L158" s="8">
        <v>4</v>
      </c>
      <c r="M158" s="5">
        <f t="shared" si="0"/>
        <v>47.32</v>
      </c>
      <c r="N158" s="5"/>
      <c r="O158" s="5"/>
      <c r="P158" s="5"/>
      <c r="Q158" s="5"/>
    </row>
    <row r="159" spans="1:17">
      <c r="A159" s="7">
        <v>96515562</v>
      </c>
      <c r="B159" s="7" t="s">
        <v>859</v>
      </c>
      <c r="C159" s="61">
        <v>1712</v>
      </c>
      <c r="D159" s="5">
        <v>856</v>
      </c>
      <c r="E159" s="5"/>
      <c r="G159" s="5">
        <v>520</v>
      </c>
      <c r="K159" s="5">
        <v>11.83</v>
      </c>
      <c r="L159" s="8">
        <v>4</v>
      </c>
      <c r="M159" s="5">
        <f t="shared" si="0"/>
        <v>47.32</v>
      </c>
    </row>
    <row r="160" spans="1:17">
      <c r="A160" s="7">
        <v>96515661</v>
      </c>
      <c r="B160" s="7" t="s">
        <v>859</v>
      </c>
      <c r="C160" s="61">
        <v>1798</v>
      </c>
      <c r="D160" s="5">
        <v>899</v>
      </c>
      <c r="E160" s="5"/>
      <c r="G160" s="5">
        <v>520</v>
      </c>
      <c r="K160" s="5">
        <v>11.83</v>
      </c>
      <c r="L160" s="8">
        <v>4</v>
      </c>
      <c r="M160" s="5">
        <f t="shared" si="0"/>
        <v>47.32</v>
      </c>
    </row>
    <row r="161" spans="1:17">
      <c r="A161" s="7">
        <v>92899731</v>
      </c>
      <c r="B161" s="7" t="s">
        <v>860</v>
      </c>
      <c r="C161" s="61">
        <v>1850</v>
      </c>
      <c r="D161" s="5">
        <v>925</v>
      </c>
      <c r="E161" s="5"/>
      <c r="F161" s="5"/>
      <c r="G161" s="5">
        <v>520</v>
      </c>
      <c r="H161" s="5"/>
      <c r="I161" s="5"/>
      <c r="J161" s="5"/>
      <c r="K161" s="5">
        <v>11.83</v>
      </c>
      <c r="L161" s="8">
        <v>4</v>
      </c>
      <c r="M161" s="5">
        <f t="shared" si="0"/>
        <v>47.32</v>
      </c>
      <c r="N161" s="5"/>
      <c r="O161" s="5"/>
      <c r="P161" s="5"/>
      <c r="Q161" s="5"/>
    </row>
    <row r="162" spans="1:17">
      <c r="A162" s="7">
        <v>92899795</v>
      </c>
      <c r="B162" s="7" t="s">
        <v>860</v>
      </c>
      <c r="C162" s="61">
        <v>1936</v>
      </c>
      <c r="D162" s="5">
        <v>968</v>
      </c>
      <c r="E162" s="5"/>
      <c r="F162" s="5"/>
      <c r="G162" s="5">
        <v>520</v>
      </c>
      <c r="H162" s="5"/>
      <c r="I162" s="5"/>
      <c r="J162" s="5"/>
      <c r="K162" s="5">
        <v>11.83</v>
      </c>
      <c r="L162" s="8">
        <v>4</v>
      </c>
      <c r="M162" s="5">
        <f t="shared" si="0"/>
        <v>47.32</v>
      </c>
      <c r="N162" s="5"/>
      <c r="O162" s="5"/>
      <c r="P162" s="5"/>
      <c r="Q162" s="5"/>
    </row>
    <row r="163" spans="1:17">
      <c r="A163" s="7">
        <v>96515563</v>
      </c>
      <c r="B163" s="7" t="s">
        <v>860</v>
      </c>
      <c r="C163" s="61">
        <v>1759</v>
      </c>
      <c r="D163" s="5">
        <v>879.5</v>
      </c>
      <c r="E163" s="5"/>
      <c r="G163" s="5">
        <v>520</v>
      </c>
      <c r="K163" s="5">
        <v>11.83</v>
      </c>
      <c r="L163" s="8">
        <v>4</v>
      </c>
      <c r="M163" s="5">
        <f t="shared" si="0"/>
        <v>47.32</v>
      </c>
    </row>
    <row r="164" spans="1:17">
      <c r="A164" s="7">
        <v>96515663</v>
      </c>
      <c r="B164" s="7" t="s">
        <v>860</v>
      </c>
      <c r="C164" s="61">
        <v>1845</v>
      </c>
      <c r="D164" s="5">
        <v>922.5</v>
      </c>
      <c r="E164" s="5"/>
      <c r="G164" s="5">
        <v>520</v>
      </c>
      <c r="K164" s="5">
        <v>11.83</v>
      </c>
      <c r="L164" s="8">
        <v>4</v>
      </c>
      <c r="M164" s="5">
        <f t="shared" si="0"/>
        <v>47.32</v>
      </c>
    </row>
    <row r="165" spans="1:17">
      <c r="A165" s="7">
        <v>92899732</v>
      </c>
      <c r="B165" s="7" t="s">
        <v>861</v>
      </c>
      <c r="C165" s="61">
        <v>1957</v>
      </c>
      <c r="D165" s="5">
        <v>978.5</v>
      </c>
      <c r="E165" s="5"/>
      <c r="F165" s="5"/>
      <c r="G165" s="5">
        <v>520</v>
      </c>
      <c r="H165" s="5"/>
      <c r="I165" s="5"/>
      <c r="J165" s="5"/>
      <c r="K165" s="5">
        <v>11.83</v>
      </c>
      <c r="L165" s="8">
        <v>4</v>
      </c>
      <c r="M165" s="5">
        <f t="shared" si="0"/>
        <v>47.32</v>
      </c>
      <c r="N165" s="5"/>
      <c r="O165" s="5"/>
      <c r="P165" s="5"/>
      <c r="Q165" s="5"/>
    </row>
    <row r="166" spans="1:17">
      <c r="A166" s="7">
        <v>92899796</v>
      </c>
      <c r="B166" s="7" t="s">
        <v>861</v>
      </c>
      <c r="C166" s="61">
        <v>2044</v>
      </c>
      <c r="D166" s="5">
        <v>1022</v>
      </c>
      <c r="E166" s="5"/>
      <c r="F166" s="5"/>
      <c r="G166" s="5">
        <v>520</v>
      </c>
      <c r="H166" s="5"/>
      <c r="I166" s="5"/>
      <c r="J166" s="5"/>
      <c r="K166" s="5">
        <v>11.83</v>
      </c>
      <c r="L166" s="8">
        <v>4</v>
      </c>
      <c r="M166" s="5">
        <f t="shared" si="0"/>
        <v>47.32</v>
      </c>
      <c r="N166" s="5"/>
      <c r="O166" s="5"/>
      <c r="P166" s="5"/>
      <c r="Q166" s="5"/>
    </row>
    <row r="167" spans="1:17">
      <c r="A167" s="7">
        <v>96515564</v>
      </c>
      <c r="B167" s="7" t="s">
        <v>861</v>
      </c>
      <c r="C167" s="61">
        <v>1833</v>
      </c>
      <c r="D167" s="5">
        <v>916.5</v>
      </c>
      <c r="E167" s="5"/>
      <c r="G167" s="5">
        <v>520</v>
      </c>
      <c r="K167" s="5">
        <v>11.83</v>
      </c>
      <c r="L167" s="8">
        <v>4</v>
      </c>
      <c r="M167" s="5">
        <f t="shared" si="0"/>
        <v>47.32</v>
      </c>
    </row>
    <row r="168" spans="1:17">
      <c r="A168" s="7">
        <v>96515664</v>
      </c>
      <c r="B168" s="7" t="s">
        <v>861</v>
      </c>
      <c r="C168" s="61">
        <v>1920</v>
      </c>
      <c r="D168" s="5">
        <v>960</v>
      </c>
      <c r="E168" s="5"/>
      <c r="G168" s="5">
        <v>520</v>
      </c>
      <c r="K168" s="5">
        <v>11.83</v>
      </c>
      <c r="L168" s="8">
        <v>4</v>
      </c>
      <c r="M168" s="5">
        <f t="shared" si="0"/>
        <v>47.32</v>
      </c>
    </row>
    <row r="169" spans="1:17">
      <c r="A169" s="7">
        <v>92899734</v>
      </c>
      <c r="B169" s="7" t="s">
        <v>862</v>
      </c>
      <c r="C169" s="61">
        <v>2080</v>
      </c>
      <c r="D169" s="5">
        <v>1040</v>
      </c>
      <c r="E169" s="5"/>
      <c r="F169" s="5"/>
      <c r="G169" s="5">
        <v>520</v>
      </c>
      <c r="H169" s="5"/>
      <c r="I169" s="5"/>
      <c r="J169" s="5"/>
      <c r="K169" s="5">
        <v>11.83</v>
      </c>
      <c r="L169" s="8">
        <v>4</v>
      </c>
      <c r="M169" s="5">
        <f t="shared" si="0"/>
        <v>47.32</v>
      </c>
      <c r="N169" s="5"/>
      <c r="O169" s="5"/>
      <c r="P169" s="5"/>
      <c r="Q169" s="5"/>
    </row>
    <row r="170" spans="1:17">
      <c r="A170" s="7">
        <v>92899797</v>
      </c>
      <c r="B170" s="7" t="s">
        <v>862</v>
      </c>
      <c r="C170" s="61">
        <v>2165</v>
      </c>
      <c r="D170" s="5">
        <v>1082.5</v>
      </c>
      <c r="E170" s="5"/>
      <c r="F170" s="5"/>
      <c r="G170" s="5">
        <v>520</v>
      </c>
      <c r="H170" s="5"/>
      <c r="I170" s="5"/>
      <c r="J170" s="5"/>
      <c r="K170" s="5">
        <v>11.83</v>
      </c>
      <c r="L170" s="8">
        <v>4</v>
      </c>
      <c r="M170" s="5">
        <f t="shared" si="0"/>
        <v>47.32</v>
      </c>
      <c r="N170" s="5"/>
      <c r="O170" s="5"/>
      <c r="P170" s="5"/>
      <c r="Q170" s="5"/>
    </row>
    <row r="171" spans="1:17">
      <c r="A171" s="7">
        <v>96515565</v>
      </c>
      <c r="B171" s="7" t="s">
        <v>862</v>
      </c>
      <c r="C171" s="61">
        <v>1954</v>
      </c>
      <c r="D171" s="5">
        <v>977</v>
      </c>
      <c r="E171" s="5"/>
      <c r="G171" s="5">
        <v>520</v>
      </c>
      <c r="K171" s="5">
        <v>11.83</v>
      </c>
      <c r="L171" s="8">
        <v>4</v>
      </c>
      <c r="M171" s="5">
        <f t="shared" si="0"/>
        <v>47.32</v>
      </c>
    </row>
    <row r="172" spans="1:17">
      <c r="A172" s="7">
        <v>96515666</v>
      </c>
      <c r="B172" s="7" t="s">
        <v>862</v>
      </c>
      <c r="C172" s="61">
        <v>2040</v>
      </c>
      <c r="D172" s="5">
        <v>1020</v>
      </c>
      <c r="E172" s="5"/>
      <c r="G172" s="5">
        <v>520</v>
      </c>
      <c r="K172" s="5">
        <v>11.83</v>
      </c>
      <c r="L172" s="8">
        <v>4</v>
      </c>
      <c r="M172" s="5">
        <f t="shared" si="0"/>
        <v>47.32</v>
      </c>
    </row>
    <row r="173" spans="1:17">
      <c r="A173" s="7">
        <v>92899735</v>
      </c>
      <c r="B173" s="7" t="s">
        <v>863</v>
      </c>
      <c r="C173" s="61">
        <v>2201</v>
      </c>
      <c r="D173" s="5">
        <v>1100.5</v>
      </c>
      <c r="E173" s="5"/>
      <c r="F173" s="5"/>
      <c r="G173" s="5">
        <v>520</v>
      </c>
      <c r="H173" s="5"/>
      <c r="I173" s="5"/>
      <c r="J173" s="5"/>
      <c r="K173" s="5">
        <v>11.83</v>
      </c>
      <c r="L173" s="8">
        <v>4</v>
      </c>
      <c r="M173" s="5">
        <f t="shared" si="0"/>
        <v>47.32</v>
      </c>
      <c r="N173" s="5"/>
      <c r="O173" s="5"/>
      <c r="P173" s="5"/>
      <c r="Q173" s="5"/>
    </row>
    <row r="174" spans="1:17">
      <c r="A174" s="7">
        <v>92899798</v>
      </c>
      <c r="B174" s="7" t="s">
        <v>863</v>
      </c>
      <c r="C174" s="61">
        <v>2287</v>
      </c>
      <c r="D174" s="5">
        <v>1143.5</v>
      </c>
      <c r="E174" s="5"/>
      <c r="F174" s="5"/>
      <c r="G174" s="5">
        <v>520</v>
      </c>
      <c r="H174" s="5"/>
      <c r="I174" s="5"/>
      <c r="J174" s="5"/>
      <c r="K174" s="5">
        <v>11.83</v>
      </c>
      <c r="L174" s="8">
        <v>4</v>
      </c>
      <c r="M174" s="5">
        <f t="shared" si="0"/>
        <v>47.32</v>
      </c>
      <c r="N174" s="5"/>
      <c r="O174" s="5"/>
      <c r="P174" s="5"/>
      <c r="Q174" s="5"/>
    </row>
    <row r="175" spans="1:17">
      <c r="A175" s="7">
        <v>96515566</v>
      </c>
      <c r="B175" s="7" t="s">
        <v>863</v>
      </c>
      <c r="C175" s="61">
        <v>2075</v>
      </c>
      <c r="D175" s="5">
        <v>1037.5</v>
      </c>
      <c r="E175" s="5"/>
      <c r="G175" s="5">
        <v>520</v>
      </c>
      <c r="K175" s="5">
        <v>11.83</v>
      </c>
      <c r="L175" s="8">
        <v>4</v>
      </c>
      <c r="M175" s="5">
        <f t="shared" si="0"/>
        <v>47.32</v>
      </c>
    </row>
    <row r="176" spans="1:17">
      <c r="A176" s="7">
        <v>96515668</v>
      </c>
      <c r="B176" s="7" t="s">
        <v>863</v>
      </c>
      <c r="C176" s="61">
        <v>2160</v>
      </c>
      <c r="D176" s="5">
        <v>1080</v>
      </c>
      <c r="E176" s="5"/>
      <c r="G176" s="5">
        <v>520</v>
      </c>
      <c r="K176" s="5">
        <v>11.83</v>
      </c>
      <c r="L176" s="8">
        <v>4</v>
      </c>
      <c r="M176" s="5">
        <f t="shared" si="0"/>
        <v>47.32</v>
      </c>
    </row>
    <row r="177" spans="1:17">
      <c r="A177" s="7">
        <v>92899679</v>
      </c>
      <c r="B177" s="7" t="s">
        <v>864</v>
      </c>
      <c r="C177" s="61">
        <v>1325</v>
      </c>
      <c r="D177" s="5">
        <v>662.5</v>
      </c>
      <c r="E177" s="5"/>
      <c r="F177" s="5"/>
      <c r="G177" s="5">
        <v>520</v>
      </c>
      <c r="H177" s="5"/>
      <c r="I177" s="5"/>
      <c r="J177" s="5"/>
      <c r="K177" s="5">
        <v>11.83</v>
      </c>
      <c r="L177" s="8">
        <v>4</v>
      </c>
      <c r="M177" s="5">
        <f t="shared" si="0"/>
        <v>47.32</v>
      </c>
      <c r="N177" s="5"/>
      <c r="O177" s="5"/>
      <c r="P177" s="5"/>
      <c r="Q177" s="5"/>
    </row>
    <row r="178" spans="1:17">
      <c r="A178" s="7">
        <v>92899761</v>
      </c>
      <c r="B178" s="7" t="s">
        <v>864</v>
      </c>
      <c r="C178" s="61">
        <v>1411</v>
      </c>
      <c r="D178" s="5">
        <v>705.5</v>
      </c>
      <c r="E178" s="5"/>
      <c r="F178" s="5"/>
      <c r="G178" s="5">
        <v>520</v>
      </c>
      <c r="H178" s="5"/>
      <c r="I178" s="5"/>
      <c r="J178" s="5"/>
      <c r="K178" s="5">
        <v>11.83</v>
      </c>
      <c r="L178" s="8">
        <v>4</v>
      </c>
      <c r="M178" s="5">
        <f t="shared" si="0"/>
        <v>47.32</v>
      </c>
      <c r="N178" s="5"/>
      <c r="O178" s="5"/>
      <c r="P178" s="5"/>
      <c r="Q178" s="5"/>
    </row>
    <row r="179" spans="1:17">
      <c r="A179" s="7">
        <v>96515537</v>
      </c>
      <c r="B179" s="7" t="s">
        <v>864</v>
      </c>
      <c r="C179" s="61">
        <v>1238</v>
      </c>
      <c r="D179" s="5">
        <v>619</v>
      </c>
      <c r="E179" s="5"/>
      <c r="G179" s="5">
        <v>520</v>
      </c>
      <c r="K179" s="5">
        <v>11.83</v>
      </c>
      <c r="L179" s="8">
        <v>4</v>
      </c>
      <c r="M179" s="5">
        <f t="shared" si="0"/>
        <v>47.32</v>
      </c>
    </row>
    <row r="180" spans="1:17">
      <c r="A180" s="7">
        <v>96515647</v>
      </c>
      <c r="B180" s="7" t="s">
        <v>864</v>
      </c>
      <c r="C180" s="61">
        <v>1323</v>
      </c>
      <c r="D180" s="5">
        <v>661.5</v>
      </c>
      <c r="E180" s="5"/>
      <c r="G180" s="5">
        <v>520</v>
      </c>
      <c r="K180" s="5">
        <v>11.83</v>
      </c>
      <c r="L180" s="8">
        <v>4</v>
      </c>
      <c r="M180" s="5">
        <f t="shared" si="0"/>
        <v>47.32</v>
      </c>
    </row>
    <row r="181" spans="1:17">
      <c r="A181" s="7">
        <v>92899736</v>
      </c>
      <c r="B181" s="7" t="s">
        <v>865</v>
      </c>
      <c r="C181" s="61">
        <v>2502</v>
      </c>
      <c r="D181" s="5">
        <v>1251</v>
      </c>
      <c r="E181" s="5"/>
      <c r="F181" s="5"/>
      <c r="G181" s="5">
        <v>520</v>
      </c>
      <c r="H181" s="5"/>
      <c r="I181" s="5"/>
      <c r="J181" s="5"/>
      <c r="K181" s="5">
        <v>11.83</v>
      </c>
      <c r="L181" s="8">
        <v>4</v>
      </c>
      <c r="M181" s="5">
        <f t="shared" si="0"/>
        <v>47.32</v>
      </c>
      <c r="N181" s="5"/>
      <c r="O181" s="5"/>
      <c r="P181" s="5"/>
      <c r="Q181" s="5"/>
    </row>
    <row r="182" spans="1:17">
      <c r="A182" s="7">
        <v>92899799</v>
      </c>
      <c r="B182" s="7" t="s">
        <v>865</v>
      </c>
      <c r="C182" s="61">
        <v>2588</v>
      </c>
      <c r="D182" s="5">
        <v>1294</v>
      </c>
      <c r="E182" s="5"/>
      <c r="F182" s="5"/>
      <c r="G182" s="5">
        <v>520</v>
      </c>
      <c r="H182" s="5"/>
      <c r="I182" s="5"/>
      <c r="J182" s="5"/>
      <c r="K182" s="5">
        <v>11.83</v>
      </c>
      <c r="L182" s="8">
        <v>4</v>
      </c>
      <c r="M182" s="5">
        <f t="shared" si="0"/>
        <v>47.32</v>
      </c>
      <c r="N182" s="5"/>
      <c r="O182" s="5"/>
      <c r="P182" s="5"/>
      <c r="Q182" s="5"/>
    </row>
    <row r="183" spans="1:17">
      <c r="A183" s="7">
        <v>96515567</v>
      </c>
      <c r="B183" s="7" t="s">
        <v>865</v>
      </c>
      <c r="C183" s="61">
        <v>2286</v>
      </c>
      <c r="D183" s="5">
        <v>1143</v>
      </c>
      <c r="E183" s="5"/>
      <c r="G183" s="5">
        <v>520</v>
      </c>
      <c r="K183" s="5">
        <v>11.83</v>
      </c>
      <c r="L183" s="8">
        <v>4</v>
      </c>
      <c r="M183" s="5">
        <f t="shared" si="0"/>
        <v>47.32</v>
      </c>
    </row>
    <row r="184" spans="1:17">
      <c r="A184" s="7">
        <v>96515670</v>
      </c>
      <c r="B184" s="7" t="s">
        <v>865</v>
      </c>
      <c r="C184" s="61">
        <v>2373</v>
      </c>
      <c r="D184" s="5">
        <v>1186.5</v>
      </c>
      <c r="E184" s="5"/>
      <c r="G184" s="5">
        <v>520</v>
      </c>
      <c r="K184" s="5">
        <v>11.83</v>
      </c>
      <c r="L184" s="8">
        <v>4</v>
      </c>
      <c r="M184" s="5">
        <f t="shared" si="0"/>
        <v>47.32</v>
      </c>
    </row>
    <row r="185" spans="1:17">
      <c r="A185" s="7">
        <v>92899737</v>
      </c>
      <c r="B185" s="7" t="s">
        <v>866</v>
      </c>
      <c r="C185" s="61">
        <v>2623</v>
      </c>
      <c r="D185" s="5">
        <v>1311.5</v>
      </c>
      <c r="E185" s="5"/>
      <c r="F185" s="5"/>
      <c r="G185" s="5">
        <v>520</v>
      </c>
      <c r="H185" s="5"/>
      <c r="I185" s="5"/>
      <c r="J185" s="5"/>
      <c r="K185" s="5">
        <v>11.83</v>
      </c>
      <c r="L185" s="8">
        <v>4</v>
      </c>
      <c r="M185" s="5">
        <f t="shared" si="0"/>
        <v>47.32</v>
      </c>
      <c r="N185" s="5"/>
      <c r="O185" s="5"/>
      <c r="P185" s="5"/>
      <c r="Q185" s="5"/>
    </row>
    <row r="186" spans="1:17">
      <c r="A186" s="7">
        <v>92899800</v>
      </c>
      <c r="B186" s="7" t="s">
        <v>866</v>
      </c>
      <c r="C186" s="61">
        <v>2710</v>
      </c>
      <c r="D186" s="5">
        <v>1355</v>
      </c>
      <c r="E186" s="5"/>
      <c r="F186" s="5"/>
      <c r="G186" s="5">
        <v>520</v>
      </c>
      <c r="H186" s="5"/>
      <c r="I186" s="5"/>
      <c r="J186" s="5"/>
      <c r="K186" s="5">
        <v>11.83</v>
      </c>
      <c r="L186" s="8">
        <v>4</v>
      </c>
      <c r="M186" s="5">
        <f t="shared" si="0"/>
        <v>47.32</v>
      </c>
      <c r="N186" s="5"/>
      <c r="O186" s="5"/>
      <c r="P186" s="5"/>
      <c r="Q186" s="5"/>
    </row>
    <row r="187" spans="1:17">
      <c r="A187" s="7">
        <v>96515568</v>
      </c>
      <c r="B187" s="7" t="s">
        <v>866</v>
      </c>
      <c r="C187" s="61">
        <v>2406</v>
      </c>
      <c r="D187" s="5">
        <v>1203</v>
      </c>
      <c r="E187" s="5"/>
      <c r="G187" s="5">
        <v>520</v>
      </c>
      <c r="K187" s="5">
        <v>11.83</v>
      </c>
      <c r="L187" s="8">
        <v>4</v>
      </c>
      <c r="M187" s="5">
        <f t="shared" si="0"/>
        <v>47.32</v>
      </c>
    </row>
    <row r="188" spans="1:17">
      <c r="A188" s="7">
        <v>96515671</v>
      </c>
      <c r="B188" s="7" t="s">
        <v>866</v>
      </c>
      <c r="C188" s="61">
        <v>2492</v>
      </c>
      <c r="D188" s="5">
        <v>1246</v>
      </c>
      <c r="E188" s="5"/>
      <c r="G188" s="5">
        <v>520</v>
      </c>
      <c r="K188" s="5">
        <v>11.83</v>
      </c>
      <c r="L188" s="8">
        <v>4</v>
      </c>
      <c r="M188" s="5">
        <f t="shared" si="0"/>
        <v>47.32</v>
      </c>
    </row>
    <row r="189" spans="1:17">
      <c r="A189" s="7">
        <v>92899738</v>
      </c>
      <c r="B189" s="7" t="s">
        <v>867</v>
      </c>
      <c r="C189" s="61">
        <v>2745</v>
      </c>
      <c r="D189" s="5">
        <v>1372.5</v>
      </c>
      <c r="E189" s="5"/>
      <c r="F189" s="5"/>
      <c r="G189" s="5">
        <v>520</v>
      </c>
      <c r="H189" s="5"/>
      <c r="I189" s="5"/>
      <c r="J189" s="5"/>
      <c r="K189" s="5">
        <v>11.83</v>
      </c>
      <c r="L189" s="8">
        <v>4</v>
      </c>
      <c r="M189" s="5">
        <f t="shared" si="0"/>
        <v>47.32</v>
      </c>
      <c r="N189" s="5"/>
      <c r="O189" s="5"/>
      <c r="P189" s="5"/>
      <c r="Q189" s="5"/>
    </row>
    <row r="190" spans="1:17">
      <c r="A190" s="7">
        <v>92899801</v>
      </c>
      <c r="B190" s="7" t="s">
        <v>867</v>
      </c>
      <c r="C190" s="61">
        <v>2831</v>
      </c>
      <c r="D190" s="5">
        <v>1415.5</v>
      </c>
      <c r="E190" s="5"/>
      <c r="F190" s="5"/>
      <c r="G190" s="5">
        <v>520</v>
      </c>
      <c r="H190" s="5"/>
      <c r="I190" s="5"/>
      <c r="J190" s="5"/>
      <c r="K190" s="5">
        <v>11.83</v>
      </c>
      <c r="L190" s="8">
        <v>4</v>
      </c>
      <c r="M190" s="5">
        <f t="shared" si="0"/>
        <v>47.32</v>
      </c>
      <c r="N190" s="5"/>
      <c r="O190" s="5"/>
      <c r="P190" s="5"/>
      <c r="Q190" s="5"/>
    </row>
    <row r="191" spans="1:17">
      <c r="A191" s="7">
        <v>96515569</v>
      </c>
      <c r="B191" s="7" t="s">
        <v>867</v>
      </c>
      <c r="C191" s="61">
        <v>2529</v>
      </c>
      <c r="D191" s="5">
        <v>1264.5</v>
      </c>
      <c r="E191" s="5"/>
      <c r="G191" s="5">
        <v>520</v>
      </c>
      <c r="K191" s="5">
        <v>11.83</v>
      </c>
      <c r="L191" s="8">
        <v>4</v>
      </c>
      <c r="M191" s="5">
        <f t="shared" si="0"/>
        <v>47.32</v>
      </c>
    </row>
    <row r="192" spans="1:17">
      <c r="A192" s="7">
        <v>96515672</v>
      </c>
      <c r="B192" s="7" t="s">
        <v>867</v>
      </c>
      <c r="C192" s="61">
        <v>2613</v>
      </c>
      <c r="D192" s="5">
        <v>1306.5</v>
      </c>
      <c r="E192" s="5"/>
      <c r="G192" s="5">
        <v>520</v>
      </c>
      <c r="K192" s="5">
        <v>11.83</v>
      </c>
      <c r="L192" s="8">
        <v>4</v>
      </c>
      <c r="M192" s="5">
        <f t="shared" si="0"/>
        <v>47.32</v>
      </c>
    </row>
    <row r="193" spans="1:17">
      <c r="A193" s="7">
        <v>92899676</v>
      </c>
      <c r="B193" s="7" t="s">
        <v>868</v>
      </c>
      <c r="C193" s="61">
        <v>3110</v>
      </c>
      <c r="D193" s="5">
        <v>1555</v>
      </c>
      <c r="E193" s="5"/>
      <c r="F193" s="5"/>
      <c r="G193" s="5">
        <v>520</v>
      </c>
      <c r="H193" s="5"/>
      <c r="I193" s="5"/>
      <c r="J193" s="5"/>
      <c r="K193" s="5">
        <v>11.83</v>
      </c>
      <c r="L193" s="8">
        <v>4</v>
      </c>
      <c r="M193" s="5">
        <f t="shared" si="0"/>
        <v>47.32</v>
      </c>
      <c r="N193" s="5"/>
      <c r="O193" s="5"/>
      <c r="P193" s="5"/>
      <c r="Q193" s="5"/>
    </row>
    <row r="194" spans="1:17">
      <c r="A194" s="7">
        <v>92959539</v>
      </c>
      <c r="B194" s="7" t="s">
        <v>868</v>
      </c>
      <c r="C194" s="61">
        <v>3023</v>
      </c>
      <c r="D194" s="5">
        <v>1511.5</v>
      </c>
      <c r="E194" s="5"/>
      <c r="G194" s="5">
        <v>520</v>
      </c>
      <c r="K194" s="5">
        <v>11.83</v>
      </c>
      <c r="L194" s="8">
        <v>4</v>
      </c>
      <c r="M194" s="5">
        <f t="shared" si="0"/>
        <v>47.32</v>
      </c>
    </row>
    <row r="195" spans="1:17">
      <c r="A195" s="7">
        <v>96515570</v>
      </c>
      <c r="B195" s="7" t="s">
        <v>868</v>
      </c>
      <c r="C195" s="61">
        <v>2675</v>
      </c>
      <c r="D195" s="5">
        <v>1337.5</v>
      </c>
      <c r="E195" s="5"/>
      <c r="G195" s="5">
        <v>520</v>
      </c>
      <c r="K195" s="5">
        <v>11.83</v>
      </c>
      <c r="L195" s="8">
        <v>4</v>
      </c>
      <c r="M195" s="5">
        <f t="shared" si="0"/>
        <v>47.32</v>
      </c>
    </row>
    <row r="196" spans="1:17">
      <c r="A196" s="7">
        <v>96515673</v>
      </c>
      <c r="B196" s="7" t="s">
        <v>868</v>
      </c>
      <c r="C196" s="61">
        <v>2762</v>
      </c>
      <c r="D196" s="5">
        <v>1381</v>
      </c>
      <c r="E196" s="5"/>
      <c r="G196" s="5">
        <v>520</v>
      </c>
      <c r="K196" s="5">
        <v>11.83</v>
      </c>
      <c r="L196" s="8">
        <v>4</v>
      </c>
      <c r="M196" s="5">
        <f t="shared" si="0"/>
        <v>47.32</v>
      </c>
    </row>
    <row r="197" spans="1:17">
      <c r="A197" s="7">
        <v>92899721</v>
      </c>
      <c r="B197" s="7" t="s">
        <v>869</v>
      </c>
      <c r="C197" s="61">
        <v>1372</v>
      </c>
      <c r="D197" s="5">
        <v>686</v>
      </c>
      <c r="E197" s="5"/>
      <c r="F197" s="5"/>
      <c r="G197" s="5">
        <v>520</v>
      </c>
      <c r="H197" s="5"/>
      <c r="I197" s="5"/>
      <c r="J197" s="5"/>
      <c r="K197" s="5">
        <v>11.83</v>
      </c>
      <c r="L197" s="8">
        <v>4</v>
      </c>
      <c r="M197" s="5">
        <f t="shared" si="0"/>
        <v>47.32</v>
      </c>
      <c r="N197" s="5"/>
      <c r="O197" s="5"/>
      <c r="P197" s="5"/>
      <c r="Q197" s="5"/>
    </row>
    <row r="198" spans="1:17">
      <c r="A198" s="7">
        <v>92899762</v>
      </c>
      <c r="B198" s="7" t="s">
        <v>869</v>
      </c>
      <c r="C198" s="61">
        <v>1458</v>
      </c>
      <c r="D198" s="5">
        <v>729</v>
      </c>
      <c r="E198" s="5"/>
      <c r="F198" s="5"/>
      <c r="G198" s="5">
        <v>520</v>
      </c>
      <c r="H198" s="5"/>
      <c r="I198" s="5"/>
      <c r="J198" s="5"/>
      <c r="K198" s="5">
        <v>11.83</v>
      </c>
      <c r="L198" s="8">
        <v>4</v>
      </c>
      <c r="M198" s="5">
        <f t="shared" si="0"/>
        <v>47.32</v>
      </c>
      <c r="N198" s="5"/>
      <c r="O198" s="5"/>
      <c r="P198" s="5"/>
      <c r="Q198" s="5"/>
    </row>
    <row r="199" spans="1:17">
      <c r="A199" s="7">
        <v>96515549</v>
      </c>
      <c r="B199" s="7" t="s">
        <v>869</v>
      </c>
      <c r="C199" s="61">
        <v>1285</v>
      </c>
      <c r="D199" s="5">
        <v>642.5</v>
      </c>
      <c r="E199" s="5"/>
      <c r="G199" s="5">
        <v>520</v>
      </c>
      <c r="K199" s="5">
        <v>11.83</v>
      </c>
      <c r="L199" s="8">
        <v>4</v>
      </c>
      <c r="M199" s="5">
        <f t="shared" si="0"/>
        <v>47.32</v>
      </c>
    </row>
    <row r="200" spans="1:17">
      <c r="A200" s="7">
        <v>96515649</v>
      </c>
      <c r="B200" s="7" t="s">
        <v>869</v>
      </c>
      <c r="C200" s="61">
        <v>1371</v>
      </c>
      <c r="D200" s="5">
        <v>685.5</v>
      </c>
      <c r="E200" s="5"/>
      <c r="G200" s="5">
        <v>520</v>
      </c>
      <c r="K200" s="5">
        <v>11.83</v>
      </c>
      <c r="L200" s="8">
        <v>4</v>
      </c>
      <c r="M200" s="5">
        <f t="shared" si="0"/>
        <v>47.32</v>
      </c>
    </row>
    <row r="201" spans="1:17">
      <c r="A201" s="7">
        <v>92899803</v>
      </c>
      <c r="B201" s="7" t="s">
        <v>870</v>
      </c>
      <c r="C201" s="61">
        <v>3298</v>
      </c>
      <c r="D201" s="5">
        <v>1649</v>
      </c>
      <c r="E201" s="5"/>
      <c r="F201" s="5"/>
      <c r="G201" s="5">
        <v>520</v>
      </c>
      <c r="H201" s="5"/>
      <c r="I201" s="5"/>
      <c r="J201" s="5"/>
      <c r="K201" s="5">
        <v>11.83</v>
      </c>
      <c r="L201" s="8">
        <v>4</v>
      </c>
      <c r="M201" s="5">
        <f t="shared" si="0"/>
        <v>47.32</v>
      </c>
      <c r="N201" s="5"/>
      <c r="O201" s="5"/>
      <c r="P201" s="5"/>
      <c r="Q201" s="5"/>
    </row>
    <row r="202" spans="1:17">
      <c r="A202" s="7">
        <v>96515675</v>
      </c>
      <c r="B202" s="7" t="s">
        <v>870</v>
      </c>
      <c r="C202" s="61">
        <v>2948</v>
      </c>
      <c r="D202" s="5">
        <v>1474</v>
      </c>
      <c r="E202" s="5"/>
      <c r="G202" s="5">
        <v>520</v>
      </c>
      <c r="K202" s="5">
        <v>11.83</v>
      </c>
      <c r="L202" s="8">
        <v>4</v>
      </c>
      <c r="M202" s="5">
        <f t="shared" si="0"/>
        <v>47.32</v>
      </c>
    </row>
    <row r="203" spans="1:17">
      <c r="A203" s="7">
        <v>92899805</v>
      </c>
      <c r="B203" s="7" t="s">
        <v>871</v>
      </c>
      <c r="C203" s="61">
        <v>3478</v>
      </c>
      <c r="D203" s="5">
        <v>1739</v>
      </c>
      <c r="E203" s="5"/>
      <c r="F203" s="5"/>
      <c r="G203" s="5">
        <v>520</v>
      </c>
      <c r="H203" s="5"/>
      <c r="I203" s="5"/>
      <c r="J203" s="5"/>
      <c r="K203" s="5">
        <v>11.83</v>
      </c>
      <c r="L203" s="8">
        <v>4</v>
      </c>
      <c r="M203" s="5">
        <f t="shared" si="0"/>
        <v>47.32</v>
      </c>
      <c r="N203" s="5"/>
      <c r="O203" s="5"/>
      <c r="P203" s="5"/>
      <c r="Q203" s="5"/>
    </row>
    <row r="204" spans="1:17">
      <c r="A204" s="7">
        <v>96515676</v>
      </c>
      <c r="B204" s="7" t="s">
        <v>871</v>
      </c>
      <c r="C204" s="61">
        <v>3129</v>
      </c>
      <c r="D204" s="5">
        <v>1564.5</v>
      </c>
      <c r="E204" s="5"/>
      <c r="G204" s="5">
        <v>520</v>
      </c>
      <c r="K204" s="5">
        <v>11.83</v>
      </c>
      <c r="L204" s="8">
        <v>4</v>
      </c>
      <c r="M204" s="5">
        <f t="shared" si="0"/>
        <v>47.32</v>
      </c>
    </row>
    <row r="205" spans="1:17">
      <c r="A205" s="7">
        <v>92899807</v>
      </c>
      <c r="B205" s="7" t="s">
        <v>872</v>
      </c>
      <c r="C205" s="61">
        <v>3659</v>
      </c>
      <c r="D205" s="5">
        <v>1829.5</v>
      </c>
      <c r="E205" s="5"/>
      <c r="F205" s="5"/>
      <c r="G205" s="5">
        <v>520</v>
      </c>
      <c r="H205" s="5"/>
      <c r="I205" s="5"/>
      <c r="J205" s="5"/>
      <c r="K205" s="5">
        <v>11.83</v>
      </c>
      <c r="L205" s="8">
        <v>4</v>
      </c>
      <c r="M205" s="5">
        <f t="shared" si="0"/>
        <v>47.32</v>
      </c>
      <c r="N205" s="5"/>
      <c r="O205" s="5"/>
      <c r="P205" s="5"/>
      <c r="Q205" s="5"/>
    </row>
    <row r="206" spans="1:17">
      <c r="A206" s="7">
        <v>96515677</v>
      </c>
      <c r="B206" s="7" t="s">
        <v>872</v>
      </c>
      <c r="C206" s="61">
        <v>3308</v>
      </c>
      <c r="D206" s="5">
        <v>1654</v>
      </c>
      <c r="E206" s="5"/>
      <c r="G206" s="5">
        <v>520</v>
      </c>
      <c r="K206" s="5">
        <v>11.83</v>
      </c>
      <c r="L206" s="8">
        <v>4</v>
      </c>
      <c r="M206" s="5">
        <f t="shared" si="0"/>
        <v>47.32</v>
      </c>
    </row>
    <row r="207" spans="1:17">
      <c r="A207" s="7">
        <v>92899722</v>
      </c>
      <c r="B207" s="7" t="s">
        <v>873</v>
      </c>
      <c r="C207" s="61">
        <v>1420</v>
      </c>
      <c r="D207" s="5">
        <v>710</v>
      </c>
      <c r="E207" s="5"/>
      <c r="F207" s="5"/>
      <c r="G207" s="5">
        <v>520</v>
      </c>
      <c r="H207" s="5"/>
      <c r="I207" s="5"/>
      <c r="J207" s="5"/>
      <c r="K207" s="5">
        <v>11.83</v>
      </c>
      <c r="L207" s="8">
        <v>4</v>
      </c>
      <c r="M207" s="5">
        <f t="shared" si="0"/>
        <v>47.32</v>
      </c>
      <c r="N207" s="5"/>
      <c r="O207" s="5"/>
      <c r="P207" s="5"/>
      <c r="Q207" s="5"/>
    </row>
    <row r="208" spans="1:17">
      <c r="A208" s="7">
        <v>92899764</v>
      </c>
      <c r="B208" s="7" t="s">
        <v>873</v>
      </c>
      <c r="C208" s="61">
        <v>1506</v>
      </c>
      <c r="D208" s="5">
        <v>753</v>
      </c>
      <c r="E208" s="5"/>
      <c r="F208" s="5"/>
      <c r="G208" s="5">
        <v>520</v>
      </c>
      <c r="H208" s="5"/>
      <c r="I208" s="5"/>
      <c r="J208" s="5"/>
      <c r="K208" s="5">
        <v>11.83</v>
      </c>
      <c r="L208" s="8">
        <v>4</v>
      </c>
      <c r="M208" s="5">
        <f t="shared" si="0"/>
        <v>47.32</v>
      </c>
      <c r="N208" s="5"/>
      <c r="O208" s="5"/>
      <c r="P208" s="5"/>
      <c r="Q208" s="5"/>
    </row>
    <row r="209" spans="1:17">
      <c r="A209" s="7">
        <v>96515551</v>
      </c>
      <c r="B209" s="7" t="s">
        <v>873</v>
      </c>
      <c r="C209" s="61">
        <v>1334</v>
      </c>
      <c r="D209" s="5">
        <v>667</v>
      </c>
      <c r="E209" s="5"/>
      <c r="G209" s="5">
        <v>520</v>
      </c>
      <c r="K209" s="5">
        <v>11.83</v>
      </c>
      <c r="L209" s="8">
        <v>4</v>
      </c>
      <c r="M209" s="5">
        <f t="shared" si="0"/>
        <v>47.32</v>
      </c>
    </row>
    <row r="210" spans="1:17">
      <c r="A210" s="7">
        <v>96515650</v>
      </c>
      <c r="B210" s="7" t="s">
        <v>873</v>
      </c>
      <c r="C210" s="61">
        <v>1419</v>
      </c>
      <c r="D210" s="5">
        <v>709.5</v>
      </c>
      <c r="E210" s="5"/>
      <c r="G210" s="5">
        <v>520</v>
      </c>
      <c r="K210" s="5">
        <v>11.83</v>
      </c>
      <c r="L210" s="8">
        <v>4</v>
      </c>
      <c r="M210" s="5">
        <f t="shared" si="0"/>
        <v>47.32</v>
      </c>
    </row>
    <row r="211" spans="1:17">
      <c r="A211" s="7">
        <v>92899723</v>
      </c>
      <c r="B211" s="7" t="s">
        <v>874</v>
      </c>
      <c r="C211" s="61">
        <v>1467</v>
      </c>
      <c r="D211" s="5">
        <v>733.5</v>
      </c>
      <c r="E211" s="5"/>
      <c r="F211" s="5"/>
      <c r="G211" s="5">
        <v>520</v>
      </c>
      <c r="H211" s="5"/>
      <c r="I211" s="5"/>
      <c r="J211" s="5"/>
      <c r="K211" s="5">
        <v>11.83</v>
      </c>
      <c r="L211" s="8">
        <v>4</v>
      </c>
      <c r="M211" s="5">
        <f t="shared" si="0"/>
        <v>47.32</v>
      </c>
      <c r="N211" s="5"/>
      <c r="O211" s="5"/>
      <c r="P211" s="5"/>
      <c r="Q211" s="5"/>
    </row>
    <row r="212" spans="1:17">
      <c r="A212" s="7">
        <v>92899765</v>
      </c>
      <c r="B212" s="7" t="s">
        <v>874</v>
      </c>
      <c r="C212" s="61">
        <v>1553</v>
      </c>
      <c r="D212" s="5">
        <v>776.5</v>
      </c>
      <c r="E212" s="5"/>
      <c r="F212" s="5"/>
      <c r="G212" s="5">
        <v>520</v>
      </c>
      <c r="H212" s="5"/>
      <c r="I212" s="5"/>
      <c r="J212" s="5"/>
      <c r="K212" s="5">
        <v>11.83</v>
      </c>
      <c r="L212" s="8">
        <v>4</v>
      </c>
      <c r="M212" s="5">
        <f t="shared" si="0"/>
        <v>47.32</v>
      </c>
      <c r="N212" s="5"/>
      <c r="O212" s="5"/>
      <c r="P212" s="5"/>
      <c r="Q212" s="5"/>
    </row>
    <row r="213" spans="1:17">
      <c r="A213" s="7">
        <v>96515552</v>
      </c>
      <c r="B213" s="7" t="s">
        <v>874</v>
      </c>
      <c r="C213" s="61">
        <v>1380</v>
      </c>
      <c r="D213" s="5">
        <v>690</v>
      </c>
      <c r="E213" s="5"/>
      <c r="G213" s="5">
        <v>520</v>
      </c>
      <c r="K213" s="5">
        <v>11.83</v>
      </c>
      <c r="L213" s="8">
        <v>4</v>
      </c>
      <c r="M213" s="5">
        <f t="shared" si="0"/>
        <v>47.32</v>
      </c>
    </row>
    <row r="214" spans="1:17">
      <c r="A214" s="7">
        <v>96515652</v>
      </c>
      <c r="B214" s="7" t="s">
        <v>874</v>
      </c>
      <c r="C214" s="61">
        <v>1465</v>
      </c>
      <c r="D214" s="5">
        <v>732.5</v>
      </c>
      <c r="E214" s="5"/>
      <c r="G214" s="5">
        <v>520</v>
      </c>
      <c r="K214" s="5">
        <v>11.83</v>
      </c>
      <c r="L214" s="8">
        <v>4</v>
      </c>
      <c r="M214" s="5">
        <f t="shared" si="0"/>
        <v>47.32</v>
      </c>
    </row>
    <row r="215" spans="1:17">
      <c r="A215" s="7">
        <v>92899724</v>
      </c>
      <c r="B215" s="7" t="s">
        <v>875</v>
      </c>
      <c r="C215" s="61">
        <v>1515</v>
      </c>
      <c r="D215" s="5">
        <v>757.5</v>
      </c>
      <c r="E215" s="5"/>
      <c r="F215" s="5"/>
      <c r="G215" s="5">
        <v>520</v>
      </c>
      <c r="H215" s="5"/>
      <c r="I215" s="5"/>
      <c r="J215" s="5"/>
      <c r="K215" s="5">
        <v>11.83</v>
      </c>
      <c r="L215" s="8">
        <v>4</v>
      </c>
      <c r="M215" s="5">
        <f t="shared" si="0"/>
        <v>47.32</v>
      </c>
      <c r="N215" s="5"/>
      <c r="O215" s="5"/>
      <c r="P215" s="5"/>
      <c r="Q215" s="5"/>
    </row>
    <row r="216" spans="1:17">
      <c r="A216" s="7">
        <v>92899766</v>
      </c>
      <c r="B216" s="7" t="s">
        <v>875</v>
      </c>
      <c r="C216" s="61">
        <v>1601</v>
      </c>
      <c r="D216" s="5">
        <v>800.5</v>
      </c>
      <c r="E216" s="5"/>
      <c r="F216" s="5"/>
      <c r="G216" s="5">
        <v>520</v>
      </c>
      <c r="H216" s="5"/>
      <c r="I216" s="5"/>
      <c r="J216" s="5"/>
      <c r="K216" s="5">
        <v>11.83</v>
      </c>
      <c r="L216" s="8">
        <v>4</v>
      </c>
      <c r="M216" s="5">
        <f t="shared" si="0"/>
        <v>47.32</v>
      </c>
      <c r="N216" s="5"/>
      <c r="O216" s="5"/>
      <c r="P216" s="5"/>
      <c r="Q216" s="5"/>
    </row>
    <row r="217" spans="1:17">
      <c r="A217" s="7">
        <v>96515553</v>
      </c>
      <c r="B217" s="7" t="s">
        <v>875</v>
      </c>
      <c r="C217" s="61">
        <v>1428</v>
      </c>
      <c r="D217" s="5">
        <v>714</v>
      </c>
      <c r="E217" s="5"/>
      <c r="G217" s="5">
        <v>520</v>
      </c>
      <c r="K217" s="5">
        <v>11.83</v>
      </c>
      <c r="L217" s="8">
        <v>4</v>
      </c>
      <c r="M217" s="5">
        <f t="shared" si="0"/>
        <v>47.32</v>
      </c>
    </row>
    <row r="218" spans="1:17">
      <c r="A218" s="7">
        <v>96515654</v>
      </c>
      <c r="B218" s="7" t="s">
        <v>875</v>
      </c>
      <c r="C218" s="61">
        <v>1513</v>
      </c>
      <c r="D218" s="5">
        <v>756.5</v>
      </c>
      <c r="E218" s="5"/>
      <c r="G218" s="5">
        <v>520</v>
      </c>
      <c r="K218" s="5">
        <v>11.83</v>
      </c>
      <c r="L218" s="8">
        <v>4</v>
      </c>
      <c r="M218" s="5">
        <f t="shared" si="0"/>
        <v>47.32</v>
      </c>
    </row>
    <row r="219" spans="1:17">
      <c r="A219" s="7">
        <v>92899725</v>
      </c>
      <c r="B219" s="7" t="s">
        <v>876</v>
      </c>
      <c r="C219" s="61">
        <v>1564</v>
      </c>
      <c r="D219" s="5">
        <v>782</v>
      </c>
      <c r="E219" s="5"/>
      <c r="F219" s="5"/>
      <c r="G219" s="5">
        <v>520</v>
      </c>
      <c r="H219" s="5"/>
      <c r="I219" s="5"/>
      <c r="J219" s="5"/>
      <c r="K219" s="5">
        <v>11.83</v>
      </c>
      <c r="L219" s="8">
        <v>4</v>
      </c>
      <c r="M219" s="5">
        <f t="shared" si="0"/>
        <v>47.32</v>
      </c>
      <c r="N219" s="5"/>
      <c r="O219" s="5"/>
      <c r="P219" s="5"/>
      <c r="Q219" s="5"/>
    </row>
    <row r="220" spans="1:17">
      <c r="A220" s="7">
        <v>92899768</v>
      </c>
      <c r="B220" s="7" t="s">
        <v>876</v>
      </c>
      <c r="C220" s="61">
        <v>1649</v>
      </c>
      <c r="D220" s="5">
        <v>824.5</v>
      </c>
      <c r="E220" s="5"/>
      <c r="F220" s="5"/>
      <c r="G220" s="5">
        <v>520</v>
      </c>
      <c r="H220" s="5"/>
      <c r="I220" s="5"/>
      <c r="J220" s="5"/>
      <c r="K220" s="5">
        <v>11.83</v>
      </c>
      <c r="L220" s="8">
        <v>4</v>
      </c>
      <c r="M220" s="5">
        <f t="shared" si="0"/>
        <v>47.32</v>
      </c>
      <c r="N220" s="5"/>
      <c r="O220" s="5"/>
      <c r="P220" s="5"/>
      <c r="Q220" s="5"/>
    </row>
    <row r="221" spans="1:17">
      <c r="A221" s="7">
        <v>96515555</v>
      </c>
      <c r="B221" s="7" t="s">
        <v>876</v>
      </c>
      <c r="C221" s="61">
        <v>1475</v>
      </c>
      <c r="D221" s="5">
        <v>737.5</v>
      </c>
      <c r="E221" s="5"/>
      <c r="G221" s="5">
        <v>520</v>
      </c>
      <c r="K221" s="5">
        <v>11.83</v>
      </c>
      <c r="L221" s="8">
        <v>4</v>
      </c>
      <c r="M221" s="5">
        <f t="shared" si="0"/>
        <v>47.32</v>
      </c>
    </row>
    <row r="222" spans="1:17">
      <c r="A222" s="7">
        <v>96515655</v>
      </c>
      <c r="B222" s="7" t="s">
        <v>876</v>
      </c>
      <c r="C222" s="61">
        <v>1560</v>
      </c>
      <c r="D222" s="5">
        <v>780</v>
      </c>
      <c r="E222" s="5"/>
      <c r="G222" s="5">
        <v>520</v>
      </c>
      <c r="K222" s="5">
        <v>11.83</v>
      </c>
      <c r="L222" s="8">
        <v>4</v>
      </c>
      <c r="M222" s="5">
        <f t="shared" si="0"/>
        <v>47.32</v>
      </c>
    </row>
    <row r="223" spans="1:17">
      <c r="A223" s="7">
        <v>92899726</v>
      </c>
      <c r="B223" s="7" t="s">
        <v>877</v>
      </c>
      <c r="C223" s="61">
        <v>1611</v>
      </c>
      <c r="D223" s="5">
        <v>805.5</v>
      </c>
      <c r="E223" s="5"/>
      <c r="F223" s="5"/>
      <c r="G223" s="5">
        <v>520</v>
      </c>
      <c r="H223" s="5"/>
      <c r="I223" s="5"/>
      <c r="J223" s="5"/>
      <c r="K223" s="5">
        <v>11.83</v>
      </c>
      <c r="L223" s="8">
        <v>4</v>
      </c>
      <c r="M223" s="5">
        <f t="shared" si="0"/>
        <v>47.32</v>
      </c>
      <c r="N223" s="5"/>
      <c r="O223" s="5"/>
      <c r="P223" s="5"/>
      <c r="Q223" s="5"/>
    </row>
    <row r="224" spans="1:17">
      <c r="A224" s="7">
        <v>92899769</v>
      </c>
      <c r="B224" s="7" t="s">
        <v>877</v>
      </c>
      <c r="C224" s="61">
        <v>1697</v>
      </c>
      <c r="D224" s="5">
        <v>848.5</v>
      </c>
      <c r="E224" s="5"/>
      <c r="F224" s="5"/>
      <c r="G224" s="5">
        <v>520</v>
      </c>
      <c r="H224" s="5"/>
      <c r="I224" s="5"/>
      <c r="J224" s="5"/>
      <c r="K224" s="5">
        <v>11.83</v>
      </c>
      <c r="L224" s="8">
        <v>4</v>
      </c>
      <c r="M224" s="5">
        <f t="shared" si="0"/>
        <v>47.32</v>
      </c>
      <c r="N224" s="5"/>
      <c r="O224" s="5"/>
      <c r="P224" s="5"/>
      <c r="Q224" s="5"/>
    </row>
    <row r="225" spans="1:17">
      <c r="A225" s="7">
        <v>96515557</v>
      </c>
      <c r="B225" s="7" t="s">
        <v>877</v>
      </c>
      <c r="C225" s="61">
        <v>1523</v>
      </c>
      <c r="D225" s="5">
        <v>761.5</v>
      </c>
      <c r="E225" s="5"/>
      <c r="G225" s="5">
        <v>520</v>
      </c>
      <c r="K225" s="5">
        <v>11.83</v>
      </c>
      <c r="L225" s="8">
        <v>4</v>
      </c>
      <c r="M225" s="5">
        <f t="shared" si="0"/>
        <v>47.32</v>
      </c>
    </row>
    <row r="226" spans="1:17">
      <c r="A226" s="7">
        <v>96515656</v>
      </c>
      <c r="B226" s="7" t="s">
        <v>877</v>
      </c>
      <c r="C226" s="61">
        <v>1608</v>
      </c>
      <c r="D226" s="5">
        <v>804</v>
      </c>
      <c r="E226" s="5"/>
      <c r="G226" s="5">
        <v>520</v>
      </c>
      <c r="K226" s="5">
        <v>11.83</v>
      </c>
      <c r="L226" s="8">
        <v>4</v>
      </c>
      <c r="M226" s="5">
        <f t="shared" si="0"/>
        <v>47.32</v>
      </c>
    </row>
    <row r="227" spans="1:17">
      <c r="A227" s="7">
        <v>92899727</v>
      </c>
      <c r="B227" s="7" t="s">
        <v>878</v>
      </c>
      <c r="C227" s="61">
        <v>1658</v>
      </c>
      <c r="D227" s="5">
        <v>829</v>
      </c>
      <c r="E227" s="5"/>
      <c r="F227" s="5"/>
      <c r="G227" s="5">
        <v>520</v>
      </c>
      <c r="H227" s="5"/>
      <c r="I227" s="5"/>
      <c r="J227" s="5"/>
      <c r="K227" s="5">
        <v>11.83</v>
      </c>
      <c r="L227" s="8">
        <v>4</v>
      </c>
      <c r="M227" s="5">
        <f t="shared" si="0"/>
        <v>47.32</v>
      </c>
      <c r="N227" s="5"/>
      <c r="O227" s="5"/>
      <c r="P227" s="5"/>
      <c r="Q227" s="5"/>
    </row>
    <row r="228" spans="1:17">
      <c r="A228" s="7">
        <v>92899790</v>
      </c>
      <c r="B228" s="7" t="s">
        <v>878</v>
      </c>
      <c r="C228" s="61">
        <v>1745</v>
      </c>
      <c r="D228" s="5">
        <v>872.5</v>
      </c>
      <c r="E228" s="5"/>
      <c r="F228" s="5"/>
      <c r="G228" s="5">
        <v>520</v>
      </c>
      <c r="H228" s="5"/>
      <c r="I228" s="5"/>
      <c r="J228" s="5"/>
      <c r="K228" s="5">
        <v>11.83</v>
      </c>
      <c r="L228" s="8">
        <v>4</v>
      </c>
      <c r="M228" s="5">
        <f t="shared" si="0"/>
        <v>47.32</v>
      </c>
      <c r="N228" s="5"/>
      <c r="O228" s="5"/>
      <c r="P228" s="5"/>
      <c r="Q228" s="5"/>
    </row>
    <row r="229" spans="1:17">
      <c r="A229" s="7">
        <v>96515558</v>
      </c>
      <c r="B229" s="7" t="s">
        <v>878</v>
      </c>
      <c r="C229" s="61">
        <v>1571</v>
      </c>
      <c r="D229" s="5">
        <v>785.5</v>
      </c>
      <c r="E229" s="5"/>
      <c r="G229" s="5">
        <v>520</v>
      </c>
      <c r="K229" s="5">
        <v>11.83</v>
      </c>
      <c r="L229" s="8">
        <v>4</v>
      </c>
      <c r="M229" s="5">
        <f t="shared" si="0"/>
        <v>47.32</v>
      </c>
    </row>
    <row r="230" spans="1:17">
      <c r="A230" s="7">
        <v>96515657</v>
      </c>
      <c r="B230" s="7" t="s">
        <v>878</v>
      </c>
      <c r="C230" s="61">
        <v>1656</v>
      </c>
      <c r="D230" s="5">
        <v>828</v>
      </c>
      <c r="E230" s="5"/>
      <c r="G230" s="5">
        <v>520</v>
      </c>
      <c r="K230" s="5">
        <v>11.83</v>
      </c>
      <c r="L230" s="8">
        <v>4</v>
      </c>
      <c r="M230" s="5">
        <f t="shared" si="0"/>
        <v>47.32</v>
      </c>
    </row>
    <row r="231" spans="1:17">
      <c r="A231" s="7">
        <v>92959643</v>
      </c>
      <c r="B231" s="7" t="s">
        <v>879</v>
      </c>
      <c r="C231" s="61">
        <v>2968</v>
      </c>
      <c r="D231" s="5">
        <v>1484</v>
      </c>
      <c r="E231" s="5"/>
      <c r="G231" s="5">
        <v>520</v>
      </c>
      <c r="K231" s="5">
        <v>11.83</v>
      </c>
      <c r="L231" s="8">
        <v>4</v>
      </c>
      <c r="M231" s="5">
        <f t="shared" si="0"/>
        <v>47.32</v>
      </c>
    </row>
    <row r="232" spans="1:17">
      <c r="A232" s="7">
        <v>96500326</v>
      </c>
      <c r="B232" s="7" t="s">
        <v>879</v>
      </c>
      <c r="C232" s="61">
        <v>2637</v>
      </c>
      <c r="D232" s="5">
        <v>1318.5</v>
      </c>
      <c r="E232" s="5"/>
      <c r="G232" s="5">
        <v>520</v>
      </c>
      <c r="K232" s="5">
        <v>11.83</v>
      </c>
      <c r="L232" s="8">
        <v>4</v>
      </c>
      <c r="M232" s="5">
        <f t="shared" si="0"/>
        <v>47.32</v>
      </c>
    </row>
    <row r="233" spans="1:17">
      <c r="A233" s="7">
        <v>96500515</v>
      </c>
      <c r="B233" s="7" t="s">
        <v>880</v>
      </c>
      <c r="C233" s="61">
        <v>9072</v>
      </c>
      <c r="D233" s="5">
        <v>4536</v>
      </c>
      <c r="E233" s="5"/>
      <c r="G233" s="5">
        <v>520</v>
      </c>
      <c r="K233" s="5">
        <v>11.83</v>
      </c>
      <c r="L233" s="8">
        <v>4</v>
      </c>
      <c r="M233" s="5">
        <f t="shared" si="0"/>
        <v>47.32</v>
      </c>
    </row>
    <row r="234" spans="1:17">
      <c r="A234" s="7">
        <v>96500516</v>
      </c>
      <c r="B234" s="7" t="s">
        <v>881</v>
      </c>
      <c r="C234" s="61">
        <v>11081</v>
      </c>
      <c r="D234" s="5">
        <v>5540.5</v>
      </c>
      <c r="E234" s="5"/>
      <c r="G234" s="5">
        <v>520</v>
      </c>
      <c r="K234" s="5">
        <v>11.83</v>
      </c>
      <c r="L234" s="8">
        <v>4</v>
      </c>
      <c r="M234" s="5">
        <f t="shared" si="0"/>
        <v>47.32</v>
      </c>
    </row>
    <row r="235" spans="1:17">
      <c r="A235" s="7">
        <v>96500517</v>
      </c>
      <c r="B235" s="7" t="s">
        <v>882</v>
      </c>
      <c r="C235" s="61">
        <v>11600</v>
      </c>
      <c r="D235" s="5">
        <v>5800</v>
      </c>
      <c r="E235" s="5"/>
      <c r="G235" s="5">
        <v>520</v>
      </c>
      <c r="K235" s="5">
        <v>11.83</v>
      </c>
      <c r="L235" s="8">
        <v>4</v>
      </c>
      <c r="M235" s="5">
        <f t="shared" si="0"/>
        <v>47.32</v>
      </c>
    </row>
    <row r="236" spans="1:17">
      <c r="A236" s="7">
        <v>96500518</v>
      </c>
      <c r="B236" s="7" t="s">
        <v>883</v>
      </c>
      <c r="C236" s="61">
        <v>13831</v>
      </c>
      <c r="D236" s="5">
        <v>6915.5</v>
      </c>
      <c r="E236" s="5"/>
      <c r="G236" s="5">
        <v>520</v>
      </c>
      <c r="K236" s="5">
        <v>11.83</v>
      </c>
      <c r="L236" s="8">
        <v>4</v>
      </c>
      <c r="M236" s="5">
        <f t="shared" si="0"/>
        <v>47.32</v>
      </c>
    </row>
    <row r="237" spans="1:17">
      <c r="A237" s="7">
        <v>92959645</v>
      </c>
      <c r="B237" s="7" t="s">
        <v>884</v>
      </c>
      <c r="C237" s="61">
        <v>3803</v>
      </c>
      <c r="D237" s="5">
        <v>1901.5</v>
      </c>
      <c r="E237" s="5"/>
      <c r="G237" s="5">
        <v>520</v>
      </c>
      <c r="K237" s="5">
        <v>11.83</v>
      </c>
      <c r="L237" s="8">
        <v>4</v>
      </c>
      <c r="M237" s="5">
        <f t="shared" si="0"/>
        <v>47.32</v>
      </c>
    </row>
    <row r="238" spans="1:17">
      <c r="A238" s="7">
        <v>96500327</v>
      </c>
      <c r="B238" s="7" t="s">
        <v>884</v>
      </c>
      <c r="C238" s="61">
        <v>3323</v>
      </c>
      <c r="D238" s="5">
        <v>1661.5</v>
      </c>
      <c r="E238" s="5"/>
      <c r="G238" s="5">
        <v>520</v>
      </c>
      <c r="K238" s="5">
        <v>11.83</v>
      </c>
      <c r="L238" s="8">
        <v>4</v>
      </c>
      <c r="M238" s="5">
        <f t="shared" si="0"/>
        <v>47.32</v>
      </c>
    </row>
    <row r="239" spans="1:17">
      <c r="A239" s="7">
        <v>96500509</v>
      </c>
      <c r="B239" s="7" t="s">
        <v>885</v>
      </c>
      <c r="C239" s="61">
        <v>4681</v>
      </c>
      <c r="D239" s="5">
        <v>2340.5</v>
      </c>
      <c r="E239" s="5"/>
      <c r="G239" s="5">
        <v>520</v>
      </c>
      <c r="K239" s="5">
        <v>11.83</v>
      </c>
      <c r="L239" s="8">
        <v>4</v>
      </c>
      <c r="M239" s="5">
        <f t="shared" si="0"/>
        <v>47.32</v>
      </c>
    </row>
    <row r="240" spans="1:17">
      <c r="A240" s="7">
        <v>96500510</v>
      </c>
      <c r="B240" s="7" t="s">
        <v>886</v>
      </c>
      <c r="C240" s="61">
        <v>5534</v>
      </c>
      <c r="D240" s="5">
        <v>2767</v>
      </c>
      <c r="E240" s="5"/>
      <c r="G240" s="5">
        <v>520</v>
      </c>
      <c r="K240" s="5">
        <v>11.83</v>
      </c>
      <c r="L240" s="8">
        <v>4</v>
      </c>
      <c r="M240" s="5">
        <f t="shared" si="0"/>
        <v>47.32</v>
      </c>
    </row>
    <row r="241" spans="1:17">
      <c r="A241" s="7">
        <v>96500511</v>
      </c>
      <c r="B241" s="7" t="s">
        <v>887</v>
      </c>
      <c r="C241" s="61">
        <v>5791</v>
      </c>
      <c r="D241" s="5">
        <v>2895.5</v>
      </c>
      <c r="E241" s="5"/>
      <c r="G241" s="5">
        <v>520</v>
      </c>
      <c r="K241" s="5">
        <v>11.83</v>
      </c>
      <c r="L241" s="8">
        <v>4</v>
      </c>
      <c r="M241" s="5">
        <f t="shared" si="0"/>
        <v>47.32</v>
      </c>
    </row>
    <row r="242" spans="1:17">
      <c r="A242" s="7">
        <v>96500512</v>
      </c>
      <c r="B242" s="7" t="s">
        <v>888</v>
      </c>
      <c r="C242" s="61">
        <v>6703</v>
      </c>
      <c r="D242" s="5">
        <v>3351.5</v>
      </c>
      <c r="E242" s="5"/>
      <c r="G242" s="5">
        <v>520</v>
      </c>
      <c r="K242" s="5">
        <v>11.83</v>
      </c>
      <c r="L242" s="8">
        <v>4</v>
      </c>
      <c r="M242" s="5">
        <f t="shared" si="0"/>
        <v>47.32</v>
      </c>
    </row>
    <row r="243" spans="1:17">
      <c r="A243" s="7">
        <v>96500513</v>
      </c>
      <c r="B243" s="7" t="s">
        <v>889</v>
      </c>
      <c r="C243" s="61">
        <v>6965</v>
      </c>
      <c r="D243" s="5">
        <v>3482.5</v>
      </c>
      <c r="E243" s="5"/>
      <c r="G243" s="5">
        <v>520</v>
      </c>
      <c r="K243" s="5">
        <v>11.83</v>
      </c>
      <c r="L243" s="8">
        <v>4</v>
      </c>
      <c r="M243" s="5">
        <f t="shared" si="0"/>
        <v>47.32</v>
      </c>
    </row>
    <row r="244" spans="1:17">
      <c r="A244" s="7">
        <v>96500514</v>
      </c>
      <c r="B244" s="7" t="s">
        <v>890</v>
      </c>
      <c r="C244" s="61">
        <v>8551</v>
      </c>
      <c r="D244" s="5">
        <v>4275.5</v>
      </c>
      <c r="E244" s="5"/>
      <c r="G244" s="5">
        <v>520</v>
      </c>
      <c r="K244" s="5">
        <v>11.83</v>
      </c>
      <c r="L244" s="8">
        <v>4</v>
      </c>
      <c r="M244" s="5">
        <f t="shared" si="0"/>
        <v>47.32</v>
      </c>
    </row>
    <row r="245" spans="1:17">
      <c r="A245" s="7">
        <v>92541252</v>
      </c>
      <c r="B245" s="7" t="s">
        <v>891</v>
      </c>
      <c r="C245" s="61">
        <v>26594</v>
      </c>
      <c r="D245" s="5">
        <v>13297</v>
      </c>
      <c r="E245" s="5"/>
      <c r="F245" s="5"/>
      <c r="G245" s="5"/>
      <c r="H245" s="5"/>
      <c r="I245" s="5"/>
      <c r="J245" s="5"/>
      <c r="K245" s="5"/>
      <c r="L245" s="5"/>
      <c r="M245" s="5">
        <f t="shared" si="0"/>
        <v>0</v>
      </c>
      <c r="N245" s="5"/>
      <c r="O245" s="5"/>
      <c r="P245" s="5"/>
      <c r="Q245" s="5"/>
    </row>
    <row r="246" spans="1:17">
      <c r="A246" s="7">
        <v>99144179</v>
      </c>
      <c r="B246" s="7" t="s">
        <v>892</v>
      </c>
      <c r="C246" s="61">
        <v>20926</v>
      </c>
      <c r="D246" s="5">
        <v>10463</v>
      </c>
      <c r="E246" s="5"/>
      <c r="M246" s="5">
        <f t="shared" si="0"/>
        <v>0</v>
      </c>
    </row>
    <row r="247" spans="1:17">
      <c r="A247" s="7">
        <v>92541255</v>
      </c>
      <c r="B247" s="7" t="s">
        <v>893</v>
      </c>
      <c r="C247" s="61">
        <v>47771</v>
      </c>
      <c r="D247" s="5">
        <v>23885.5</v>
      </c>
      <c r="E247" s="5"/>
      <c r="F247" s="5"/>
      <c r="G247" s="5"/>
      <c r="H247" s="5"/>
      <c r="I247" s="5"/>
      <c r="J247" s="5"/>
      <c r="K247" s="5"/>
      <c r="L247" s="5"/>
      <c r="M247" s="5">
        <f t="shared" si="0"/>
        <v>0</v>
      </c>
      <c r="N247" s="5"/>
      <c r="O247" s="5"/>
      <c r="P247" s="5"/>
      <c r="Q247" s="5"/>
    </row>
    <row r="248" spans="1:17">
      <c r="A248" s="7">
        <v>92541254</v>
      </c>
      <c r="B248" s="7" t="s">
        <v>894</v>
      </c>
      <c r="C248" s="61">
        <v>39968</v>
      </c>
      <c r="D248" s="5">
        <v>19984</v>
      </c>
      <c r="E248" s="5"/>
      <c r="F248" s="5"/>
      <c r="G248" s="5"/>
      <c r="H248" s="5"/>
      <c r="I248" s="5"/>
      <c r="J248" s="5"/>
      <c r="K248" s="5"/>
      <c r="L248" s="5"/>
      <c r="M248" s="5">
        <f t="shared" si="0"/>
        <v>0</v>
      </c>
      <c r="N248" s="5"/>
      <c r="O248" s="5"/>
      <c r="P248" s="5"/>
      <c r="Q248" s="5"/>
    </row>
    <row r="249" spans="1:17">
      <c r="A249" s="7">
        <v>92541253</v>
      </c>
      <c r="B249" s="7" t="s">
        <v>895</v>
      </c>
      <c r="C249" s="61">
        <v>33017</v>
      </c>
      <c r="D249" s="5">
        <v>16508.5</v>
      </c>
      <c r="E249" s="5"/>
      <c r="F249" s="5"/>
      <c r="G249" s="5"/>
      <c r="H249" s="5"/>
      <c r="I249" s="5"/>
      <c r="J249" s="5"/>
      <c r="K249" s="5"/>
      <c r="L249" s="5"/>
      <c r="M249" s="5">
        <f t="shared" si="0"/>
        <v>0</v>
      </c>
      <c r="N249" s="5"/>
      <c r="O249" s="5"/>
      <c r="P249" s="5"/>
      <c r="Q249" s="5"/>
    </row>
    <row r="250" spans="1:17">
      <c r="A250" s="7">
        <v>92541258</v>
      </c>
      <c r="B250" s="7" t="s">
        <v>896</v>
      </c>
      <c r="C250" s="61">
        <v>56998</v>
      </c>
      <c r="D250" s="5">
        <v>28499</v>
      </c>
      <c r="E250" s="5"/>
      <c r="F250" s="5"/>
      <c r="G250" s="5"/>
      <c r="H250" s="5"/>
      <c r="I250" s="5"/>
      <c r="J250" s="5"/>
      <c r="K250" s="5"/>
      <c r="L250" s="5"/>
      <c r="M250" s="5">
        <f t="shared" si="0"/>
        <v>0</v>
      </c>
      <c r="N250" s="5"/>
      <c r="O250" s="5"/>
      <c r="P250" s="5"/>
      <c r="Q250" s="5"/>
    </row>
    <row r="251" spans="1:17">
      <c r="A251" s="7">
        <v>92541256</v>
      </c>
      <c r="B251" s="7" t="s">
        <v>897</v>
      </c>
      <c r="C251" s="61">
        <v>48977</v>
      </c>
      <c r="D251" s="5">
        <v>24488.5</v>
      </c>
      <c r="E251" s="5"/>
      <c r="F251" s="5"/>
      <c r="G251" s="5"/>
      <c r="H251" s="5"/>
      <c r="I251" s="5"/>
      <c r="J251" s="5"/>
      <c r="K251" s="5"/>
      <c r="L251" s="5"/>
      <c r="M251" s="5">
        <f t="shared" si="0"/>
        <v>0</v>
      </c>
      <c r="N251" s="5"/>
      <c r="O251" s="5"/>
      <c r="P251" s="5"/>
      <c r="Q251" s="5"/>
    </row>
    <row r="252" spans="1:17">
      <c r="A252" s="7">
        <v>92541261</v>
      </c>
      <c r="B252" s="7" t="s">
        <v>898</v>
      </c>
      <c r="C252" s="61">
        <v>71342</v>
      </c>
      <c r="D252" s="5">
        <v>35671</v>
      </c>
      <c r="E252" s="5"/>
      <c r="F252" s="5"/>
      <c r="G252" s="5"/>
      <c r="H252" s="5"/>
      <c r="I252" s="5"/>
      <c r="J252" s="5"/>
      <c r="K252" s="5"/>
      <c r="L252" s="5"/>
      <c r="M252" s="5">
        <f t="shared" si="0"/>
        <v>0</v>
      </c>
      <c r="N252" s="5"/>
      <c r="O252" s="5"/>
      <c r="P252" s="5"/>
      <c r="Q252" s="5"/>
    </row>
    <row r="253" spans="1:17">
      <c r="A253" s="7">
        <v>92541260</v>
      </c>
      <c r="B253" s="7" t="s">
        <v>899</v>
      </c>
      <c r="C253" s="61">
        <v>63958</v>
      </c>
      <c r="D253" s="5">
        <v>31979</v>
      </c>
      <c r="E253" s="5"/>
      <c r="F253" s="5"/>
      <c r="G253" s="5"/>
      <c r="H253" s="5"/>
      <c r="I253" s="5"/>
      <c r="J253" s="5"/>
      <c r="K253" s="5"/>
      <c r="L253" s="5"/>
      <c r="M253" s="5">
        <f t="shared" si="0"/>
        <v>0</v>
      </c>
      <c r="N253" s="5"/>
      <c r="O253" s="5"/>
      <c r="P253" s="5"/>
      <c r="Q253" s="5"/>
    </row>
    <row r="254" spans="1:17">
      <c r="A254" s="7">
        <v>92541263</v>
      </c>
      <c r="B254" s="7" t="s">
        <v>900</v>
      </c>
      <c r="C254" s="61">
        <v>84115</v>
      </c>
      <c r="D254" s="5">
        <v>42057.5</v>
      </c>
      <c r="E254" s="5"/>
      <c r="F254" s="5"/>
      <c r="G254" s="5"/>
      <c r="H254" s="5"/>
      <c r="I254" s="5"/>
      <c r="J254" s="5"/>
      <c r="K254" s="5"/>
      <c r="L254" s="5"/>
      <c r="M254" s="5">
        <f t="shared" si="0"/>
        <v>0</v>
      </c>
      <c r="N254" s="5"/>
      <c r="O254" s="5"/>
      <c r="P254" s="5"/>
      <c r="Q254" s="5"/>
    </row>
    <row r="255" spans="1:17">
      <c r="A255" s="7">
        <v>92541262</v>
      </c>
      <c r="B255" s="7" t="s">
        <v>901</v>
      </c>
      <c r="C255" s="61">
        <v>72548</v>
      </c>
      <c r="D255" s="5">
        <v>36274</v>
      </c>
      <c r="E255" s="5"/>
      <c r="F255" s="5"/>
      <c r="G255" s="5"/>
      <c r="H255" s="5"/>
      <c r="I255" s="5"/>
      <c r="J255" s="5"/>
      <c r="K255" s="5"/>
      <c r="L255" s="5"/>
      <c r="M255" s="5">
        <f t="shared" si="0"/>
        <v>0</v>
      </c>
      <c r="N255" s="5"/>
      <c r="O255" s="5"/>
      <c r="P255" s="5"/>
      <c r="Q255" s="5"/>
    </row>
    <row r="256" spans="1:17">
      <c r="A256" s="7">
        <v>92541266</v>
      </c>
      <c r="B256" s="7" t="s">
        <v>902</v>
      </c>
      <c r="C256" s="61">
        <v>99251</v>
      </c>
      <c r="D256" s="5">
        <v>49625.5</v>
      </c>
      <c r="E256" s="5"/>
      <c r="F256" s="5"/>
      <c r="G256" s="5">
        <v>520</v>
      </c>
      <c r="H256" s="5"/>
      <c r="I256" s="5"/>
      <c r="J256" s="5"/>
      <c r="K256" s="5">
        <v>11.83</v>
      </c>
      <c r="L256" s="8">
        <v>4</v>
      </c>
      <c r="M256" s="5">
        <f t="shared" si="0"/>
        <v>47.32</v>
      </c>
      <c r="N256" s="5"/>
      <c r="O256" s="5"/>
      <c r="P256" s="5"/>
      <c r="Q256" s="5"/>
    </row>
    <row r="257" spans="1:17">
      <c r="A257" s="7">
        <v>92541265</v>
      </c>
      <c r="B257" s="7" t="s">
        <v>903</v>
      </c>
      <c r="C257" s="61">
        <v>85321</v>
      </c>
      <c r="D257" s="5">
        <v>42660.5</v>
      </c>
      <c r="E257" s="5"/>
      <c r="F257" s="5"/>
      <c r="G257" s="5">
        <v>520</v>
      </c>
      <c r="H257" s="5"/>
      <c r="I257" s="5"/>
      <c r="J257" s="5"/>
      <c r="K257" s="5">
        <v>11.83</v>
      </c>
      <c r="L257" s="8">
        <v>4</v>
      </c>
      <c r="M257" s="5">
        <f t="shared" ref="M257:M503" si="1">K257*L257</f>
        <v>47.32</v>
      </c>
      <c r="N257" s="5"/>
      <c r="O257" s="5"/>
      <c r="P257" s="5"/>
      <c r="Q257" s="5"/>
    </row>
    <row r="258" spans="1:17">
      <c r="A258" s="7">
        <v>92541267</v>
      </c>
      <c r="B258" s="7" t="s">
        <v>904</v>
      </c>
      <c r="C258" s="61">
        <v>100457</v>
      </c>
      <c r="D258" s="5">
        <v>50228.5</v>
      </c>
      <c r="E258" s="5"/>
      <c r="F258" s="5"/>
      <c r="G258" s="5">
        <v>520</v>
      </c>
      <c r="H258" s="5"/>
      <c r="I258" s="5"/>
      <c r="J258" s="5"/>
      <c r="K258" s="5">
        <v>11.83</v>
      </c>
      <c r="L258" s="8">
        <v>4</v>
      </c>
      <c r="M258" s="5">
        <f t="shared" si="1"/>
        <v>47.32</v>
      </c>
      <c r="N258" s="5"/>
      <c r="O258" s="5"/>
      <c r="P258" s="5"/>
      <c r="Q258" s="5"/>
    </row>
    <row r="259" spans="1:17">
      <c r="A259" s="7">
        <v>92541463</v>
      </c>
      <c r="B259" s="7" t="s">
        <v>905</v>
      </c>
      <c r="C259" s="61">
        <v>33025</v>
      </c>
      <c r="D259" s="5">
        <v>16512.5</v>
      </c>
      <c r="E259" s="5"/>
      <c r="F259" s="5"/>
      <c r="G259" s="5">
        <v>520</v>
      </c>
      <c r="H259" s="5"/>
      <c r="I259" s="5"/>
      <c r="J259" s="5"/>
      <c r="K259" s="5">
        <v>11.83</v>
      </c>
      <c r="L259" s="8">
        <v>4</v>
      </c>
      <c r="M259" s="5">
        <f t="shared" si="1"/>
        <v>47.32</v>
      </c>
      <c r="N259" s="5"/>
      <c r="O259" s="5"/>
      <c r="P259" s="5"/>
      <c r="Q259" s="5"/>
    </row>
    <row r="260" spans="1:17">
      <c r="A260" s="7">
        <v>92541462</v>
      </c>
      <c r="B260" s="7" t="s">
        <v>906</v>
      </c>
      <c r="C260" s="61">
        <v>22224</v>
      </c>
      <c r="D260" s="5">
        <v>11112</v>
      </c>
      <c r="E260" s="5"/>
      <c r="F260" s="5"/>
      <c r="G260" s="5">
        <v>520</v>
      </c>
      <c r="H260" s="5"/>
      <c r="I260" s="5"/>
      <c r="J260" s="5"/>
      <c r="K260" s="5">
        <v>11.83</v>
      </c>
      <c r="L260" s="8">
        <v>4</v>
      </c>
      <c r="M260" s="5">
        <f t="shared" si="1"/>
        <v>47.32</v>
      </c>
      <c r="N260" s="5"/>
      <c r="O260" s="5"/>
      <c r="P260" s="5"/>
      <c r="Q260" s="5"/>
    </row>
    <row r="261" spans="1:17">
      <c r="A261" s="7">
        <v>92541465</v>
      </c>
      <c r="B261" s="7" t="s">
        <v>907</v>
      </c>
      <c r="C261" s="61">
        <v>48989</v>
      </c>
      <c r="D261" s="5">
        <v>24494.5</v>
      </c>
      <c r="E261" s="5"/>
      <c r="F261" s="5"/>
      <c r="G261" s="5">
        <v>520</v>
      </c>
      <c r="H261" s="5"/>
      <c r="I261" s="5"/>
      <c r="J261" s="5"/>
      <c r="K261" s="5">
        <v>11.83</v>
      </c>
      <c r="L261" s="8">
        <v>4</v>
      </c>
      <c r="M261" s="5">
        <f t="shared" si="1"/>
        <v>47.32</v>
      </c>
      <c r="N261" s="5"/>
      <c r="O261" s="5"/>
      <c r="P261" s="5"/>
      <c r="Q261" s="5"/>
    </row>
    <row r="262" spans="1:17">
      <c r="A262" s="7">
        <v>92541464</v>
      </c>
      <c r="B262" s="7" t="s">
        <v>908</v>
      </c>
      <c r="C262" s="61">
        <v>39978</v>
      </c>
      <c r="D262" s="5">
        <v>19989</v>
      </c>
      <c r="E262" s="5"/>
      <c r="F262" s="5"/>
      <c r="G262" s="5">
        <v>520</v>
      </c>
      <c r="H262" s="5"/>
      <c r="I262" s="5"/>
      <c r="J262" s="5"/>
      <c r="K262" s="5">
        <v>11.83</v>
      </c>
      <c r="L262" s="8">
        <v>4</v>
      </c>
      <c r="M262" s="5">
        <f t="shared" si="1"/>
        <v>47.32</v>
      </c>
      <c r="N262" s="5"/>
      <c r="O262" s="5"/>
      <c r="P262" s="5"/>
      <c r="Q262" s="5"/>
    </row>
    <row r="263" spans="1:17">
      <c r="A263" s="7">
        <v>92541467</v>
      </c>
      <c r="B263" s="7" t="s">
        <v>909</v>
      </c>
      <c r="C263" s="61">
        <v>63974</v>
      </c>
      <c r="D263" s="5">
        <v>31987</v>
      </c>
      <c r="E263" s="5"/>
      <c r="F263" s="5"/>
      <c r="G263" s="5">
        <v>520</v>
      </c>
      <c r="H263" s="5"/>
      <c r="I263" s="5"/>
      <c r="J263" s="5"/>
      <c r="K263" s="5">
        <v>11.83</v>
      </c>
      <c r="L263" s="8">
        <v>4</v>
      </c>
      <c r="M263" s="5">
        <f t="shared" si="1"/>
        <v>47.32</v>
      </c>
      <c r="N263" s="5"/>
      <c r="O263" s="5"/>
      <c r="P263" s="5"/>
      <c r="Q263" s="5"/>
    </row>
    <row r="264" spans="1:17">
      <c r="A264" s="7">
        <v>92541466</v>
      </c>
      <c r="B264" s="7" t="s">
        <v>910</v>
      </c>
      <c r="C264" s="61">
        <v>57013</v>
      </c>
      <c r="D264" s="5">
        <v>28506.5</v>
      </c>
      <c r="E264" s="5"/>
      <c r="F264" s="5"/>
      <c r="G264" s="5">
        <v>520</v>
      </c>
      <c r="H264" s="5"/>
      <c r="I264" s="5"/>
      <c r="J264" s="5"/>
      <c r="K264" s="5">
        <v>11.83</v>
      </c>
      <c r="L264" s="8">
        <v>4</v>
      </c>
      <c r="M264" s="5">
        <f t="shared" si="1"/>
        <v>47.32</v>
      </c>
      <c r="N264" s="5"/>
      <c r="O264" s="5"/>
      <c r="P264" s="5"/>
      <c r="Q264" s="5"/>
    </row>
    <row r="265" spans="1:17">
      <c r="A265" s="7">
        <v>92541469</v>
      </c>
      <c r="B265" s="7" t="s">
        <v>911</v>
      </c>
      <c r="C265" s="61">
        <v>84137</v>
      </c>
      <c r="D265" s="5">
        <v>42068.5</v>
      </c>
      <c r="E265" s="5"/>
      <c r="F265" s="5"/>
      <c r="G265" s="5">
        <v>520</v>
      </c>
      <c r="H265" s="5"/>
      <c r="I265" s="5"/>
      <c r="J265" s="5"/>
      <c r="K265" s="5">
        <v>11.83</v>
      </c>
      <c r="L265" s="8">
        <v>4</v>
      </c>
      <c r="M265" s="5">
        <f t="shared" si="1"/>
        <v>47.32</v>
      </c>
      <c r="N265" s="5"/>
      <c r="O265" s="5"/>
      <c r="P265" s="5"/>
      <c r="Q265" s="5"/>
    </row>
    <row r="266" spans="1:17">
      <c r="A266" s="7">
        <v>92541468</v>
      </c>
      <c r="B266" s="7" t="s">
        <v>912</v>
      </c>
      <c r="C266" s="61">
        <v>72567</v>
      </c>
      <c r="D266" s="5">
        <v>36283.5</v>
      </c>
      <c r="E266" s="5"/>
      <c r="F266" s="5"/>
      <c r="G266" s="5">
        <v>520</v>
      </c>
      <c r="H266" s="5"/>
      <c r="I266" s="5"/>
      <c r="J266" s="5"/>
      <c r="K266" s="5">
        <v>11.83</v>
      </c>
      <c r="L266" s="8">
        <v>4</v>
      </c>
      <c r="M266" s="5">
        <f t="shared" si="1"/>
        <v>47.32</v>
      </c>
      <c r="N266" s="5"/>
      <c r="O266" s="5"/>
      <c r="P266" s="5"/>
      <c r="Q266" s="5"/>
    </row>
    <row r="267" spans="1:17">
      <c r="A267" s="7">
        <v>92541481</v>
      </c>
      <c r="B267" s="7" t="s">
        <v>913</v>
      </c>
      <c r="C267" s="61">
        <v>99277</v>
      </c>
      <c r="D267" s="5">
        <v>49638.5</v>
      </c>
      <c r="E267" s="5"/>
      <c r="F267" s="5"/>
      <c r="G267" s="5">
        <v>520</v>
      </c>
      <c r="H267" s="5"/>
      <c r="I267" s="5"/>
      <c r="J267" s="5"/>
      <c r="K267" s="5">
        <v>11.83</v>
      </c>
      <c r="L267" s="8">
        <v>4</v>
      </c>
      <c r="M267" s="5">
        <f t="shared" si="1"/>
        <v>47.32</v>
      </c>
      <c r="N267" s="5"/>
      <c r="O267" s="5"/>
      <c r="P267" s="5"/>
      <c r="Q267" s="5"/>
    </row>
    <row r="268" spans="1:17">
      <c r="A268" s="7">
        <v>92541480</v>
      </c>
      <c r="B268" s="7" t="s">
        <v>914</v>
      </c>
      <c r="C268" s="61">
        <v>85343</v>
      </c>
      <c r="D268" s="5">
        <v>42671.5</v>
      </c>
      <c r="E268" s="5"/>
      <c r="F268" s="5"/>
      <c r="G268" s="5">
        <v>520</v>
      </c>
      <c r="H268" s="5"/>
      <c r="I268" s="5"/>
      <c r="J268" s="5"/>
      <c r="K268" s="5">
        <v>11.83</v>
      </c>
      <c r="L268" s="8">
        <v>4</v>
      </c>
      <c r="M268" s="5">
        <f t="shared" si="1"/>
        <v>47.32</v>
      </c>
      <c r="N268" s="5"/>
      <c r="O268" s="5"/>
      <c r="P268" s="5"/>
      <c r="Q268" s="5"/>
    </row>
    <row r="269" spans="1:17">
      <c r="A269" s="7">
        <v>92541482</v>
      </c>
      <c r="B269" s="7" t="s">
        <v>915</v>
      </c>
      <c r="C269" s="61">
        <v>100483</v>
      </c>
      <c r="D269" s="5">
        <v>50241.5</v>
      </c>
      <c r="E269" s="5"/>
      <c r="F269" s="5"/>
      <c r="G269" s="5">
        <v>520</v>
      </c>
      <c r="H269" s="5"/>
      <c r="I269" s="5"/>
      <c r="J269" s="5"/>
      <c r="K269" s="5">
        <v>11.83</v>
      </c>
      <c r="L269" s="8">
        <v>4</v>
      </c>
      <c r="M269" s="5">
        <f t="shared" si="1"/>
        <v>47.32</v>
      </c>
      <c r="N269" s="5"/>
      <c r="O269" s="5"/>
      <c r="P269" s="5"/>
      <c r="Q269" s="5"/>
    </row>
    <row r="270" spans="1:17">
      <c r="A270" s="7">
        <v>92901494</v>
      </c>
      <c r="B270" s="7" t="s">
        <v>916</v>
      </c>
      <c r="C270" s="61">
        <v>2089</v>
      </c>
      <c r="D270" s="5">
        <v>1044.5</v>
      </c>
      <c r="E270" s="5"/>
      <c r="G270" s="5">
        <v>520</v>
      </c>
      <c r="H270" s="5"/>
      <c r="I270" s="5"/>
      <c r="J270" s="5"/>
      <c r="K270" s="5">
        <v>11.83</v>
      </c>
      <c r="L270" s="8">
        <v>4</v>
      </c>
      <c r="M270" s="5">
        <f t="shared" si="1"/>
        <v>47.32</v>
      </c>
      <c r="N270" s="5"/>
      <c r="O270" s="5"/>
      <c r="P270" s="5"/>
      <c r="Q270" s="5"/>
    </row>
    <row r="271" spans="1:17">
      <c r="A271" s="7">
        <v>92901539</v>
      </c>
      <c r="B271" s="7" t="s">
        <v>916</v>
      </c>
      <c r="C271" s="61">
        <v>2179</v>
      </c>
      <c r="D271" s="5">
        <v>1089.5</v>
      </c>
      <c r="E271" s="5"/>
      <c r="G271" s="5">
        <v>520</v>
      </c>
      <c r="H271" s="5"/>
      <c r="I271" s="5"/>
      <c r="J271" s="5"/>
      <c r="K271" s="5">
        <v>11.83</v>
      </c>
      <c r="L271" s="8">
        <v>4</v>
      </c>
      <c r="M271" s="5">
        <f t="shared" si="1"/>
        <v>47.32</v>
      </c>
      <c r="N271" s="5"/>
      <c r="O271" s="5"/>
      <c r="P271" s="5"/>
      <c r="Q271" s="5"/>
    </row>
    <row r="272" spans="1:17">
      <c r="A272" s="7">
        <v>96516597</v>
      </c>
      <c r="B272" s="7" t="s">
        <v>916</v>
      </c>
      <c r="C272" s="61">
        <v>1878</v>
      </c>
      <c r="D272" s="5">
        <v>939</v>
      </c>
      <c r="E272" s="5"/>
      <c r="G272" s="5">
        <v>520</v>
      </c>
      <c r="K272" s="5">
        <v>11.83</v>
      </c>
      <c r="L272" s="8">
        <v>4</v>
      </c>
      <c r="M272" s="5">
        <f t="shared" si="1"/>
        <v>47.32</v>
      </c>
    </row>
    <row r="273" spans="1:17">
      <c r="A273" s="7">
        <v>96516657</v>
      </c>
      <c r="B273" s="7" t="s">
        <v>916</v>
      </c>
      <c r="C273" s="61">
        <v>1968</v>
      </c>
      <c r="D273" s="5">
        <v>984</v>
      </c>
      <c r="E273" s="5"/>
      <c r="G273" s="5">
        <v>520</v>
      </c>
      <c r="K273" s="5">
        <v>11.83</v>
      </c>
      <c r="L273" s="8">
        <v>4</v>
      </c>
      <c r="M273" s="5">
        <f t="shared" si="1"/>
        <v>47.32</v>
      </c>
    </row>
    <row r="274" spans="1:17">
      <c r="A274" s="7">
        <v>92901495</v>
      </c>
      <c r="B274" s="7" t="s">
        <v>917</v>
      </c>
      <c r="C274" s="61">
        <v>2335</v>
      </c>
      <c r="D274" s="5">
        <v>1167.5</v>
      </c>
      <c r="E274" s="5"/>
      <c r="G274" s="5">
        <v>520</v>
      </c>
      <c r="H274" s="5"/>
      <c r="I274" s="5"/>
      <c r="J274" s="5"/>
      <c r="K274" s="5">
        <v>11.83</v>
      </c>
      <c r="L274" s="8">
        <v>4</v>
      </c>
      <c r="M274" s="5">
        <f t="shared" si="1"/>
        <v>47.32</v>
      </c>
      <c r="N274" s="5"/>
      <c r="O274" s="5"/>
      <c r="P274" s="5"/>
      <c r="Q274" s="5"/>
    </row>
    <row r="275" spans="1:17">
      <c r="A275" s="7">
        <v>92901540</v>
      </c>
      <c r="B275" s="7" t="s">
        <v>917</v>
      </c>
      <c r="C275" s="61">
        <v>2425</v>
      </c>
      <c r="D275" s="5">
        <v>1212.5</v>
      </c>
      <c r="E275" s="5"/>
      <c r="G275" s="5">
        <v>520</v>
      </c>
      <c r="H275" s="5"/>
      <c r="I275" s="5"/>
      <c r="J275" s="5"/>
      <c r="K275" s="5">
        <v>11.83</v>
      </c>
      <c r="L275" s="8">
        <v>4</v>
      </c>
      <c r="M275" s="5">
        <f t="shared" si="1"/>
        <v>47.32</v>
      </c>
      <c r="N275" s="5"/>
      <c r="O275" s="5"/>
      <c r="P275" s="5"/>
      <c r="Q275" s="5"/>
    </row>
    <row r="276" spans="1:17">
      <c r="A276" s="7">
        <v>96516598</v>
      </c>
      <c r="B276" s="7" t="s">
        <v>917</v>
      </c>
      <c r="C276" s="61">
        <v>1988</v>
      </c>
      <c r="D276" s="5">
        <v>994</v>
      </c>
      <c r="E276" s="5"/>
      <c r="G276" s="5">
        <v>520</v>
      </c>
      <c r="K276" s="5">
        <v>11.83</v>
      </c>
      <c r="L276" s="8">
        <v>4</v>
      </c>
      <c r="M276" s="5">
        <f t="shared" si="1"/>
        <v>47.32</v>
      </c>
    </row>
    <row r="277" spans="1:17">
      <c r="A277" s="7">
        <v>96516658</v>
      </c>
      <c r="B277" s="7" t="s">
        <v>917</v>
      </c>
      <c r="C277" s="61">
        <v>2079</v>
      </c>
      <c r="D277" s="5">
        <v>1039.5</v>
      </c>
      <c r="E277" s="5"/>
      <c r="G277" s="5">
        <v>520</v>
      </c>
      <c r="K277" s="5">
        <v>11.83</v>
      </c>
      <c r="L277" s="8">
        <v>4</v>
      </c>
      <c r="M277" s="5">
        <f t="shared" si="1"/>
        <v>47.32</v>
      </c>
    </row>
    <row r="278" spans="1:17">
      <c r="A278" s="7">
        <v>92901497</v>
      </c>
      <c r="B278" s="7" t="s">
        <v>918</v>
      </c>
      <c r="C278" s="61">
        <v>2412</v>
      </c>
      <c r="D278" s="5">
        <v>1206</v>
      </c>
      <c r="E278" s="5"/>
      <c r="G278" s="5">
        <v>520</v>
      </c>
      <c r="H278" s="5"/>
      <c r="I278" s="5"/>
      <c r="J278" s="5"/>
      <c r="K278" s="5">
        <v>11.83</v>
      </c>
      <c r="L278" s="8">
        <v>4</v>
      </c>
      <c r="M278" s="5">
        <f t="shared" si="1"/>
        <v>47.32</v>
      </c>
      <c r="N278" s="5"/>
      <c r="O278" s="5"/>
      <c r="P278" s="5"/>
      <c r="Q278" s="5"/>
    </row>
    <row r="279" spans="1:17">
      <c r="A279" s="7">
        <v>92901541</v>
      </c>
      <c r="B279" s="7" t="s">
        <v>918</v>
      </c>
      <c r="C279" s="61">
        <v>2502</v>
      </c>
      <c r="D279" s="5">
        <v>1251</v>
      </c>
      <c r="E279" s="5"/>
      <c r="G279" s="5">
        <v>520</v>
      </c>
      <c r="H279" s="5"/>
      <c r="I279" s="5"/>
      <c r="J279" s="5"/>
      <c r="K279" s="5">
        <v>11.83</v>
      </c>
      <c r="L279" s="8">
        <v>4</v>
      </c>
      <c r="M279" s="5">
        <f t="shared" si="1"/>
        <v>47.32</v>
      </c>
      <c r="N279" s="5"/>
      <c r="O279" s="5"/>
      <c r="P279" s="5"/>
      <c r="Q279" s="5"/>
    </row>
    <row r="280" spans="1:17">
      <c r="A280" s="7">
        <v>96516599</v>
      </c>
      <c r="B280" s="7" t="s">
        <v>918</v>
      </c>
      <c r="C280" s="61">
        <v>2066</v>
      </c>
      <c r="D280" s="5">
        <v>1033</v>
      </c>
      <c r="E280" s="5"/>
      <c r="G280" s="5">
        <v>520</v>
      </c>
      <c r="K280" s="5">
        <v>11.83</v>
      </c>
      <c r="L280" s="8">
        <v>4</v>
      </c>
      <c r="M280" s="5">
        <f t="shared" si="1"/>
        <v>47.32</v>
      </c>
    </row>
    <row r="281" spans="1:17">
      <c r="A281" s="7">
        <v>96516659</v>
      </c>
      <c r="B281" s="7" t="s">
        <v>918</v>
      </c>
      <c r="C281" s="61">
        <v>2156</v>
      </c>
      <c r="D281" s="5">
        <v>1078</v>
      </c>
      <c r="E281" s="5"/>
      <c r="G281" s="5">
        <v>520</v>
      </c>
      <c r="K281" s="5">
        <v>11.83</v>
      </c>
      <c r="L281" s="8">
        <v>4</v>
      </c>
      <c r="M281" s="5">
        <f t="shared" si="1"/>
        <v>47.32</v>
      </c>
    </row>
    <row r="282" spans="1:17">
      <c r="A282" s="7">
        <v>92901498</v>
      </c>
      <c r="B282" s="7" t="s">
        <v>919</v>
      </c>
      <c r="C282" s="61">
        <v>2489</v>
      </c>
      <c r="D282" s="5">
        <v>1244.5</v>
      </c>
      <c r="E282" s="5"/>
      <c r="G282" s="5">
        <v>520</v>
      </c>
      <c r="H282" s="5"/>
      <c r="I282" s="5"/>
      <c r="J282" s="5"/>
      <c r="K282" s="5">
        <v>11.83</v>
      </c>
      <c r="L282" s="8">
        <v>4</v>
      </c>
      <c r="M282" s="5">
        <f t="shared" si="1"/>
        <v>47.32</v>
      </c>
      <c r="N282" s="5"/>
      <c r="O282" s="5"/>
      <c r="P282" s="5"/>
      <c r="Q282" s="5"/>
    </row>
    <row r="283" spans="1:17">
      <c r="A283" s="7">
        <v>92901542</v>
      </c>
      <c r="B283" s="7" t="s">
        <v>919</v>
      </c>
      <c r="C283" s="61">
        <v>2579</v>
      </c>
      <c r="D283" s="5">
        <v>1289.5</v>
      </c>
      <c r="E283" s="5"/>
      <c r="G283" s="5">
        <v>520</v>
      </c>
      <c r="H283" s="5"/>
      <c r="I283" s="5"/>
      <c r="J283" s="5"/>
      <c r="K283" s="5">
        <v>11.83</v>
      </c>
      <c r="L283" s="8">
        <v>4</v>
      </c>
      <c r="M283" s="5">
        <f t="shared" si="1"/>
        <v>47.32</v>
      </c>
      <c r="N283" s="5"/>
      <c r="O283" s="5"/>
      <c r="P283" s="5"/>
      <c r="Q283" s="5"/>
    </row>
    <row r="284" spans="1:17">
      <c r="A284" s="7">
        <v>96516600</v>
      </c>
      <c r="B284" s="7" t="s">
        <v>919</v>
      </c>
      <c r="C284" s="61">
        <v>2143</v>
      </c>
      <c r="D284" s="5">
        <v>1071.5</v>
      </c>
      <c r="E284" s="5"/>
      <c r="G284" s="5">
        <v>520</v>
      </c>
      <c r="K284" s="5">
        <v>11.83</v>
      </c>
      <c r="L284" s="8">
        <v>4</v>
      </c>
      <c r="M284" s="5">
        <f t="shared" si="1"/>
        <v>47.32</v>
      </c>
    </row>
    <row r="285" spans="1:17">
      <c r="A285" s="7">
        <v>96516660</v>
      </c>
      <c r="B285" s="7" t="s">
        <v>919</v>
      </c>
      <c r="C285" s="61">
        <v>2233</v>
      </c>
      <c r="D285" s="5">
        <v>1116.5</v>
      </c>
      <c r="E285" s="5"/>
      <c r="G285" s="5">
        <v>520</v>
      </c>
      <c r="K285" s="5">
        <v>11.83</v>
      </c>
      <c r="L285" s="8">
        <v>4</v>
      </c>
      <c r="M285" s="5">
        <f t="shared" si="1"/>
        <v>47.32</v>
      </c>
    </row>
    <row r="286" spans="1:17">
      <c r="A286" s="7">
        <v>92901499</v>
      </c>
      <c r="B286" s="7" t="s">
        <v>920</v>
      </c>
      <c r="C286" s="61">
        <v>2651</v>
      </c>
      <c r="D286" s="5">
        <v>1325.5</v>
      </c>
      <c r="E286" s="5"/>
      <c r="G286" s="5">
        <v>520</v>
      </c>
      <c r="H286" s="5"/>
      <c r="I286" s="5"/>
      <c r="J286" s="5"/>
      <c r="K286" s="5">
        <v>11.83</v>
      </c>
      <c r="L286" s="8">
        <v>4</v>
      </c>
      <c r="M286" s="5">
        <f t="shared" si="1"/>
        <v>47.32</v>
      </c>
      <c r="N286" s="5"/>
      <c r="O286" s="5"/>
      <c r="P286" s="5"/>
      <c r="Q286" s="5"/>
    </row>
    <row r="287" spans="1:17">
      <c r="A287" s="7">
        <v>92901543</v>
      </c>
      <c r="B287" s="7" t="s">
        <v>920</v>
      </c>
      <c r="C287" s="61">
        <v>2741</v>
      </c>
      <c r="D287" s="5">
        <v>1370.5</v>
      </c>
      <c r="E287" s="5"/>
      <c r="G287" s="5">
        <v>520</v>
      </c>
      <c r="H287" s="5"/>
      <c r="I287" s="5"/>
      <c r="J287" s="5"/>
      <c r="K287" s="5">
        <v>11.83</v>
      </c>
      <c r="L287" s="8">
        <v>4</v>
      </c>
      <c r="M287" s="5">
        <f t="shared" si="1"/>
        <v>47.32</v>
      </c>
      <c r="N287" s="5"/>
      <c r="O287" s="5"/>
      <c r="P287" s="5"/>
      <c r="Q287" s="5"/>
    </row>
    <row r="288" spans="1:17">
      <c r="A288" s="7">
        <v>96516601</v>
      </c>
      <c r="B288" s="7" t="s">
        <v>920</v>
      </c>
      <c r="C288" s="61">
        <v>2304</v>
      </c>
      <c r="D288" s="5">
        <v>1152</v>
      </c>
      <c r="E288" s="5"/>
      <c r="G288" s="5">
        <v>520</v>
      </c>
      <c r="K288" s="5">
        <v>11.83</v>
      </c>
      <c r="L288" s="8">
        <v>4</v>
      </c>
      <c r="M288" s="5">
        <f t="shared" si="1"/>
        <v>47.32</v>
      </c>
    </row>
    <row r="289" spans="1:17">
      <c r="A289" s="7">
        <v>96516661</v>
      </c>
      <c r="B289" s="7" t="s">
        <v>920</v>
      </c>
      <c r="C289" s="61">
        <v>2395</v>
      </c>
      <c r="D289" s="5">
        <v>1197.5</v>
      </c>
      <c r="E289" s="5"/>
      <c r="G289" s="5">
        <v>520</v>
      </c>
      <c r="K289" s="5">
        <v>11.83</v>
      </c>
      <c r="L289" s="8">
        <v>4</v>
      </c>
      <c r="M289" s="5">
        <f t="shared" si="1"/>
        <v>47.32</v>
      </c>
    </row>
    <row r="290" spans="1:17">
      <c r="A290" s="7">
        <v>92901510</v>
      </c>
      <c r="B290" s="7" t="s">
        <v>921</v>
      </c>
      <c r="C290" s="61">
        <v>3090</v>
      </c>
      <c r="D290" s="5">
        <v>1545</v>
      </c>
      <c r="E290" s="5"/>
      <c r="G290" s="5">
        <v>520</v>
      </c>
      <c r="H290" s="5"/>
      <c r="I290" s="5"/>
      <c r="J290" s="5"/>
      <c r="K290" s="5">
        <v>11.83</v>
      </c>
      <c r="L290" s="8">
        <v>4</v>
      </c>
      <c r="M290" s="5">
        <f t="shared" si="1"/>
        <v>47.32</v>
      </c>
      <c r="N290" s="5"/>
      <c r="O290" s="5"/>
      <c r="P290" s="5"/>
      <c r="Q290" s="5"/>
    </row>
    <row r="291" spans="1:17">
      <c r="A291" s="7">
        <v>92901544</v>
      </c>
      <c r="B291" s="7" t="s">
        <v>921</v>
      </c>
      <c r="C291" s="61">
        <v>3181</v>
      </c>
      <c r="D291" s="5">
        <v>1590.5</v>
      </c>
      <c r="E291" s="5"/>
      <c r="G291" s="5">
        <v>520</v>
      </c>
      <c r="H291" s="5"/>
      <c r="I291" s="5"/>
      <c r="J291" s="5"/>
      <c r="K291" s="5">
        <v>11.83</v>
      </c>
      <c r="L291" s="8">
        <v>4</v>
      </c>
      <c r="M291" s="5">
        <f t="shared" si="1"/>
        <v>47.32</v>
      </c>
      <c r="N291" s="5"/>
      <c r="O291" s="5"/>
      <c r="P291" s="5"/>
      <c r="Q291" s="5"/>
    </row>
    <row r="292" spans="1:17">
      <c r="A292" s="7">
        <v>96516602</v>
      </c>
      <c r="B292" s="7" t="s">
        <v>921</v>
      </c>
      <c r="C292" s="61">
        <v>2627</v>
      </c>
      <c r="D292" s="5">
        <v>1313.5</v>
      </c>
      <c r="E292" s="5"/>
      <c r="G292" s="5">
        <v>520</v>
      </c>
      <c r="K292" s="5">
        <v>11.83</v>
      </c>
      <c r="L292" s="8">
        <v>4</v>
      </c>
      <c r="M292" s="5">
        <f t="shared" si="1"/>
        <v>47.32</v>
      </c>
    </row>
    <row r="293" spans="1:17">
      <c r="A293" s="7">
        <v>96516662</v>
      </c>
      <c r="B293" s="7" t="s">
        <v>921</v>
      </c>
      <c r="C293" s="61">
        <v>2717</v>
      </c>
      <c r="D293" s="5">
        <v>1358.5</v>
      </c>
      <c r="E293" s="5"/>
      <c r="G293" s="5">
        <v>520</v>
      </c>
      <c r="K293" s="5">
        <v>11.83</v>
      </c>
      <c r="L293" s="8">
        <v>4</v>
      </c>
      <c r="M293" s="5">
        <f t="shared" si="1"/>
        <v>47.32</v>
      </c>
    </row>
    <row r="294" spans="1:17">
      <c r="A294" s="7">
        <v>92901511</v>
      </c>
      <c r="B294" s="7" t="s">
        <v>922</v>
      </c>
      <c r="C294" s="61">
        <v>3251</v>
      </c>
      <c r="D294" s="5">
        <v>1625.5</v>
      </c>
      <c r="E294" s="5"/>
      <c r="G294" s="5">
        <v>520</v>
      </c>
      <c r="H294" s="5"/>
      <c r="I294" s="5"/>
      <c r="J294" s="5"/>
      <c r="K294" s="5">
        <v>11.83</v>
      </c>
      <c r="L294" s="8">
        <v>4</v>
      </c>
      <c r="M294" s="5">
        <f t="shared" si="1"/>
        <v>47.32</v>
      </c>
      <c r="N294" s="5"/>
      <c r="O294" s="5"/>
      <c r="P294" s="5"/>
      <c r="Q294" s="5"/>
    </row>
    <row r="295" spans="1:17">
      <c r="A295" s="7">
        <v>92901545</v>
      </c>
      <c r="B295" s="7" t="s">
        <v>922</v>
      </c>
      <c r="C295" s="61">
        <v>3341</v>
      </c>
      <c r="D295" s="5">
        <v>1670.5</v>
      </c>
      <c r="E295" s="5"/>
      <c r="G295" s="5">
        <v>520</v>
      </c>
      <c r="H295" s="5"/>
      <c r="I295" s="5"/>
      <c r="J295" s="5"/>
      <c r="K295" s="5">
        <v>11.83</v>
      </c>
      <c r="L295" s="8">
        <v>4</v>
      </c>
      <c r="M295" s="5">
        <f t="shared" si="1"/>
        <v>47.32</v>
      </c>
      <c r="N295" s="5"/>
      <c r="O295" s="5"/>
      <c r="P295" s="5"/>
      <c r="Q295" s="5"/>
    </row>
    <row r="296" spans="1:17">
      <c r="A296" s="7">
        <v>96516603</v>
      </c>
      <c r="B296" s="7" t="s">
        <v>922</v>
      </c>
      <c r="C296" s="61">
        <v>2788</v>
      </c>
      <c r="D296" s="5">
        <v>1394</v>
      </c>
      <c r="E296" s="5"/>
      <c r="G296" s="5">
        <v>520</v>
      </c>
      <c r="K296" s="5">
        <v>11.83</v>
      </c>
      <c r="L296" s="8">
        <v>4</v>
      </c>
      <c r="M296" s="5">
        <f t="shared" si="1"/>
        <v>47.32</v>
      </c>
    </row>
    <row r="297" spans="1:17">
      <c r="A297" s="7">
        <v>96516663</v>
      </c>
      <c r="B297" s="7" t="s">
        <v>922</v>
      </c>
      <c r="C297" s="61">
        <v>2878</v>
      </c>
      <c r="D297" s="5">
        <v>1439</v>
      </c>
      <c r="E297" s="5"/>
      <c r="G297" s="5">
        <v>520</v>
      </c>
      <c r="K297" s="5">
        <v>11.83</v>
      </c>
      <c r="L297" s="8">
        <v>4</v>
      </c>
      <c r="M297" s="5">
        <f t="shared" si="1"/>
        <v>47.32</v>
      </c>
    </row>
    <row r="298" spans="1:17">
      <c r="A298" s="7">
        <v>92901485</v>
      </c>
      <c r="B298" s="7" t="s">
        <v>923</v>
      </c>
      <c r="C298" s="61">
        <v>1366</v>
      </c>
      <c r="D298" s="5">
        <v>683</v>
      </c>
      <c r="E298" s="5"/>
      <c r="G298" s="5">
        <v>520</v>
      </c>
      <c r="H298" s="5"/>
      <c r="I298" s="5"/>
      <c r="J298" s="5"/>
      <c r="K298" s="5">
        <v>11.83</v>
      </c>
      <c r="L298" s="8">
        <v>4</v>
      </c>
      <c r="M298" s="5">
        <f t="shared" si="1"/>
        <v>47.32</v>
      </c>
      <c r="N298" s="5"/>
      <c r="O298" s="5"/>
      <c r="P298" s="5"/>
      <c r="Q298" s="5"/>
    </row>
    <row r="299" spans="1:17">
      <c r="A299" s="7">
        <v>92901531</v>
      </c>
      <c r="B299" s="7" t="s">
        <v>923</v>
      </c>
      <c r="C299" s="61">
        <v>1456</v>
      </c>
      <c r="D299" s="5">
        <v>728</v>
      </c>
      <c r="E299" s="5"/>
      <c r="G299" s="5">
        <v>520</v>
      </c>
      <c r="H299" s="5"/>
      <c r="I299" s="5"/>
      <c r="J299" s="5"/>
      <c r="K299" s="5">
        <v>11.83</v>
      </c>
      <c r="L299" s="8">
        <v>4</v>
      </c>
      <c r="M299" s="5">
        <f t="shared" si="1"/>
        <v>47.32</v>
      </c>
      <c r="N299" s="5"/>
      <c r="O299" s="5"/>
      <c r="P299" s="5"/>
      <c r="Q299" s="5"/>
    </row>
    <row r="300" spans="1:17">
      <c r="A300" s="7">
        <v>96516590</v>
      </c>
      <c r="B300" s="7" t="s">
        <v>923</v>
      </c>
      <c r="C300" s="61">
        <v>1283</v>
      </c>
      <c r="D300" s="5">
        <v>641.5</v>
      </c>
      <c r="E300" s="5"/>
      <c r="G300" s="5">
        <v>520</v>
      </c>
      <c r="K300" s="5">
        <v>11.83</v>
      </c>
      <c r="L300" s="8">
        <v>4</v>
      </c>
      <c r="M300" s="5">
        <f t="shared" si="1"/>
        <v>47.32</v>
      </c>
    </row>
    <row r="301" spans="1:17">
      <c r="A301" s="7">
        <v>96516649</v>
      </c>
      <c r="B301" s="7" t="s">
        <v>923</v>
      </c>
      <c r="C301" s="61">
        <v>1373</v>
      </c>
      <c r="D301" s="5">
        <v>686.5</v>
      </c>
      <c r="E301" s="5"/>
      <c r="G301" s="5">
        <v>520</v>
      </c>
      <c r="K301" s="5">
        <v>11.83</v>
      </c>
      <c r="L301" s="8">
        <v>4</v>
      </c>
      <c r="M301" s="5">
        <f t="shared" si="1"/>
        <v>47.32</v>
      </c>
    </row>
    <row r="302" spans="1:17">
      <c r="A302" s="7">
        <v>92901512</v>
      </c>
      <c r="B302" s="7" t="s">
        <v>924</v>
      </c>
      <c r="C302" s="61">
        <v>3364</v>
      </c>
      <c r="D302" s="5">
        <v>1682</v>
      </c>
      <c r="E302" s="5"/>
      <c r="G302" s="5">
        <v>520</v>
      </c>
      <c r="H302" s="5"/>
      <c r="I302" s="5"/>
      <c r="J302" s="5"/>
      <c r="K302" s="5">
        <v>11.83</v>
      </c>
      <c r="L302" s="8">
        <v>4</v>
      </c>
      <c r="M302" s="5">
        <f t="shared" si="1"/>
        <v>47.32</v>
      </c>
      <c r="N302" s="5"/>
      <c r="O302" s="5"/>
      <c r="P302" s="5"/>
      <c r="Q302" s="5"/>
    </row>
    <row r="303" spans="1:17">
      <c r="A303" s="7">
        <v>92901546</v>
      </c>
      <c r="B303" s="7" t="s">
        <v>924</v>
      </c>
      <c r="C303" s="61">
        <v>3454</v>
      </c>
      <c r="D303" s="5">
        <v>1727</v>
      </c>
      <c r="E303" s="5"/>
      <c r="G303" s="5">
        <v>520</v>
      </c>
      <c r="H303" s="5"/>
      <c r="I303" s="5"/>
      <c r="J303" s="5"/>
      <c r="K303" s="5">
        <v>11.83</v>
      </c>
      <c r="L303" s="8">
        <v>4</v>
      </c>
      <c r="M303" s="5">
        <f t="shared" si="1"/>
        <v>47.32</v>
      </c>
      <c r="N303" s="5"/>
      <c r="O303" s="5"/>
      <c r="P303" s="5"/>
      <c r="Q303" s="5"/>
    </row>
    <row r="304" spans="1:17">
      <c r="A304" s="7">
        <v>96516604</v>
      </c>
      <c r="B304" s="7" t="s">
        <v>924</v>
      </c>
      <c r="C304" s="61">
        <v>2860</v>
      </c>
      <c r="D304" s="5">
        <v>1430</v>
      </c>
      <c r="E304" s="5"/>
      <c r="G304" s="5">
        <v>520</v>
      </c>
      <c r="K304" s="5">
        <v>11.83</v>
      </c>
      <c r="L304" s="8">
        <v>4</v>
      </c>
      <c r="M304" s="5">
        <f t="shared" si="1"/>
        <v>47.32</v>
      </c>
    </row>
    <row r="305" spans="1:17">
      <c r="A305" s="7">
        <v>96516664</v>
      </c>
      <c r="B305" s="7" t="s">
        <v>924</v>
      </c>
      <c r="C305" s="61">
        <v>2950</v>
      </c>
      <c r="D305" s="5">
        <v>1475</v>
      </c>
      <c r="E305" s="5"/>
      <c r="G305" s="5">
        <v>520</v>
      </c>
      <c r="K305" s="5">
        <v>11.83</v>
      </c>
      <c r="L305" s="8">
        <v>4</v>
      </c>
      <c r="M305" s="5">
        <f t="shared" si="1"/>
        <v>47.32</v>
      </c>
    </row>
    <row r="306" spans="1:17">
      <c r="A306" s="7">
        <v>92901513</v>
      </c>
      <c r="B306" s="7" t="s">
        <v>925</v>
      </c>
      <c r="C306" s="61">
        <v>3525</v>
      </c>
      <c r="D306" s="5">
        <v>1762.5</v>
      </c>
      <c r="E306" s="5"/>
      <c r="G306" s="5">
        <v>520</v>
      </c>
      <c r="H306" s="5"/>
      <c r="I306" s="5"/>
      <c r="J306" s="5"/>
      <c r="K306" s="5">
        <v>11.83</v>
      </c>
      <c r="L306" s="8">
        <v>4</v>
      </c>
      <c r="M306" s="5">
        <f t="shared" si="1"/>
        <v>47.32</v>
      </c>
      <c r="N306" s="5"/>
      <c r="O306" s="5"/>
      <c r="P306" s="5"/>
      <c r="Q306" s="5"/>
    </row>
    <row r="307" spans="1:17">
      <c r="A307" s="7">
        <v>92901547</v>
      </c>
      <c r="B307" s="7" t="s">
        <v>925</v>
      </c>
      <c r="C307" s="61">
        <v>3615</v>
      </c>
      <c r="D307" s="5">
        <v>1807.5</v>
      </c>
      <c r="E307" s="5"/>
      <c r="G307" s="5">
        <v>520</v>
      </c>
      <c r="H307" s="5"/>
      <c r="I307" s="5"/>
      <c r="J307" s="5"/>
      <c r="K307" s="5">
        <v>11.83</v>
      </c>
      <c r="L307" s="8">
        <v>4</v>
      </c>
      <c r="M307" s="5">
        <f t="shared" si="1"/>
        <v>47.32</v>
      </c>
      <c r="N307" s="5"/>
      <c r="O307" s="5"/>
      <c r="P307" s="5"/>
      <c r="Q307" s="5"/>
    </row>
    <row r="308" spans="1:17">
      <c r="A308" s="7">
        <v>96516605</v>
      </c>
      <c r="B308" s="7" t="s">
        <v>925</v>
      </c>
      <c r="C308" s="61">
        <v>3021</v>
      </c>
      <c r="D308" s="5">
        <v>1510.5</v>
      </c>
      <c r="E308" s="5"/>
      <c r="G308" s="5">
        <v>520</v>
      </c>
      <c r="K308" s="5">
        <v>11.83</v>
      </c>
      <c r="L308" s="8">
        <v>4</v>
      </c>
      <c r="M308" s="5">
        <f t="shared" si="1"/>
        <v>47.32</v>
      </c>
    </row>
    <row r="309" spans="1:17">
      <c r="A309" s="7">
        <v>96516665</v>
      </c>
      <c r="B309" s="7" t="s">
        <v>925</v>
      </c>
      <c r="C309" s="61">
        <v>3111</v>
      </c>
      <c r="D309" s="5">
        <v>1555.5</v>
      </c>
      <c r="E309" s="5"/>
      <c r="G309" s="5">
        <v>520</v>
      </c>
      <c r="K309" s="5">
        <v>11.83</v>
      </c>
      <c r="L309" s="8">
        <v>4</v>
      </c>
      <c r="M309" s="5">
        <f t="shared" si="1"/>
        <v>47.32</v>
      </c>
    </row>
    <row r="310" spans="1:17">
      <c r="A310" s="7">
        <v>92901548</v>
      </c>
      <c r="B310" s="7" t="s">
        <v>926</v>
      </c>
      <c r="C310" s="61">
        <v>3758</v>
      </c>
      <c r="D310" s="5">
        <v>1879</v>
      </c>
      <c r="E310" s="5"/>
      <c r="G310" s="5">
        <v>520</v>
      </c>
      <c r="H310" s="5"/>
      <c r="I310" s="5"/>
      <c r="J310" s="5"/>
      <c r="K310" s="5">
        <v>11.83</v>
      </c>
      <c r="L310" s="8">
        <v>4</v>
      </c>
      <c r="M310" s="5">
        <f t="shared" si="1"/>
        <v>47.32</v>
      </c>
      <c r="N310" s="5"/>
      <c r="O310" s="5"/>
      <c r="P310" s="5"/>
      <c r="Q310" s="5"/>
    </row>
    <row r="311" spans="1:17">
      <c r="A311" s="7">
        <v>96516666</v>
      </c>
      <c r="B311" s="7" t="s">
        <v>926</v>
      </c>
      <c r="C311" s="61">
        <v>3254</v>
      </c>
      <c r="D311" s="5">
        <v>1627</v>
      </c>
      <c r="E311" s="5"/>
      <c r="G311" s="5">
        <v>520</v>
      </c>
      <c r="K311" s="5">
        <v>11.83</v>
      </c>
      <c r="L311" s="8">
        <v>4</v>
      </c>
      <c r="M311" s="5">
        <f t="shared" si="1"/>
        <v>47.32</v>
      </c>
    </row>
    <row r="312" spans="1:17">
      <c r="A312" s="7">
        <v>92901549</v>
      </c>
      <c r="B312" s="7" t="s">
        <v>927</v>
      </c>
      <c r="C312" s="61">
        <v>3913</v>
      </c>
      <c r="D312" s="5">
        <v>1956.5</v>
      </c>
      <c r="E312" s="5"/>
      <c r="G312" s="5">
        <v>520</v>
      </c>
      <c r="H312" s="5"/>
      <c r="I312" s="5"/>
      <c r="J312" s="5"/>
      <c r="K312" s="5">
        <v>11.83</v>
      </c>
      <c r="L312" s="8">
        <v>4</v>
      </c>
      <c r="M312" s="5">
        <f t="shared" si="1"/>
        <v>47.32</v>
      </c>
      <c r="N312" s="5"/>
      <c r="O312" s="5"/>
      <c r="P312" s="5"/>
      <c r="Q312" s="5"/>
    </row>
    <row r="313" spans="1:17">
      <c r="A313" s="7">
        <v>96516667</v>
      </c>
      <c r="B313" s="7" t="s">
        <v>927</v>
      </c>
      <c r="C313" s="61">
        <v>3409</v>
      </c>
      <c r="D313" s="5">
        <v>1704.5</v>
      </c>
      <c r="E313" s="5"/>
      <c r="G313" s="5">
        <v>520</v>
      </c>
      <c r="K313" s="5">
        <v>11.83</v>
      </c>
      <c r="L313" s="8">
        <v>4</v>
      </c>
      <c r="M313" s="5">
        <f t="shared" si="1"/>
        <v>47.32</v>
      </c>
    </row>
    <row r="314" spans="1:17">
      <c r="A314" s="7">
        <v>92901550</v>
      </c>
      <c r="B314" s="7" t="s">
        <v>928</v>
      </c>
      <c r="C314" s="61">
        <v>4075</v>
      </c>
      <c r="D314" s="5">
        <v>2037.5</v>
      </c>
      <c r="E314" s="5"/>
      <c r="G314" s="5">
        <v>520</v>
      </c>
      <c r="H314" s="5"/>
      <c r="I314" s="5"/>
      <c r="J314" s="5"/>
      <c r="K314" s="5">
        <v>11.83</v>
      </c>
      <c r="L314" s="8">
        <v>4</v>
      </c>
      <c r="M314" s="5">
        <f t="shared" si="1"/>
        <v>47.32</v>
      </c>
      <c r="N314" s="5"/>
      <c r="O314" s="5"/>
      <c r="P314" s="5"/>
      <c r="Q314" s="5"/>
    </row>
    <row r="315" spans="1:17">
      <c r="A315" s="7">
        <v>96516668</v>
      </c>
      <c r="B315" s="7" t="s">
        <v>928</v>
      </c>
      <c r="C315" s="61">
        <v>3571</v>
      </c>
      <c r="D315" s="5">
        <v>1785.5</v>
      </c>
      <c r="E315" s="5"/>
      <c r="G315" s="5">
        <v>520</v>
      </c>
      <c r="K315" s="5">
        <v>11.83</v>
      </c>
      <c r="L315" s="8">
        <v>4</v>
      </c>
      <c r="M315" s="5">
        <f t="shared" si="1"/>
        <v>47.32</v>
      </c>
    </row>
    <row r="316" spans="1:17">
      <c r="A316" s="7">
        <v>92901487</v>
      </c>
      <c r="B316" s="7" t="s">
        <v>929</v>
      </c>
      <c r="C316" s="61">
        <v>1438</v>
      </c>
      <c r="D316" s="5">
        <v>719</v>
      </c>
      <c r="E316" s="5"/>
      <c r="G316" s="5">
        <v>520</v>
      </c>
      <c r="H316" s="5"/>
      <c r="I316" s="5"/>
      <c r="J316" s="5"/>
      <c r="K316" s="5">
        <v>11.83</v>
      </c>
      <c r="L316" s="8">
        <v>4</v>
      </c>
      <c r="M316" s="5">
        <f t="shared" si="1"/>
        <v>47.32</v>
      </c>
      <c r="N316" s="5"/>
      <c r="O316" s="5"/>
      <c r="P316" s="5"/>
      <c r="Q316" s="5"/>
    </row>
    <row r="317" spans="1:17">
      <c r="A317" s="7">
        <v>92901532</v>
      </c>
      <c r="B317" s="7" t="s">
        <v>929</v>
      </c>
      <c r="C317" s="61">
        <v>1528</v>
      </c>
      <c r="D317" s="5">
        <v>764</v>
      </c>
      <c r="E317" s="5"/>
      <c r="G317" s="5">
        <v>520</v>
      </c>
      <c r="H317" s="5"/>
      <c r="I317" s="5"/>
      <c r="J317" s="5"/>
      <c r="K317" s="5">
        <v>11.83</v>
      </c>
      <c r="L317" s="8">
        <v>4</v>
      </c>
      <c r="M317" s="5">
        <f t="shared" si="1"/>
        <v>47.32</v>
      </c>
      <c r="N317" s="5"/>
      <c r="O317" s="5"/>
      <c r="P317" s="5"/>
      <c r="Q317" s="5"/>
    </row>
    <row r="318" spans="1:17">
      <c r="A318" s="7">
        <v>96516591</v>
      </c>
      <c r="B318" s="7" t="s">
        <v>929</v>
      </c>
      <c r="C318" s="61">
        <v>1355</v>
      </c>
      <c r="D318" s="5">
        <v>677.5</v>
      </c>
      <c r="E318" s="5"/>
      <c r="G318" s="5">
        <v>520</v>
      </c>
      <c r="K318" s="5">
        <v>11.83</v>
      </c>
      <c r="L318" s="8">
        <v>4</v>
      </c>
      <c r="M318" s="5">
        <f t="shared" si="1"/>
        <v>47.32</v>
      </c>
    </row>
    <row r="319" spans="1:17">
      <c r="A319" s="7">
        <v>96516650</v>
      </c>
      <c r="B319" s="7" t="s">
        <v>929</v>
      </c>
      <c r="C319" s="61">
        <v>1445</v>
      </c>
      <c r="D319" s="5">
        <v>722.5</v>
      </c>
      <c r="E319" s="5"/>
      <c r="G319" s="5">
        <v>520</v>
      </c>
      <c r="K319" s="5">
        <v>11.83</v>
      </c>
      <c r="L319" s="8">
        <v>4</v>
      </c>
      <c r="M319" s="5">
        <f t="shared" si="1"/>
        <v>47.32</v>
      </c>
    </row>
    <row r="320" spans="1:17">
      <c r="A320" s="7">
        <v>96516669</v>
      </c>
      <c r="B320" s="7" t="s">
        <v>930</v>
      </c>
      <c r="C320" s="61">
        <v>3748</v>
      </c>
      <c r="D320" s="5">
        <v>1874</v>
      </c>
      <c r="E320" s="5"/>
      <c r="G320" s="5">
        <v>520</v>
      </c>
      <c r="K320" s="5">
        <v>11.83</v>
      </c>
      <c r="L320" s="8">
        <v>4</v>
      </c>
      <c r="M320" s="5">
        <f t="shared" si="1"/>
        <v>47.32</v>
      </c>
    </row>
    <row r="321" spans="1:17">
      <c r="A321" s="7">
        <v>96516670</v>
      </c>
      <c r="B321" s="7" t="s">
        <v>931</v>
      </c>
      <c r="C321" s="61">
        <v>3904</v>
      </c>
      <c r="D321" s="5">
        <v>1952</v>
      </c>
      <c r="E321" s="5"/>
      <c r="G321" s="5">
        <v>520</v>
      </c>
      <c r="K321" s="5">
        <v>11.83</v>
      </c>
      <c r="L321" s="8">
        <v>4</v>
      </c>
      <c r="M321" s="5">
        <f t="shared" si="1"/>
        <v>47.32</v>
      </c>
    </row>
    <row r="322" spans="1:17">
      <c r="A322" s="7">
        <v>96516671</v>
      </c>
      <c r="B322" s="7" t="s">
        <v>932</v>
      </c>
      <c r="C322" s="61">
        <v>4142</v>
      </c>
      <c r="D322" s="5">
        <v>2071</v>
      </c>
      <c r="E322" s="5"/>
      <c r="G322" s="5">
        <v>520</v>
      </c>
      <c r="K322" s="5">
        <v>11.83</v>
      </c>
      <c r="L322" s="8">
        <v>4</v>
      </c>
      <c r="M322" s="5">
        <f t="shared" si="1"/>
        <v>47.32</v>
      </c>
    </row>
    <row r="323" spans="1:17">
      <c r="A323" s="7">
        <v>92901488</v>
      </c>
      <c r="B323" s="7" t="s">
        <v>933</v>
      </c>
      <c r="C323" s="61">
        <v>1515</v>
      </c>
      <c r="D323" s="5">
        <v>757.5</v>
      </c>
      <c r="E323" s="5"/>
      <c r="G323" s="5">
        <v>520</v>
      </c>
      <c r="H323" s="5"/>
      <c r="I323" s="5"/>
      <c r="J323" s="5"/>
      <c r="K323" s="5">
        <v>11.83</v>
      </c>
      <c r="L323" s="8">
        <v>4</v>
      </c>
      <c r="M323" s="5">
        <f t="shared" si="1"/>
        <v>47.32</v>
      </c>
      <c r="N323" s="5"/>
      <c r="O323" s="5"/>
      <c r="P323" s="5"/>
      <c r="Q323" s="5"/>
    </row>
    <row r="324" spans="1:17">
      <c r="A324" s="7">
        <v>92901533</v>
      </c>
      <c r="B324" s="7" t="s">
        <v>933</v>
      </c>
      <c r="C324" s="61">
        <v>1606</v>
      </c>
      <c r="D324" s="5">
        <v>803</v>
      </c>
      <c r="E324" s="5"/>
      <c r="G324" s="5">
        <v>520</v>
      </c>
      <c r="H324" s="5"/>
      <c r="I324" s="5"/>
      <c r="J324" s="5"/>
      <c r="K324" s="5">
        <v>11.83</v>
      </c>
      <c r="L324" s="8">
        <v>4</v>
      </c>
      <c r="M324" s="5">
        <f t="shared" si="1"/>
        <v>47.32</v>
      </c>
      <c r="N324" s="5"/>
      <c r="O324" s="5"/>
      <c r="P324" s="5"/>
      <c r="Q324" s="5"/>
    </row>
    <row r="325" spans="1:17">
      <c r="A325" s="7">
        <v>96516592</v>
      </c>
      <c r="B325" s="7" t="s">
        <v>933</v>
      </c>
      <c r="C325" s="61">
        <v>1433</v>
      </c>
      <c r="D325" s="5">
        <v>716.5</v>
      </c>
      <c r="E325" s="5"/>
      <c r="G325" s="5">
        <v>520</v>
      </c>
      <c r="K325" s="5">
        <v>11.83</v>
      </c>
      <c r="L325" s="8">
        <v>4</v>
      </c>
      <c r="M325" s="5">
        <f t="shared" si="1"/>
        <v>47.32</v>
      </c>
    </row>
    <row r="326" spans="1:17">
      <c r="A326" s="7">
        <v>96516651</v>
      </c>
      <c r="B326" s="7" t="s">
        <v>933</v>
      </c>
      <c r="C326" s="61">
        <v>1523</v>
      </c>
      <c r="D326" s="5">
        <v>761.5</v>
      </c>
      <c r="E326" s="5"/>
      <c r="G326" s="5">
        <v>520</v>
      </c>
      <c r="K326" s="5">
        <v>11.83</v>
      </c>
      <c r="L326" s="8">
        <v>4</v>
      </c>
      <c r="M326" s="5">
        <f t="shared" si="1"/>
        <v>47.32</v>
      </c>
    </row>
    <row r="327" spans="1:17">
      <c r="A327" s="7">
        <v>92901489</v>
      </c>
      <c r="B327" s="7" t="s">
        <v>934</v>
      </c>
      <c r="C327" s="61">
        <v>1587</v>
      </c>
      <c r="D327" s="5">
        <v>793.5</v>
      </c>
      <c r="E327" s="5"/>
      <c r="G327" s="5">
        <v>520</v>
      </c>
      <c r="H327" s="5"/>
      <c r="I327" s="5"/>
      <c r="J327" s="5"/>
      <c r="K327" s="5">
        <v>11.83</v>
      </c>
      <c r="L327" s="8">
        <v>4</v>
      </c>
      <c r="M327" s="5">
        <f t="shared" si="1"/>
        <v>47.32</v>
      </c>
      <c r="N327" s="5"/>
      <c r="O327" s="5"/>
      <c r="P327" s="5"/>
      <c r="Q327" s="5"/>
    </row>
    <row r="328" spans="1:17">
      <c r="A328" s="7">
        <v>92901534</v>
      </c>
      <c r="B328" s="7" t="s">
        <v>934</v>
      </c>
      <c r="C328" s="61">
        <v>1678</v>
      </c>
      <c r="D328" s="5">
        <v>839</v>
      </c>
      <c r="E328" s="5"/>
      <c r="G328" s="5">
        <v>520</v>
      </c>
      <c r="H328" s="5"/>
      <c r="I328" s="5"/>
      <c r="J328" s="5"/>
      <c r="K328" s="5">
        <v>11.83</v>
      </c>
      <c r="L328" s="8">
        <v>4</v>
      </c>
      <c r="M328" s="5">
        <f t="shared" si="1"/>
        <v>47.32</v>
      </c>
      <c r="N328" s="5"/>
      <c r="O328" s="5"/>
      <c r="P328" s="5"/>
      <c r="Q328" s="5"/>
    </row>
    <row r="329" spans="1:17">
      <c r="A329" s="7">
        <v>96509508</v>
      </c>
      <c r="B329" s="7" t="s">
        <v>934</v>
      </c>
      <c r="C329" s="61">
        <v>1505</v>
      </c>
      <c r="D329" s="5">
        <v>752.5</v>
      </c>
      <c r="E329" s="5"/>
      <c r="G329" s="5">
        <v>520</v>
      </c>
      <c r="K329" s="5">
        <v>11.83</v>
      </c>
      <c r="L329" s="8">
        <v>4</v>
      </c>
      <c r="M329" s="5">
        <f t="shared" si="1"/>
        <v>47.32</v>
      </c>
    </row>
    <row r="330" spans="1:17">
      <c r="A330" s="7">
        <v>96516652</v>
      </c>
      <c r="B330" s="7" t="s">
        <v>934</v>
      </c>
      <c r="C330" s="61">
        <v>1595</v>
      </c>
      <c r="D330" s="5">
        <v>797.5</v>
      </c>
      <c r="E330" s="5"/>
      <c r="G330" s="5">
        <v>520</v>
      </c>
      <c r="K330" s="5">
        <v>11.83</v>
      </c>
      <c r="L330" s="8">
        <v>4</v>
      </c>
      <c r="M330" s="5">
        <f t="shared" si="1"/>
        <v>47.32</v>
      </c>
    </row>
    <row r="331" spans="1:17">
      <c r="A331" s="7">
        <v>92901490</v>
      </c>
      <c r="B331" s="7" t="s">
        <v>935</v>
      </c>
      <c r="C331" s="61">
        <v>1661</v>
      </c>
      <c r="D331" s="5">
        <v>830.5</v>
      </c>
      <c r="E331" s="5"/>
      <c r="G331" s="5">
        <v>520</v>
      </c>
      <c r="H331" s="5"/>
      <c r="I331" s="5"/>
      <c r="J331" s="5"/>
      <c r="K331" s="5">
        <v>11.83</v>
      </c>
      <c r="L331" s="8">
        <v>4</v>
      </c>
      <c r="M331" s="5">
        <f t="shared" si="1"/>
        <v>47.32</v>
      </c>
      <c r="N331" s="5"/>
      <c r="O331" s="5"/>
      <c r="P331" s="5"/>
      <c r="Q331" s="5"/>
    </row>
    <row r="332" spans="1:17">
      <c r="A332" s="7">
        <v>92901535</v>
      </c>
      <c r="B332" s="7" t="s">
        <v>935</v>
      </c>
      <c r="C332" s="61">
        <v>1752</v>
      </c>
      <c r="D332" s="5">
        <v>876</v>
      </c>
      <c r="E332" s="5"/>
      <c r="G332" s="5">
        <v>520</v>
      </c>
      <c r="H332" s="5"/>
      <c r="I332" s="5"/>
      <c r="J332" s="5"/>
      <c r="K332" s="5">
        <v>11.83</v>
      </c>
      <c r="L332" s="8">
        <v>4</v>
      </c>
      <c r="M332" s="5">
        <f t="shared" si="1"/>
        <v>47.32</v>
      </c>
      <c r="N332" s="5"/>
      <c r="O332" s="5"/>
      <c r="P332" s="5"/>
      <c r="Q332" s="5"/>
    </row>
    <row r="333" spans="1:17">
      <c r="A333" s="7">
        <v>96516593</v>
      </c>
      <c r="B333" s="7" t="s">
        <v>935</v>
      </c>
      <c r="C333" s="61">
        <v>1544</v>
      </c>
      <c r="D333" s="5">
        <v>772</v>
      </c>
      <c r="E333" s="5"/>
      <c r="G333" s="5">
        <v>520</v>
      </c>
      <c r="K333" s="5">
        <v>11.83</v>
      </c>
      <c r="L333" s="8">
        <v>4</v>
      </c>
      <c r="M333" s="5">
        <f t="shared" si="1"/>
        <v>47.32</v>
      </c>
    </row>
    <row r="334" spans="1:17">
      <c r="A334" s="7">
        <v>96516653</v>
      </c>
      <c r="B334" s="7" t="s">
        <v>935</v>
      </c>
      <c r="C334" s="61">
        <v>1634</v>
      </c>
      <c r="D334" s="5">
        <v>817</v>
      </c>
      <c r="E334" s="5"/>
      <c r="G334" s="5">
        <v>520</v>
      </c>
      <c r="K334" s="5">
        <v>11.83</v>
      </c>
      <c r="L334" s="8">
        <v>4</v>
      </c>
      <c r="M334" s="5">
        <f t="shared" si="1"/>
        <v>47.32</v>
      </c>
    </row>
    <row r="335" spans="1:17">
      <c r="A335" s="7">
        <v>92901491</v>
      </c>
      <c r="B335" s="7" t="s">
        <v>936</v>
      </c>
      <c r="C335" s="61">
        <v>1738</v>
      </c>
      <c r="D335" s="5">
        <v>869</v>
      </c>
      <c r="E335" s="5"/>
      <c r="G335" s="5">
        <v>520</v>
      </c>
      <c r="H335" s="5"/>
      <c r="I335" s="5"/>
      <c r="J335" s="5"/>
      <c r="K335" s="5">
        <v>11.83</v>
      </c>
      <c r="L335" s="8">
        <v>4</v>
      </c>
      <c r="M335" s="5">
        <f t="shared" si="1"/>
        <v>47.32</v>
      </c>
      <c r="N335" s="5"/>
      <c r="O335" s="5"/>
      <c r="P335" s="5"/>
      <c r="Q335" s="5"/>
    </row>
    <row r="336" spans="1:17">
      <c r="A336" s="7">
        <v>92901536</v>
      </c>
      <c r="B336" s="7" t="s">
        <v>936</v>
      </c>
      <c r="C336" s="61">
        <v>1829</v>
      </c>
      <c r="D336" s="5">
        <v>914.5</v>
      </c>
      <c r="E336" s="5"/>
      <c r="G336" s="5">
        <v>520</v>
      </c>
      <c r="H336" s="5"/>
      <c r="I336" s="5"/>
      <c r="J336" s="5"/>
      <c r="K336" s="5">
        <v>11.83</v>
      </c>
      <c r="L336" s="8">
        <v>4</v>
      </c>
      <c r="M336" s="5">
        <f t="shared" si="1"/>
        <v>47.32</v>
      </c>
      <c r="N336" s="5"/>
      <c r="O336" s="5"/>
      <c r="P336" s="5"/>
      <c r="Q336" s="5"/>
    </row>
    <row r="337" spans="1:17">
      <c r="A337" s="7">
        <v>96516594</v>
      </c>
      <c r="B337" s="7" t="s">
        <v>936</v>
      </c>
      <c r="C337" s="61">
        <v>1620</v>
      </c>
      <c r="D337" s="5">
        <v>810</v>
      </c>
      <c r="E337" s="5"/>
      <c r="G337" s="5">
        <v>520</v>
      </c>
      <c r="K337" s="5">
        <v>11.83</v>
      </c>
      <c r="L337" s="8">
        <v>4</v>
      </c>
      <c r="M337" s="5">
        <f t="shared" si="1"/>
        <v>47.32</v>
      </c>
    </row>
    <row r="338" spans="1:17">
      <c r="A338" s="7">
        <v>96516654</v>
      </c>
      <c r="B338" s="7" t="s">
        <v>936</v>
      </c>
      <c r="C338" s="61">
        <v>1711</v>
      </c>
      <c r="D338" s="5">
        <v>855.5</v>
      </c>
      <c r="E338" s="5"/>
      <c r="G338" s="5">
        <v>520</v>
      </c>
      <c r="K338" s="5">
        <v>11.83</v>
      </c>
      <c r="L338" s="8">
        <v>4</v>
      </c>
      <c r="M338" s="5">
        <f t="shared" si="1"/>
        <v>47.32</v>
      </c>
    </row>
    <row r="339" spans="1:17">
      <c r="A339" s="7">
        <v>92901492</v>
      </c>
      <c r="B339" s="7" t="s">
        <v>937</v>
      </c>
      <c r="C339" s="61">
        <v>1932</v>
      </c>
      <c r="D339" s="5">
        <v>966</v>
      </c>
      <c r="E339" s="5"/>
      <c r="G339" s="5">
        <v>520</v>
      </c>
      <c r="H339" s="5"/>
      <c r="I339" s="5"/>
      <c r="J339" s="5"/>
      <c r="K339" s="5">
        <v>11.83</v>
      </c>
      <c r="L339" s="8">
        <v>4</v>
      </c>
      <c r="M339" s="5">
        <f t="shared" si="1"/>
        <v>47.32</v>
      </c>
      <c r="N339" s="5"/>
      <c r="O339" s="5"/>
      <c r="P339" s="5"/>
      <c r="Q339" s="5"/>
    </row>
    <row r="340" spans="1:17">
      <c r="A340" s="7">
        <v>92901537</v>
      </c>
      <c r="B340" s="7" t="s">
        <v>937</v>
      </c>
      <c r="C340" s="61">
        <v>2022</v>
      </c>
      <c r="D340" s="5">
        <v>1011</v>
      </c>
      <c r="E340" s="5"/>
      <c r="G340" s="5">
        <v>520</v>
      </c>
      <c r="H340" s="5"/>
      <c r="I340" s="5"/>
      <c r="J340" s="5"/>
      <c r="K340" s="5">
        <v>11.83</v>
      </c>
      <c r="L340" s="8">
        <v>4</v>
      </c>
      <c r="M340" s="5">
        <f t="shared" si="1"/>
        <v>47.32</v>
      </c>
      <c r="N340" s="5"/>
      <c r="O340" s="5"/>
      <c r="P340" s="5"/>
      <c r="Q340" s="5"/>
    </row>
    <row r="341" spans="1:17">
      <c r="A341" s="7">
        <v>96516595</v>
      </c>
      <c r="B341" s="7" t="s">
        <v>937</v>
      </c>
      <c r="C341" s="61">
        <v>1721</v>
      </c>
      <c r="D341" s="5">
        <v>860.5</v>
      </c>
      <c r="E341" s="5"/>
      <c r="G341" s="5">
        <v>520</v>
      </c>
      <c r="K341" s="5">
        <v>11.83</v>
      </c>
      <c r="L341" s="8">
        <v>4</v>
      </c>
      <c r="M341" s="5">
        <f t="shared" si="1"/>
        <v>47.32</v>
      </c>
    </row>
    <row r="342" spans="1:17">
      <c r="A342" s="7">
        <v>96516655</v>
      </c>
      <c r="B342" s="7" t="s">
        <v>937</v>
      </c>
      <c r="C342" s="61">
        <v>1811</v>
      </c>
      <c r="D342" s="5">
        <v>905.5</v>
      </c>
      <c r="E342" s="5"/>
      <c r="G342" s="5">
        <v>520</v>
      </c>
      <c r="K342" s="5">
        <v>11.83</v>
      </c>
      <c r="L342" s="8">
        <v>4</v>
      </c>
      <c r="M342" s="5">
        <f t="shared" si="1"/>
        <v>47.32</v>
      </c>
    </row>
    <row r="343" spans="1:17">
      <c r="A343" s="7">
        <v>92901493</v>
      </c>
      <c r="B343" s="7" t="s">
        <v>938</v>
      </c>
      <c r="C343" s="61">
        <v>2010</v>
      </c>
      <c r="D343" s="5">
        <v>1005</v>
      </c>
      <c r="E343" s="5"/>
      <c r="G343" s="5">
        <v>520</v>
      </c>
      <c r="H343" s="5"/>
      <c r="I343" s="5"/>
      <c r="J343" s="5"/>
      <c r="K343" s="5">
        <v>11.83</v>
      </c>
      <c r="L343" s="8">
        <v>4</v>
      </c>
      <c r="M343" s="5">
        <f t="shared" si="1"/>
        <v>47.32</v>
      </c>
      <c r="N343" s="5"/>
      <c r="O343" s="5"/>
      <c r="P343" s="5"/>
      <c r="Q343" s="5"/>
    </row>
    <row r="344" spans="1:17">
      <c r="A344" s="7">
        <v>92901538</v>
      </c>
      <c r="B344" s="7" t="s">
        <v>938</v>
      </c>
      <c r="C344" s="61">
        <v>2100</v>
      </c>
      <c r="D344" s="5">
        <v>1050</v>
      </c>
      <c r="E344" s="5"/>
      <c r="G344" s="5">
        <v>520</v>
      </c>
      <c r="H344" s="5"/>
      <c r="I344" s="5"/>
      <c r="J344" s="5"/>
      <c r="K344" s="5">
        <v>11.83</v>
      </c>
      <c r="L344" s="8">
        <v>4</v>
      </c>
      <c r="M344" s="5">
        <f t="shared" si="1"/>
        <v>47.32</v>
      </c>
      <c r="N344" s="5"/>
      <c r="O344" s="5"/>
      <c r="P344" s="5"/>
      <c r="Q344" s="5"/>
    </row>
    <row r="345" spans="1:17">
      <c r="A345" s="7">
        <v>96516596</v>
      </c>
      <c r="B345" s="7" t="s">
        <v>938</v>
      </c>
      <c r="C345" s="61">
        <v>1799</v>
      </c>
      <c r="D345" s="5">
        <v>899.5</v>
      </c>
      <c r="E345" s="5"/>
      <c r="G345" s="5">
        <v>520</v>
      </c>
      <c r="K345" s="5">
        <v>11.83</v>
      </c>
      <c r="L345" s="8">
        <v>4</v>
      </c>
      <c r="M345" s="5">
        <f t="shared" si="1"/>
        <v>47.32</v>
      </c>
    </row>
    <row r="346" spans="1:17">
      <c r="A346" s="7">
        <v>96516656</v>
      </c>
      <c r="B346" s="7" t="s">
        <v>938</v>
      </c>
      <c r="C346" s="61">
        <v>1889</v>
      </c>
      <c r="D346" s="5">
        <v>944.5</v>
      </c>
      <c r="E346" s="5"/>
      <c r="G346" s="5">
        <v>520</v>
      </c>
      <c r="K346" s="5">
        <v>11.83</v>
      </c>
      <c r="L346" s="8">
        <v>4</v>
      </c>
      <c r="M346" s="5">
        <f t="shared" si="1"/>
        <v>47.32</v>
      </c>
    </row>
    <row r="347" spans="1:17">
      <c r="A347" s="7">
        <v>96121951</v>
      </c>
      <c r="B347" s="7" t="s">
        <v>939</v>
      </c>
      <c r="C347" s="61">
        <v>4032</v>
      </c>
      <c r="D347" s="5">
        <v>2016</v>
      </c>
      <c r="E347" s="5"/>
      <c r="M347" s="5">
        <f t="shared" si="1"/>
        <v>0</v>
      </c>
    </row>
    <row r="348" spans="1:17">
      <c r="A348" s="7">
        <v>96121950</v>
      </c>
      <c r="B348" s="7" t="s">
        <v>940</v>
      </c>
      <c r="C348" s="61">
        <v>3776</v>
      </c>
      <c r="D348" s="5">
        <v>1888</v>
      </c>
      <c r="E348" s="5"/>
      <c r="M348" s="5">
        <f t="shared" si="1"/>
        <v>0</v>
      </c>
    </row>
    <row r="349" spans="1:17">
      <c r="A349" s="7">
        <v>96122025</v>
      </c>
      <c r="B349" s="7" t="s">
        <v>941</v>
      </c>
      <c r="C349" s="61">
        <v>16333</v>
      </c>
      <c r="D349" s="5">
        <v>8166.5</v>
      </c>
      <c r="E349" s="5"/>
      <c r="M349" s="5">
        <f t="shared" si="1"/>
        <v>0</v>
      </c>
    </row>
    <row r="350" spans="1:17">
      <c r="A350" s="7">
        <v>96122024</v>
      </c>
      <c r="B350" s="7" t="s">
        <v>942</v>
      </c>
      <c r="C350" s="61">
        <v>16333</v>
      </c>
      <c r="D350" s="5">
        <v>8166.5</v>
      </c>
      <c r="E350" s="5"/>
      <c r="M350" s="5">
        <f t="shared" si="1"/>
        <v>0</v>
      </c>
    </row>
    <row r="351" spans="1:17">
      <c r="A351" s="7">
        <v>96122027</v>
      </c>
      <c r="B351" s="7" t="s">
        <v>943</v>
      </c>
      <c r="C351" s="61">
        <v>18318</v>
      </c>
      <c r="D351" s="5">
        <v>9159</v>
      </c>
      <c r="E351" s="5"/>
      <c r="M351" s="5">
        <f t="shared" si="1"/>
        <v>0</v>
      </c>
    </row>
    <row r="352" spans="1:17">
      <c r="A352" s="7">
        <v>96122026</v>
      </c>
      <c r="B352" s="7" t="s">
        <v>944</v>
      </c>
      <c r="C352" s="61">
        <v>18318</v>
      </c>
      <c r="D352" s="5">
        <v>9159</v>
      </c>
      <c r="E352" s="5"/>
      <c r="M352" s="5">
        <f t="shared" si="1"/>
        <v>0</v>
      </c>
    </row>
    <row r="353" spans="1:13">
      <c r="A353" s="7">
        <v>96122029</v>
      </c>
      <c r="B353" s="7" t="s">
        <v>945</v>
      </c>
      <c r="C353" s="61">
        <v>18926</v>
      </c>
      <c r="D353" s="5">
        <v>9463</v>
      </c>
      <c r="E353" s="5"/>
      <c r="M353" s="5">
        <f t="shared" si="1"/>
        <v>0</v>
      </c>
    </row>
    <row r="354" spans="1:13">
      <c r="A354" s="7">
        <v>96122028</v>
      </c>
      <c r="B354" s="7" t="s">
        <v>946</v>
      </c>
      <c r="C354" s="61">
        <v>18926</v>
      </c>
      <c r="D354" s="5">
        <v>9463</v>
      </c>
      <c r="E354" s="5"/>
      <c r="M354" s="5">
        <f t="shared" si="1"/>
        <v>0</v>
      </c>
    </row>
    <row r="355" spans="1:13">
      <c r="A355" s="7">
        <v>96122031</v>
      </c>
      <c r="B355" s="7" t="s">
        <v>947</v>
      </c>
      <c r="C355" s="61">
        <v>21321</v>
      </c>
      <c r="D355" s="5">
        <v>10660.5</v>
      </c>
      <c r="E355" s="5"/>
      <c r="M355" s="5">
        <f t="shared" si="1"/>
        <v>0</v>
      </c>
    </row>
    <row r="356" spans="1:13">
      <c r="A356" s="7">
        <v>96122030</v>
      </c>
      <c r="B356" s="7" t="s">
        <v>948</v>
      </c>
      <c r="C356" s="61">
        <v>21321</v>
      </c>
      <c r="D356" s="5">
        <v>10660.5</v>
      </c>
      <c r="E356" s="5"/>
      <c r="M356" s="5">
        <f t="shared" si="1"/>
        <v>0</v>
      </c>
    </row>
    <row r="357" spans="1:13">
      <c r="A357" s="7">
        <v>96122033</v>
      </c>
      <c r="B357" s="7" t="s">
        <v>949</v>
      </c>
      <c r="C357" s="61">
        <v>21904</v>
      </c>
      <c r="D357" s="5">
        <v>10952</v>
      </c>
      <c r="E357" s="5"/>
      <c r="M357" s="5">
        <f t="shared" si="1"/>
        <v>0</v>
      </c>
    </row>
    <row r="358" spans="1:13">
      <c r="A358" s="7">
        <v>96122032</v>
      </c>
      <c r="B358" s="7" t="s">
        <v>950</v>
      </c>
      <c r="C358" s="61">
        <v>21904</v>
      </c>
      <c r="D358" s="5">
        <v>10952</v>
      </c>
      <c r="E358" s="5"/>
      <c r="M358" s="5">
        <f t="shared" si="1"/>
        <v>0</v>
      </c>
    </row>
    <row r="359" spans="1:13">
      <c r="A359" s="7">
        <v>96122009</v>
      </c>
      <c r="B359" s="7" t="s">
        <v>951</v>
      </c>
      <c r="C359" s="61">
        <v>5459</v>
      </c>
      <c r="D359" s="5">
        <v>2729.5</v>
      </c>
      <c r="E359" s="5"/>
      <c r="M359" s="5">
        <f t="shared" si="1"/>
        <v>0</v>
      </c>
    </row>
    <row r="360" spans="1:13">
      <c r="A360" s="7">
        <v>96121952</v>
      </c>
      <c r="B360" s="7" t="s">
        <v>952</v>
      </c>
      <c r="C360" s="61">
        <v>4659</v>
      </c>
      <c r="D360" s="5">
        <v>2329.5</v>
      </c>
      <c r="E360" s="5"/>
      <c r="M360" s="5">
        <f t="shared" si="1"/>
        <v>0</v>
      </c>
    </row>
    <row r="361" spans="1:13">
      <c r="A361" s="7">
        <v>96122011</v>
      </c>
      <c r="B361" s="7" t="s">
        <v>953</v>
      </c>
      <c r="C361" s="61">
        <v>6866</v>
      </c>
      <c r="D361" s="5">
        <v>3433</v>
      </c>
      <c r="E361" s="5"/>
      <c r="M361" s="5">
        <f t="shared" si="1"/>
        <v>0</v>
      </c>
    </row>
    <row r="362" spans="1:13">
      <c r="A362" s="7">
        <v>96122010</v>
      </c>
      <c r="B362" s="7" t="s">
        <v>954</v>
      </c>
      <c r="C362" s="61">
        <v>6866</v>
      </c>
      <c r="D362" s="5">
        <v>3433</v>
      </c>
      <c r="E362" s="5"/>
      <c r="M362" s="5">
        <f t="shared" si="1"/>
        <v>0</v>
      </c>
    </row>
    <row r="363" spans="1:13">
      <c r="A363" s="7">
        <v>96122013</v>
      </c>
      <c r="B363" s="7" t="s">
        <v>955</v>
      </c>
      <c r="C363" s="61">
        <v>8513</v>
      </c>
      <c r="D363" s="5">
        <v>4256.5</v>
      </c>
      <c r="E363" s="5"/>
      <c r="M363" s="5">
        <f t="shared" si="1"/>
        <v>0</v>
      </c>
    </row>
    <row r="364" spans="1:13">
      <c r="A364" s="7">
        <v>96122012</v>
      </c>
      <c r="B364" s="7" t="s">
        <v>956</v>
      </c>
      <c r="C364" s="61">
        <v>8513</v>
      </c>
      <c r="D364" s="5">
        <v>4256.5</v>
      </c>
      <c r="E364" s="5"/>
      <c r="M364" s="5">
        <f t="shared" si="1"/>
        <v>0</v>
      </c>
    </row>
    <row r="365" spans="1:13">
      <c r="A365" s="7">
        <v>96122015</v>
      </c>
      <c r="B365" s="7" t="s">
        <v>957</v>
      </c>
      <c r="C365" s="61">
        <v>10705</v>
      </c>
      <c r="D365" s="5">
        <v>5352.5</v>
      </c>
      <c r="E365" s="5"/>
      <c r="M365" s="5">
        <f t="shared" si="1"/>
        <v>0</v>
      </c>
    </row>
    <row r="366" spans="1:13">
      <c r="A366" s="7">
        <v>96122014</v>
      </c>
      <c r="B366" s="7" t="s">
        <v>958</v>
      </c>
      <c r="C366" s="61">
        <v>10705</v>
      </c>
      <c r="D366" s="5">
        <v>5352.5</v>
      </c>
      <c r="E366" s="5"/>
      <c r="M366" s="5">
        <f t="shared" si="1"/>
        <v>0</v>
      </c>
    </row>
    <row r="367" spans="1:13">
      <c r="A367" s="7">
        <v>96122017</v>
      </c>
      <c r="B367" s="7" t="s">
        <v>959</v>
      </c>
      <c r="C367" s="61">
        <v>11299</v>
      </c>
      <c r="D367" s="5">
        <v>5649.5</v>
      </c>
      <c r="E367" s="5"/>
      <c r="M367" s="5">
        <f t="shared" si="1"/>
        <v>0</v>
      </c>
    </row>
    <row r="368" spans="1:13">
      <c r="A368" s="7">
        <v>96122016</v>
      </c>
      <c r="B368" s="7" t="s">
        <v>960</v>
      </c>
      <c r="C368" s="61">
        <v>11299</v>
      </c>
      <c r="D368" s="5">
        <v>5649.5</v>
      </c>
      <c r="E368" s="5"/>
      <c r="M368" s="5">
        <f t="shared" si="1"/>
        <v>0</v>
      </c>
    </row>
    <row r="369" spans="1:13">
      <c r="A369" s="7">
        <v>96122019</v>
      </c>
      <c r="B369" s="7" t="s">
        <v>961</v>
      </c>
      <c r="C369" s="61">
        <v>13294</v>
      </c>
      <c r="D369" s="5">
        <v>6647</v>
      </c>
      <c r="E369" s="5"/>
      <c r="M369" s="5">
        <f t="shared" si="1"/>
        <v>0</v>
      </c>
    </row>
    <row r="370" spans="1:13">
      <c r="A370" s="7">
        <v>96122018</v>
      </c>
      <c r="B370" s="7" t="s">
        <v>962</v>
      </c>
      <c r="C370" s="61">
        <v>13294</v>
      </c>
      <c r="D370" s="5">
        <v>6647</v>
      </c>
      <c r="E370" s="5"/>
      <c r="M370" s="5">
        <f t="shared" si="1"/>
        <v>0</v>
      </c>
    </row>
    <row r="371" spans="1:13">
      <c r="A371" s="7">
        <v>96122021</v>
      </c>
      <c r="B371" s="7" t="s">
        <v>963</v>
      </c>
      <c r="C371" s="61">
        <v>13878</v>
      </c>
      <c r="D371" s="5">
        <v>6939</v>
      </c>
      <c r="E371" s="5"/>
      <c r="M371" s="5">
        <f t="shared" si="1"/>
        <v>0</v>
      </c>
    </row>
    <row r="372" spans="1:13">
      <c r="A372" s="7">
        <v>96122020</v>
      </c>
      <c r="B372" s="7" t="s">
        <v>964</v>
      </c>
      <c r="C372" s="61">
        <v>13878</v>
      </c>
      <c r="D372" s="5">
        <v>6939</v>
      </c>
      <c r="E372" s="5"/>
      <c r="M372" s="5">
        <f t="shared" si="1"/>
        <v>0</v>
      </c>
    </row>
    <row r="373" spans="1:13">
      <c r="A373" s="7">
        <v>96122023</v>
      </c>
      <c r="B373" s="7" t="s">
        <v>965</v>
      </c>
      <c r="C373" s="61">
        <v>15757</v>
      </c>
      <c r="D373" s="5">
        <v>7878.5</v>
      </c>
      <c r="E373" s="5"/>
      <c r="M373" s="5">
        <f t="shared" si="1"/>
        <v>0</v>
      </c>
    </row>
    <row r="374" spans="1:13">
      <c r="A374" s="7">
        <v>96122022</v>
      </c>
      <c r="B374" s="7" t="s">
        <v>966</v>
      </c>
      <c r="C374" s="61">
        <v>15757</v>
      </c>
      <c r="D374" s="5">
        <v>7878.5</v>
      </c>
      <c r="E374" s="5"/>
      <c r="M374" s="5">
        <f t="shared" si="1"/>
        <v>0</v>
      </c>
    </row>
    <row r="375" spans="1:13">
      <c r="A375" s="7">
        <v>96122797</v>
      </c>
      <c r="B375" s="7" t="s">
        <v>967</v>
      </c>
      <c r="C375" s="61">
        <v>5306</v>
      </c>
      <c r="D375" s="5">
        <v>2653</v>
      </c>
      <c r="E375" s="5"/>
      <c r="M375" s="5">
        <f t="shared" si="1"/>
        <v>0</v>
      </c>
    </row>
    <row r="376" spans="1:13">
      <c r="A376" s="7">
        <v>96122746</v>
      </c>
      <c r="B376" s="7" t="s">
        <v>968</v>
      </c>
      <c r="C376" s="61">
        <v>4422</v>
      </c>
      <c r="D376" s="5">
        <v>2211</v>
      </c>
      <c r="E376" s="5"/>
      <c r="M376" s="5">
        <f t="shared" si="1"/>
        <v>0</v>
      </c>
    </row>
    <row r="377" spans="1:13">
      <c r="A377" s="7">
        <v>96122815</v>
      </c>
      <c r="B377" s="7" t="s">
        <v>969</v>
      </c>
      <c r="C377" s="61">
        <v>23322</v>
      </c>
      <c r="D377" s="5">
        <v>11661</v>
      </c>
      <c r="E377" s="5"/>
      <c r="M377" s="5">
        <f t="shared" si="1"/>
        <v>0</v>
      </c>
    </row>
    <row r="378" spans="1:13">
      <c r="A378" s="7">
        <v>96122814</v>
      </c>
      <c r="B378" s="7" t="s">
        <v>970</v>
      </c>
      <c r="C378" s="61">
        <v>23322</v>
      </c>
      <c r="D378" s="5">
        <v>11661</v>
      </c>
      <c r="E378" s="5"/>
      <c r="M378" s="5">
        <f t="shared" si="1"/>
        <v>0</v>
      </c>
    </row>
    <row r="379" spans="1:13">
      <c r="A379" s="7">
        <v>96122817</v>
      </c>
      <c r="B379" s="7" t="s">
        <v>971</v>
      </c>
      <c r="C379" s="61">
        <v>30311</v>
      </c>
      <c r="D379" s="5">
        <v>15155.5</v>
      </c>
      <c r="E379" s="5"/>
      <c r="M379" s="5">
        <f t="shared" si="1"/>
        <v>0</v>
      </c>
    </row>
    <row r="380" spans="1:13">
      <c r="A380" s="7">
        <v>96122816</v>
      </c>
      <c r="B380" s="7" t="s">
        <v>972</v>
      </c>
      <c r="C380" s="61">
        <v>30311</v>
      </c>
      <c r="D380" s="5">
        <v>15155.5</v>
      </c>
      <c r="E380" s="5"/>
      <c r="M380" s="5">
        <f t="shared" si="1"/>
        <v>0</v>
      </c>
    </row>
    <row r="381" spans="1:13">
      <c r="A381" s="7">
        <v>96122819</v>
      </c>
      <c r="B381" s="7" t="s">
        <v>973</v>
      </c>
      <c r="C381" s="61">
        <v>31006</v>
      </c>
      <c r="D381" s="5">
        <v>15503</v>
      </c>
      <c r="E381" s="5"/>
      <c r="M381" s="5">
        <f t="shared" si="1"/>
        <v>0</v>
      </c>
    </row>
    <row r="382" spans="1:13">
      <c r="A382" s="7">
        <v>96122818</v>
      </c>
      <c r="B382" s="7" t="s">
        <v>974</v>
      </c>
      <c r="C382" s="61">
        <v>31006</v>
      </c>
      <c r="D382" s="5">
        <v>15503</v>
      </c>
      <c r="E382" s="5"/>
      <c r="M382" s="5">
        <f t="shared" si="1"/>
        <v>0</v>
      </c>
    </row>
    <row r="383" spans="1:13">
      <c r="A383" s="7">
        <v>96122820</v>
      </c>
      <c r="B383" s="7" t="s">
        <v>975</v>
      </c>
      <c r="C383" s="61">
        <v>31702</v>
      </c>
      <c r="D383" s="5">
        <v>15851</v>
      </c>
      <c r="E383" s="5"/>
      <c r="M383" s="5">
        <f t="shared" si="1"/>
        <v>0</v>
      </c>
    </row>
    <row r="384" spans="1:13">
      <c r="A384" s="7">
        <v>96122799</v>
      </c>
      <c r="B384" s="7" t="s">
        <v>976</v>
      </c>
      <c r="C384" s="61">
        <v>8477</v>
      </c>
      <c r="D384" s="5">
        <v>4238.5</v>
      </c>
      <c r="E384" s="5"/>
      <c r="M384" s="5">
        <f t="shared" si="1"/>
        <v>0</v>
      </c>
    </row>
    <row r="385" spans="1:17">
      <c r="A385" s="7">
        <v>96122798</v>
      </c>
      <c r="B385" s="7" t="s">
        <v>977</v>
      </c>
      <c r="C385" s="61">
        <v>6709</v>
      </c>
      <c r="D385" s="5">
        <v>3354.5</v>
      </c>
      <c r="E385" s="5"/>
      <c r="M385" s="5">
        <f t="shared" si="1"/>
        <v>0</v>
      </c>
    </row>
    <row r="386" spans="1:17">
      <c r="A386" s="7">
        <v>96122801</v>
      </c>
      <c r="B386" s="7" t="s">
        <v>978</v>
      </c>
      <c r="C386" s="61">
        <v>10722</v>
      </c>
      <c r="D386" s="5">
        <v>5361</v>
      </c>
      <c r="E386" s="5"/>
      <c r="M386" s="5">
        <f t="shared" si="1"/>
        <v>0</v>
      </c>
    </row>
    <row r="387" spans="1:17">
      <c r="A387" s="7">
        <v>96122800</v>
      </c>
      <c r="B387" s="7" t="s">
        <v>979</v>
      </c>
      <c r="C387" s="61">
        <v>10722</v>
      </c>
      <c r="D387" s="5">
        <v>5361</v>
      </c>
      <c r="E387" s="5"/>
      <c r="M387" s="5">
        <f t="shared" si="1"/>
        <v>0</v>
      </c>
    </row>
    <row r="388" spans="1:17">
      <c r="A388" s="7">
        <v>96122803</v>
      </c>
      <c r="B388" s="7" t="s">
        <v>980</v>
      </c>
      <c r="C388" s="61">
        <v>13315</v>
      </c>
      <c r="D388" s="5">
        <v>6657.5</v>
      </c>
      <c r="E388" s="5"/>
      <c r="M388" s="5">
        <f t="shared" si="1"/>
        <v>0</v>
      </c>
    </row>
    <row r="389" spans="1:17">
      <c r="A389" s="7">
        <v>96122802</v>
      </c>
      <c r="B389" s="7" t="s">
        <v>981</v>
      </c>
      <c r="C389" s="61">
        <v>13315</v>
      </c>
      <c r="D389" s="5">
        <v>6657.5</v>
      </c>
      <c r="E389" s="5"/>
      <c r="M389" s="5">
        <f t="shared" si="1"/>
        <v>0</v>
      </c>
    </row>
    <row r="390" spans="1:17">
      <c r="A390" s="7">
        <v>96122805</v>
      </c>
      <c r="B390" s="7" t="s">
        <v>982</v>
      </c>
      <c r="C390" s="61">
        <v>15840</v>
      </c>
      <c r="D390" s="5">
        <v>7920</v>
      </c>
      <c r="E390" s="5"/>
      <c r="M390" s="5">
        <f t="shared" si="1"/>
        <v>0</v>
      </c>
    </row>
    <row r="391" spans="1:17">
      <c r="A391" s="7">
        <v>96122804</v>
      </c>
      <c r="B391" s="7" t="s">
        <v>983</v>
      </c>
      <c r="C391" s="61">
        <v>15840</v>
      </c>
      <c r="D391" s="5">
        <v>7920</v>
      </c>
      <c r="E391" s="5"/>
      <c r="M391" s="5">
        <f t="shared" si="1"/>
        <v>0</v>
      </c>
    </row>
    <row r="392" spans="1:17">
      <c r="A392" s="7">
        <v>96122807</v>
      </c>
      <c r="B392" s="7" t="s">
        <v>984</v>
      </c>
      <c r="C392" s="61">
        <v>17974</v>
      </c>
      <c r="D392" s="5">
        <v>8987</v>
      </c>
      <c r="E392" s="5"/>
      <c r="M392" s="5">
        <f t="shared" si="1"/>
        <v>0</v>
      </c>
    </row>
    <row r="393" spans="1:17">
      <c r="A393" s="7">
        <v>96122806</v>
      </c>
      <c r="B393" s="7" t="s">
        <v>985</v>
      </c>
      <c r="C393" s="61">
        <v>17974</v>
      </c>
      <c r="D393" s="5">
        <v>8987</v>
      </c>
      <c r="E393" s="5"/>
      <c r="M393" s="5">
        <f t="shared" si="1"/>
        <v>0</v>
      </c>
    </row>
    <row r="394" spans="1:17">
      <c r="A394" s="7">
        <v>96122809</v>
      </c>
      <c r="B394" s="7" t="s">
        <v>986</v>
      </c>
      <c r="C394" s="61">
        <v>19596</v>
      </c>
      <c r="D394" s="5">
        <v>9798</v>
      </c>
      <c r="E394" s="5"/>
      <c r="M394" s="5">
        <f t="shared" si="1"/>
        <v>0</v>
      </c>
    </row>
    <row r="395" spans="1:17">
      <c r="A395" s="7">
        <v>96122808</v>
      </c>
      <c r="B395" s="7" t="s">
        <v>987</v>
      </c>
      <c r="C395" s="61">
        <v>19596</v>
      </c>
      <c r="D395" s="5">
        <v>9798</v>
      </c>
      <c r="E395" s="5"/>
      <c r="M395" s="5">
        <f t="shared" si="1"/>
        <v>0</v>
      </c>
    </row>
    <row r="396" spans="1:17">
      <c r="A396" s="7">
        <v>96122811</v>
      </c>
      <c r="B396" s="7" t="s">
        <v>988</v>
      </c>
      <c r="C396" s="61">
        <v>20236</v>
      </c>
      <c r="D396" s="5">
        <v>10118</v>
      </c>
      <c r="E396" s="5"/>
      <c r="M396" s="5">
        <f t="shared" si="1"/>
        <v>0</v>
      </c>
    </row>
    <row r="397" spans="1:17">
      <c r="A397" s="7">
        <v>96122810</v>
      </c>
      <c r="B397" s="7" t="s">
        <v>989</v>
      </c>
      <c r="C397" s="61">
        <v>20236</v>
      </c>
      <c r="D397" s="5">
        <v>10118</v>
      </c>
      <c r="E397" s="5"/>
      <c r="M397" s="5">
        <f t="shared" si="1"/>
        <v>0</v>
      </c>
    </row>
    <row r="398" spans="1:17">
      <c r="A398" s="7">
        <v>96122813</v>
      </c>
      <c r="B398" s="7" t="s">
        <v>990</v>
      </c>
      <c r="C398" s="61">
        <v>22731</v>
      </c>
      <c r="D398" s="5">
        <v>11365.5</v>
      </c>
      <c r="E398" s="5"/>
      <c r="M398" s="5">
        <f t="shared" si="1"/>
        <v>0</v>
      </c>
    </row>
    <row r="399" spans="1:17">
      <c r="A399" s="7">
        <v>96122812</v>
      </c>
      <c r="B399" s="7" t="s">
        <v>991</v>
      </c>
      <c r="C399" s="61">
        <v>20876</v>
      </c>
      <c r="D399" s="5">
        <v>10438</v>
      </c>
      <c r="E399" s="5"/>
      <c r="M399" s="5">
        <f t="shared" si="1"/>
        <v>0</v>
      </c>
    </row>
    <row r="400" spans="1:17">
      <c r="A400" s="7">
        <v>92902367</v>
      </c>
      <c r="B400" s="7" t="s">
        <v>992</v>
      </c>
      <c r="C400" s="61">
        <v>2820</v>
      </c>
      <c r="D400" s="5">
        <v>1410</v>
      </c>
      <c r="E400" s="5"/>
      <c r="G400" s="5">
        <v>520</v>
      </c>
      <c r="H400" s="5"/>
      <c r="I400" s="5"/>
      <c r="J400" s="5"/>
      <c r="K400" s="5">
        <v>11.83</v>
      </c>
      <c r="L400" s="8">
        <v>4</v>
      </c>
      <c r="M400" s="5">
        <f t="shared" si="1"/>
        <v>47.32</v>
      </c>
      <c r="N400" s="5"/>
      <c r="O400" s="5"/>
      <c r="P400" s="5"/>
      <c r="Q400" s="5"/>
    </row>
    <row r="401" spans="1:17">
      <c r="A401" s="7">
        <v>92902400</v>
      </c>
      <c r="B401" s="7" t="s">
        <v>992</v>
      </c>
      <c r="C401" s="61">
        <v>2909</v>
      </c>
      <c r="D401" s="5">
        <v>1454.5</v>
      </c>
      <c r="E401" s="5"/>
      <c r="G401" s="5">
        <v>520</v>
      </c>
      <c r="H401" s="5"/>
      <c r="I401" s="5"/>
      <c r="J401" s="5"/>
      <c r="K401" s="5">
        <v>11.83</v>
      </c>
      <c r="L401" s="8">
        <v>4</v>
      </c>
      <c r="M401" s="5">
        <f t="shared" si="1"/>
        <v>47.32</v>
      </c>
    </row>
    <row r="402" spans="1:17">
      <c r="A402" s="7">
        <v>96516993</v>
      </c>
      <c r="B402" s="7" t="s">
        <v>992</v>
      </c>
      <c r="C402" s="61">
        <v>2352</v>
      </c>
      <c r="D402" s="5">
        <v>1176</v>
      </c>
      <c r="E402" s="5"/>
      <c r="G402" s="5">
        <v>520</v>
      </c>
      <c r="K402" s="5">
        <v>11.83</v>
      </c>
      <c r="L402" s="8">
        <v>4</v>
      </c>
      <c r="M402" s="5">
        <f t="shared" si="1"/>
        <v>47.32</v>
      </c>
    </row>
    <row r="403" spans="1:17">
      <c r="A403" s="7">
        <v>96517044</v>
      </c>
      <c r="B403" s="7" t="s">
        <v>992</v>
      </c>
      <c r="C403" s="61">
        <v>2440</v>
      </c>
      <c r="D403" s="5">
        <v>1220</v>
      </c>
      <c r="E403" s="5"/>
      <c r="G403" s="5">
        <v>520</v>
      </c>
      <c r="K403" s="5">
        <v>11.83</v>
      </c>
      <c r="L403" s="8">
        <v>4</v>
      </c>
      <c r="M403" s="5">
        <f t="shared" si="1"/>
        <v>47.32</v>
      </c>
    </row>
    <row r="404" spans="1:17">
      <c r="A404" s="7">
        <v>92902368</v>
      </c>
      <c r="B404" s="7" t="s">
        <v>993</v>
      </c>
      <c r="C404" s="61">
        <v>3072</v>
      </c>
      <c r="D404" s="5">
        <v>1536</v>
      </c>
      <c r="E404" s="5"/>
      <c r="G404" s="5">
        <v>520</v>
      </c>
      <c r="H404" s="5"/>
      <c r="I404" s="5"/>
      <c r="J404" s="5"/>
      <c r="K404" s="5">
        <v>11.83</v>
      </c>
      <c r="L404" s="8">
        <v>4</v>
      </c>
      <c r="M404" s="5">
        <f t="shared" si="1"/>
        <v>47.32</v>
      </c>
      <c r="N404" s="5"/>
      <c r="O404" s="5"/>
      <c r="P404" s="5"/>
      <c r="Q404" s="5"/>
    </row>
    <row r="405" spans="1:17">
      <c r="A405" s="7">
        <v>92902401</v>
      </c>
      <c r="B405" s="7" t="s">
        <v>993</v>
      </c>
      <c r="C405" s="61">
        <v>3161</v>
      </c>
      <c r="D405" s="5">
        <v>1580.5</v>
      </c>
      <c r="E405" s="5"/>
      <c r="G405" s="5">
        <v>520</v>
      </c>
      <c r="H405" s="5"/>
      <c r="I405" s="5"/>
      <c r="J405" s="5"/>
      <c r="K405" s="5">
        <v>11.83</v>
      </c>
      <c r="L405" s="8">
        <v>4</v>
      </c>
      <c r="M405" s="5">
        <f t="shared" si="1"/>
        <v>47.32</v>
      </c>
    </row>
    <row r="406" spans="1:17">
      <c r="A406" s="7">
        <v>96516994</v>
      </c>
      <c r="B406" s="7" t="s">
        <v>993</v>
      </c>
      <c r="C406" s="61">
        <v>2564</v>
      </c>
      <c r="D406" s="5">
        <v>1282</v>
      </c>
      <c r="E406" s="5"/>
      <c r="G406" s="5">
        <v>520</v>
      </c>
      <c r="K406" s="5">
        <v>11.83</v>
      </c>
      <c r="L406" s="8">
        <v>4</v>
      </c>
      <c r="M406" s="5">
        <f t="shared" si="1"/>
        <v>47.32</v>
      </c>
    </row>
    <row r="407" spans="1:17">
      <c r="A407" s="7">
        <v>96517045</v>
      </c>
      <c r="B407" s="7" t="s">
        <v>993</v>
      </c>
      <c r="C407" s="61">
        <v>2652</v>
      </c>
      <c r="D407" s="5">
        <v>1326</v>
      </c>
      <c r="E407" s="5"/>
      <c r="G407" s="5">
        <v>520</v>
      </c>
      <c r="K407" s="5">
        <v>11.83</v>
      </c>
      <c r="L407" s="8">
        <v>4</v>
      </c>
      <c r="M407" s="5">
        <f t="shared" si="1"/>
        <v>47.32</v>
      </c>
    </row>
    <row r="408" spans="1:17">
      <c r="A408" s="7">
        <v>92902369</v>
      </c>
      <c r="B408" s="7" t="s">
        <v>994</v>
      </c>
      <c r="C408" s="61">
        <v>3150</v>
      </c>
      <c r="D408" s="5">
        <v>1575</v>
      </c>
      <c r="E408" s="5"/>
      <c r="G408" s="5">
        <v>520</v>
      </c>
      <c r="H408" s="5"/>
      <c r="I408" s="5"/>
      <c r="J408" s="5"/>
      <c r="K408" s="5">
        <v>11.83</v>
      </c>
      <c r="L408" s="8">
        <v>4</v>
      </c>
      <c r="M408" s="5">
        <f t="shared" si="1"/>
        <v>47.32</v>
      </c>
      <c r="N408" s="5"/>
      <c r="O408" s="5"/>
      <c r="P408" s="5"/>
      <c r="Q408" s="5"/>
    </row>
    <row r="409" spans="1:17">
      <c r="A409" s="7">
        <v>92902402</v>
      </c>
      <c r="B409" s="7" t="s">
        <v>994</v>
      </c>
      <c r="C409" s="61">
        <v>3239</v>
      </c>
      <c r="D409" s="5">
        <v>1619.5</v>
      </c>
      <c r="E409" s="5"/>
      <c r="G409" s="5">
        <v>520</v>
      </c>
      <c r="H409" s="5"/>
      <c r="I409" s="5"/>
      <c r="J409" s="5"/>
      <c r="K409" s="5">
        <v>11.83</v>
      </c>
      <c r="L409" s="8">
        <v>4</v>
      </c>
      <c r="M409" s="5">
        <f t="shared" si="1"/>
        <v>47.32</v>
      </c>
    </row>
    <row r="410" spans="1:17">
      <c r="A410" s="7">
        <v>96516995</v>
      </c>
      <c r="B410" s="7" t="s">
        <v>994</v>
      </c>
      <c r="C410" s="61">
        <v>2641</v>
      </c>
      <c r="D410" s="5">
        <v>1320.5</v>
      </c>
      <c r="E410" s="5"/>
      <c r="G410" s="5">
        <v>520</v>
      </c>
      <c r="K410" s="5">
        <v>11.83</v>
      </c>
      <c r="L410" s="8">
        <v>4</v>
      </c>
      <c r="M410" s="5">
        <f t="shared" si="1"/>
        <v>47.32</v>
      </c>
    </row>
    <row r="411" spans="1:17">
      <c r="A411" s="7">
        <v>96517046</v>
      </c>
      <c r="B411" s="7" t="s">
        <v>994</v>
      </c>
      <c r="C411" s="61">
        <v>2729</v>
      </c>
      <c r="D411" s="5">
        <v>1364.5</v>
      </c>
      <c r="E411" s="5"/>
      <c r="G411" s="5">
        <v>520</v>
      </c>
      <c r="K411" s="5">
        <v>11.83</v>
      </c>
      <c r="L411" s="8">
        <v>4</v>
      </c>
      <c r="M411" s="5">
        <f t="shared" si="1"/>
        <v>47.32</v>
      </c>
    </row>
    <row r="412" spans="1:17">
      <c r="A412" s="7">
        <v>92902370</v>
      </c>
      <c r="B412" s="7" t="s">
        <v>995</v>
      </c>
      <c r="C412" s="61">
        <v>3226</v>
      </c>
      <c r="D412" s="5">
        <v>1613</v>
      </c>
      <c r="E412" s="5"/>
      <c r="G412" s="5">
        <v>520</v>
      </c>
      <c r="H412" s="5"/>
      <c r="I412" s="5"/>
      <c r="J412" s="5"/>
      <c r="K412" s="5">
        <v>11.83</v>
      </c>
      <c r="L412" s="8">
        <v>4</v>
      </c>
      <c r="M412" s="5">
        <f t="shared" si="1"/>
        <v>47.32</v>
      </c>
      <c r="N412" s="5"/>
      <c r="O412" s="5"/>
      <c r="P412" s="5"/>
      <c r="Q412" s="5"/>
    </row>
    <row r="413" spans="1:17">
      <c r="A413" s="7">
        <v>92902403</v>
      </c>
      <c r="B413" s="7" t="s">
        <v>995</v>
      </c>
      <c r="C413" s="61">
        <v>3315</v>
      </c>
      <c r="D413" s="5">
        <v>1657.5</v>
      </c>
      <c r="E413" s="5"/>
      <c r="G413" s="5">
        <v>520</v>
      </c>
      <c r="H413" s="5"/>
      <c r="I413" s="5"/>
      <c r="J413" s="5"/>
      <c r="K413" s="5">
        <v>11.83</v>
      </c>
      <c r="L413" s="8">
        <v>4</v>
      </c>
      <c r="M413" s="5">
        <f t="shared" si="1"/>
        <v>47.32</v>
      </c>
    </row>
    <row r="414" spans="1:17">
      <c r="A414" s="7">
        <v>96516996</v>
      </c>
      <c r="B414" s="7" t="s">
        <v>995</v>
      </c>
      <c r="C414" s="61">
        <v>2716</v>
      </c>
      <c r="D414" s="5">
        <v>1358</v>
      </c>
      <c r="E414" s="5"/>
      <c r="G414" s="5">
        <v>520</v>
      </c>
      <c r="K414" s="5">
        <v>11.83</v>
      </c>
      <c r="L414" s="8">
        <v>4</v>
      </c>
      <c r="M414" s="5">
        <f t="shared" si="1"/>
        <v>47.32</v>
      </c>
    </row>
    <row r="415" spans="1:17">
      <c r="A415" s="7">
        <v>96517047</v>
      </c>
      <c r="B415" s="7" t="s">
        <v>995</v>
      </c>
      <c r="C415" s="61">
        <v>2804</v>
      </c>
      <c r="D415" s="5">
        <v>1402</v>
      </c>
      <c r="E415" s="5"/>
      <c r="G415" s="5">
        <v>520</v>
      </c>
      <c r="K415" s="5">
        <v>11.83</v>
      </c>
      <c r="L415" s="8">
        <v>4</v>
      </c>
      <c r="M415" s="5">
        <f t="shared" si="1"/>
        <v>47.32</v>
      </c>
    </row>
    <row r="416" spans="1:17">
      <c r="A416" s="7">
        <v>92902371</v>
      </c>
      <c r="B416" s="7" t="s">
        <v>996</v>
      </c>
      <c r="C416" s="61">
        <v>3308</v>
      </c>
      <c r="D416" s="5">
        <v>1654</v>
      </c>
      <c r="E416" s="5"/>
      <c r="G416" s="5">
        <v>520</v>
      </c>
      <c r="H416" s="5"/>
      <c r="I416" s="5"/>
      <c r="J416" s="5"/>
      <c r="K416" s="5">
        <v>11.83</v>
      </c>
      <c r="L416" s="8">
        <v>4</v>
      </c>
      <c r="M416" s="5">
        <f t="shared" si="1"/>
        <v>47.32</v>
      </c>
      <c r="N416" s="5"/>
      <c r="O416" s="5"/>
      <c r="P416" s="5"/>
      <c r="Q416" s="5"/>
    </row>
    <row r="417" spans="1:17">
      <c r="A417" s="7">
        <v>92902404</v>
      </c>
      <c r="B417" s="7" t="s">
        <v>996</v>
      </c>
      <c r="C417" s="61">
        <v>3397</v>
      </c>
      <c r="D417" s="5">
        <v>1698.5</v>
      </c>
      <c r="E417" s="5"/>
      <c r="G417" s="5">
        <v>520</v>
      </c>
      <c r="H417" s="5"/>
      <c r="I417" s="5"/>
      <c r="J417" s="5"/>
      <c r="K417" s="5">
        <v>11.83</v>
      </c>
      <c r="L417" s="8">
        <v>4</v>
      </c>
      <c r="M417" s="5">
        <f t="shared" si="1"/>
        <v>47.32</v>
      </c>
    </row>
    <row r="418" spans="1:17">
      <c r="A418" s="7">
        <v>96516997</v>
      </c>
      <c r="B418" s="7" t="s">
        <v>996</v>
      </c>
      <c r="C418" s="61">
        <v>2796</v>
      </c>
      <c r="D418" s="5">
        <v>1398</v>
      </c>
      <c r="E418" s="5"/>
      <c r="G418" s="5">
        <v>520</v>
      </c>
      <c r="K418" s="5">
        <v>11.83</v>
      </c>
      <c r="L418" s="8">
        <v>4</v>
      </c>
      <c r="M418" s="5">
        <f t="shared" si="1"/>
        <v>47.32</v>
      </c>
    </row>
    <row r="419" spans="1:17">
      <c r="A419" s="7">
        <v>96517048</v>
      </c>
      <c r="B419" s="7" t="s">
        <v>996</v>
      </c>
      <c r="C419" s="61">
        <v>2886</v>
      </c>
      <c r="D419" s="5">
        <v>1443</v>
      </c>
      <c r="E419" s="5"/>
      <c r="G419" s="5">
        <v>520</v>
      </c>
      <c r="K419" s="5">
        <v>11.83</v>
      </c>
      <c r="L419" s="8">
        <v>4</v>
      </c>
      <c r="M419" s="5">
        <f t="shared" si="1"/>
        <v>47.32</v>
      </c>
    </row>
    <row r="420" spans="1:17">
      <c r="A420" s="7">
        <v>92902372</v>
      </c>
      <c r="B420" s="7" t="s">
        <v>997</v>
      </c>
      <c r="C420" s="61">
        <v>3385</v>
      </c>
      <c r="D420" s="5">
        <v>1692.5</v>
      </c>
      <c r="E420" s="5"/>
      <c r="G420" s="5">
        <v>520</v>
      </c>
      <c r="H420" s="5"/>
      <c r="I420" s="5"/>
      <c r="J420" s="5"/>
      <c r="K420" s="5">
        <v>11.83</v>
      </c>
      <c r="L420" s="8">
        <v>4</v>
      </c>
      <c r="M420" s="5">
        <f t="shared" si="1"/>
        <v>47.32</v>
      </c>
      <c r="N420" s="5"/>
      <c r="O420" s="5"/>
      <c r="P420" s="5"/>
      <c r="Q420" s="5"/>
    </row>
    <row r="421" spans="1:17">
      <c r="A421" s="7">
        <v>92902405</v>
      </c>
      <c r="B421" s="7" t="s">
        <v>997</v>
      </c>
      <c r="C421" s="61">
        <v>3473</v>
      </c>
      <c r="D421" s="5">
        <v>1736.5</v>
      </c>
      <c r="E421" s="5"/>
      <c r="G421" s="5">
        <v>520</v>
      </c>
      <c r="H421" s="5"/>
      <c r="I421" s="5"/>
      <c r="J421" s="5"/>
      <c r="K421" s="5">
        <v>11.83</v>
      </c>
      <c r="L421" s="8">
        <v>4</v>
      </c>
      <c r="M421" s="5">
        <f t="shared" si="1"/>
        <v>47.32</v>
      </c>
    </row>
    <row r="422" spans="1:17">
      <c r="A422" s="7">
        <v>96516998</v>
      </c>
      <c r="B422" s="7" t="s">
        <v>997</v>
      </c>
      <c r="C422" s="61">
        <v>2874</v>
      </c>
      <c r="D422" s="5">
        <v>1437</v>
      </c>
      <c r="E422" s="5"/>
      <c r="G422" s="5">
        <v>520</v>
      </c>
      <c r="K422" s="5">
        <v>11.83</v>
      </c>
      <c r="L422" s="8">
        <v>4</v>
      </c>
      <c r="M422" s="5">
        <f t="shared" si="1"/>
        <v>47.32</v>
      </c>
    </row>
    <row r="423" spans="1:17">
      <c r="A423" s="7">
        <v>96517049</v>
      </c>
      <c r="B423" s="7" t="s">
        <v>997</v>
      </c>
      <c r="C423" s="61">
        <v>2962</v>
      </c>
      <c r="D423" s="5">
        <v>1481</v>
      </c>
      <c r="E423" s="5"/>
      <c r="G423" s="5">
        <v>520</v>
      </c>
      <c r="K423" s="5">
        <v>11.83</v>
      </c>
      <c r="L423" s="8">
        <v>4</v>
      </c>
      <c r="M423" s="5">
        <f t="shared" si="1"/>
        <v>47.32</v>
      </c>
    </row>
    <row r="424" spans="1:17">
      <c r="A424" s="7">
        <v>92902373</v>
      </c>
      <c r="B424" s="7" t="s">
        <v>998</v>
      </c>
      <c r="C424" s="61">
        <v>3461</v>
      </c>
      <c r="D424" s="5">
        <v>1730.5</v>
      </c>
      <c r="E424" s="5"/>
      <c r="G424" s="5">
        <v>520</v>
      </c>
      <c r="H424" s="5"/>
      <c r="I424" s="5"/>
      <c r="J424" s="5"/>
      <c r="K424" s="5">
        <v>11.83</v>
      </c>
      <c r="L424" s="8">
        <v>4</v>
      </c>
      <c r="M424" s="5">
        <f t="shared" si="1"/>
        <v>47.32</v>
      </c>
    </row>
    <row r="425" spans="1:17">
      <c r="A425" s="7">
        <v>92902406</v>
      </c>
      <c r="B425" s="7" t="s">
        <v>998</v>
      </c>
      <c r="C425" s="61">
        <v>3550</v>
      </c>
      <c r="D425" s="5">
        <v>1775</v>
      </c>
      <c r="E425" s="5"/>
      <c r="G425" s="5">
        <v>520</v>
      </c>
      <c r="H425" s="5"/>
      <c r="I425" s="5"/>
      <c r="J425" s="5"/>
      <c r="K425" s="5">
        <v>11.83</v>
      </c>
      <c r="L425" s="8">
        <v>4</v>
      </c>
      <c r="M425" s="5">
        <f t="shared" si="1"/>
        <v>47.32</v>
      </c>
    </row>
    <row r="426" spans="1:17">
      <c r="A426" s="7">
        <v>96516999</v>
      </c>
      <c r="B426" s="7" t="s">
        <v>998</v>
      </c>
      <c r="C426" s="61">
        <v>2950</v>
      </c>
      <c r="D426" s="5">
        <v>1475</v>
      </c>
      <c r="E426" s="5"/>
      <c r="G426" s="5">
        <v>520</v>
      </c>
      <c r="K426" s="5">
        <v>11.83</v>
      </c>
      <c r="L426" s="8">
        <v>4</v>
      </c>
      <c r="M426" s="5">
        <f t="shared" si="1"/>
        <v>47.32</v>
      </c>
    </row>
    <row r="427" spans="1:17">
      <c r="A427" s="7">
        <v>96517050</v>
      </c>
      <c r="B427" s="7" t="s">
        <v>998</v>
      </c>
      <c r="C427" s="61">
        <v>3037</v>
      </c>
      <c r="D427" s="5">
        <v>1518.5</v>
      </c>
      <c r="E427" s="5"/>
      <c r="G427" s="5">
        <v>520</v>
      </c>
      <c r="K427" s="5">
        <v>11.83</v>
      </c>
      <c r="L427" s="8">
        <v>4</v>
      </c>
      <c r="M427" s="5">
        <f t="shared" si="1"/>
        <v>47.32</v>
      </c>
    </row>
    <row r="428" spans="1:17">
      <c r="A428" s="7">
        <v>96517000</v>
      </c>
      <c r="B428" s="7" t="s">
        <v>999</v>
      </c>
      <c r="C428" s="61">
        <v>3286</v>
      </c>
      <c r="D428" s="5">
        <v>1643</v>
      </c>
      <c r="E428" s="5"/>
      <c r="G428" s="5">
        <v>520</v>
      </c>
      <c r="K428" s="5">
        <v>11.83</v>
      </c>
      <c r="L428" s="8">
        <v>4</v>
      </c>
      <c r="M428" s="5">
        <f t="shared" si="1"/>
        <v>47.32</v>
      </c>
    </row>
    <row r="429" spans="1:17">
      <c r="A429" s="7">
        <v>96517051</v>
      </c>
      <c r="B429" s="7" t="s">
        <v>999</v>
      </c>
      <c r="C429" s="61">
        <v>3373</v>
      </c>
      <c r="D429" s="5">
        <v>1686.5</v>
      </c>
      <c r="E429" s="5"/>
      <c r="G429" s="5">
        <v>520</v>
      </c>
      <c r="K429" s="5">
        <v>11.83</v>
      </c>
      <c r="L429" s="8">
        <v>4</v>
      </c>
      <c r="M429" s="5">
        <f t="shared" si="1"/>
        <v>47.32</v>
      </c>
    </row>
    <row r="430" spans="1:17">
      <c r="A430" s="7">
        <v>92902347</v>
      </c>
      <c r="B430" s="7" t="s">
        <v>1000</v>
      </c>
      <c r="C430" s="61">
        <v>1550</v>
      </c>
      <c r="D430" s="5">
        <v>775</v>
      </c>
      <c r="E430" s="5"/>
      <c r="G430" s="5">
        <v>520</v>
      </c>
      <c r="H430" s="5"/>
      <c r="I430" s="5"/>
      <c r="J430" s="5"/>
      <c r="K430" s="5">
        <v>11.83</v>
      </c>
      <c r="L430" s="8">
        <v>4</v>
      </c>
      <c r="M430" s="5">
        <f t="shared" si="1"/>
        <v>47.32</v>
      </c>
      <c r="N430" s="5"/>
      <c r="O430" s="5"/>
      <c r="P430" s="5"/>
      <c r="Q430" s="5"/>
    </row>
    <row r="431" spans="1:17">
      <c r="A431" s="7">
        <v>92902391</v>
      </c>
      <c r="B431" s="7" t="s">
        <v>1000</v>
      </c>
      <c r="C431" s="61">
        <v>1639</v>
      </c>
      <c r="D431" s="5">
        <v>819.5</v>
      </c>
      <c r="E431" s="5"/>
      <c r="G431" s="5">
        <v>520</v>
      </c>
      <c r="H431" s="5"/>
      <c r="I431" s="5"/>
      <c r="J431" s="5"/>
      <c r="K431" s="5">
        <v>11.83</v>
      </c>
      <c r="L431" s="8">
        <v>4</v>
      </c>
      <c r="M431" s="5">
        <f t="shared" si="1"/>
        <v>47.32</v>
      </c>
    </row>
    <row r="432" spans="1:17">
      <c r="A432" s="7">
        <v>96516975</v>
      </c>
      <c r="B432" s="7" t="s">
        <v>1000</v>
      </c>
      <c r="C432" s="61">
        <v>1462</v>
      </c>
      <c r="D432" s="5">
        <v>731</v>
      </c>
      <c r="E432" s="5"/>
      <c r="G432" s="5">
        <v>520</v>
      </c>
      <c r="K432" s="5">
        <v>11.83</v>
      </c>
      <c r="L432" s="8">
        <v>4</v>
      </c>
      <c r="M432" s="5">
        <f t="shared" si="1"/>
        <v>47.32</v>
      </c>
    </row>
    <row r="433" spans="1:17">
      <c r="A433" s="7">
        <v>96517037</v>
      </c>
      <c r="B433" s="7" t="s">
        <v>1000</v>
      </c>
      <c r="C433" s="61">
        <v>1549</v>
      </c>
      <c r="D433" s="5">
        <v>774.5</v>
      </c>
      <c r="E433" s="5"/>
      <c r="G433" s="5">
        <v>520</v>
      </c>
      <c r="K433" s="5">
        <v>11.83</v>
      </c>
      <c r="L433" s="8">
        <v>4</v>
      </c>
      <c r="M433" s="5">
        <f t="shared" si="1"/>
        <v>47.32</v>
      </c>
    </row>
    <row r="434" spans="1:17">
      <c r="A434" s="7">
        <v>96517001</v>
      </c>
      <c r="B434" s="7" t="s">
        <v>1001</v>
      </c>
      <c r="C434" s="61">
        <v>3439</v>
      </c>
      <c r="D434" s="5">
        <v>1719.5</v>
      </c>
      <c r="E434" s="5"/>
      <c r="G434" s="5">
        <v>520</v>
      </c>
      <c r="K434" s="5">
        <v>11.83</v>
      </c>
      <c r="L434" s="8">
        <v>4</v>
      </c>
      <c r="M434" s="5">
        <f t="shared" si="1"/>
        <v>47.32</v>
      </c>
    </row>
    <row r="435" spans="1:17">
      <c r="A435" s="7">
        <v>96517052</v>
      </c>
      <c r="B435" s="7" t="s">
        <v>1001</v>
      </c>
      <c r="C435" s="61">
        <v>3527</v>
      </c>
      <c r="D435" s="5">
        <v>1763.5</v>
      </c>
      <c r="E435" s="5"/>
      <c r="G435" s="5">
        <v>520</v>
      </c>
      <c r="K435" s="5">
        <v>11.83</v>
      </c>
      <c r="L435" s="8">
        <v>4</v>
      </c>
      <c r="M435" s="5">
        <f t="shared" si="1"/>
        <v>47.32</v>
      </c>
    </row>
    <row r="436" spans="1:17">
      <c r="A436" s="7">
        <v>96513381</v>
      </c>
      <c r="B436" s="7" t="s">
        <v>1002</v>
      </c>
      <c r="C436" s="61">
        <v>3618</v>
      </c>
      <c r="D436" s="5">
        <v>1809</v>
      </c>
      <c r="E436" s="5"/>
      <c r="G436" s="5">
        <v>520</v>
      </c>
      <c r="K436" s="5">
        <v>11.83</v>
      </c>
      <c r="L436" s="8">
        <v>4</v>
      </c>
      <c r="M436" s="5">
        <f t="shared" si="1"/>
        <v>47.32</v>
      </c>
    </row>
    <row r="437" spans="1:17">
      <c r="A437" s="7">
        <v>96578133</v>
      </c>
      <c r="B437" s="7" t="s">
        <v>1002</v>
      </c>
      <c r="C437" s="61">
        <v>3618</v>
      </c>
      <c r="D437" s="5">
        <v>1809</v>
      </c>
      <c r="E437" s="5"/>
      <c r="G437" s="5">
        <v>520</v>
      </c>
      <c r="K437" s="5">
        <v>11.83</v>
      </c>
      <c r="L437" s="8">
        <v>4</v>
      </c>
      <c r="M437" s="5">
        <f t="shared" si="1"/>
        <v>47.32</v>
      </c>
    </row>
    <row r="438" spans="1:17">
      <c r="A438" s="7">
        <v>96513390</v>
      </c>
      <c r="B438" s="7" t="s">
        <v>1003</v>
      </c>
      <c r="C438" s="61">
        <v>3770</v>
      </c>
      <c r="D438" s="5">
        <v>1885</v>
      </c>
      <c r="E438" s="5"/>
      <c r="G438" s="5">
        <v>520</v>
      </c>
      <c r="K438" s="5">
        <v>11.83</v>
      </c>
      <c r="L438" s="8">
        <v>4</v>
      </c>
      <c r="M438" s="5">
        <f t="shared" si="1"/>
        <v>47.32</v>
      </c>
    </row>
    <row r="439" spans="1:17">
      <c r="A439" s="7">
        <v>96513391</v>
      </c>
      <c r="B439" s="7" t="s">
        <v>1004</v>
      </c>
      <c r="C439" s="61">
        <v>3928</v>
      </c>
      <c r="D439" s="5">
        <v>1964</v>
      </c>
      <c r="E439" s="5"/>
      <c r="G439" s="5">
        <v>520</v>
      </c>
      <c r="K439" s="5">
        <v>11.83</v>
      </c>
      <c r="L439" s="8">
        <v>4</v>
      </c>
      <c r="M439" s="5">
        <f t="shared" si="1"/>
        <v>47.32</v>
      </c>
    </row>
    <row r="440" spans="1:17">
      <c r="A440" s="7">
        <v>96513392</v>
      </c>
      <c r="B440" s="7" t="s">
        <v>1005</v>
      </c>
      <c r="C440" s="61">
        <v>4156</v>
      </c>
      <c r="D440" s="5">
        <v>2078</v>
      </c>
      <c r="E440" s="5"/>
      <c r="G440" s="5">
        <v>520</v>
      </c>
      <c r="K440" s="5">
        <v>11.83</v>
      </c>
      <c r="L440" s="8">
        <v>4</v>
      </c>
      <c r="M440" s="5">
        <f t="shared" si="1"/>
        <v>47.32</v>
      </c>
    </row>
    <row r="441" spans="1:17">
      <c r="A441" s="7">
        <v>92902349</v>
      </c>
      <c r="B441" s="7" t="s">
        <v>1006</v>
      </c>
      <c r="C441" s="61">
        <v>1655</v>
      </c>
      <c r="D441" s="5">
        <v>827.5</v>
      </c>
      <c r="E441" s="5"/>
      <c r="G441" s="5">
        <v>520</v>
      </c>
      <c r="H441" s="5"/>
      <c r="I441" s="5"/>
      <c r="J441" s="5"/>
      <c r="K441" s="5">
        <v>11.83</v>
      </c>
      <c r="L441" s="8">
        <v>4</v>
      </c>
      <c r="M441" s="5">
        <f t="shared" si="1"/>
        <v>47.32</v>
      </c>
      <c r="N441" s="5"/>
      <c r="O441" s="5"/>
      <c r="P441" s="5"/>
      <c r="Q441" s="5"/>
    </row>
    <row r="442" spans="1:17">
      <c r="A442" s="7">
        <v>92902392</v>
      </c>
      <c r="B442" s="7" t="s">
        <v>1006</v>
      </c>
      <c r="C442" s="61">
        <v>1745</v>
      </c>
      <c r="D442" s="5">
        <v>872.5</v>
      </c>
      <c r="E442" s="5"/>
      <c r="G442" s="5">
        <v>520</v>
      </c>
      <c r="H442" s="5"/>
      <c r="I442" s="5"/>
      <c r="J442" s="5"/>
      <c r="K442" s="5">
        <v>11.83</v>
      </c>
      <c r="L442" s="8">
        <v>4</v>
      </c>
      <c r="M442" s="5">
        <f t="shared" si="1"/>
        <v>47.32</v>
      </c>
    </row>
    <row r="443" spans="1:17">
      <c r="A443" s="7">
        <v>96516976</v>
      </c>
      <c r="B443" s="7" t="s">
        <v>1006</v>
      </c>
      <c r="C443" s="61">
        <v>1532</v>
      </c>
      <c r="D443" s="5">
        <v>766</v>
      </c>
      <c r="E443" s="5"/>
      <c r="G443" s="5">
        <v>520</v>
      </c>
      <c r="K443" s="5">
        <v>11.83</v>
      </c>
      <c r="L443" s="8">
        <v>4</v>
      </c>
      <c r="M443" s="5">
        <f t="shared" si="1"/>
        <v>47.32</v>
      </c>
    </row>
    <row r="444" spans="1:17">
      <c r="A444" s="7">
        <v>96517038</v>
      </c>
      <c r="B444" s="7" t="s">
        <v>1006</v>
      </c>
      <c r="C444" s="61">
        <v>1620</v>
      </c>
      <c r="D444" s="5">
        <v>810</v>
      </c>
      <c r="E444" s="5"/>
      <c r="G444" s="5">
        <v>520</v>
      </c>
      <c r="K444" s="5">
        <v>11.83</v>
      </c>
      <c r="L444" s="8">
        <v>4</v>
      </c>
      <c r="M444" s="5">
        <f t="shared" si="1"/>
        <v>47.32</v>
      </c>
    </row>
    <row r="445" spans="1:17">
      <c r="A445" s="7">
        <v>96513393</v>
      </c>
      <c r="B445" s="7" t="s">
        <v>1007</v>
      </c>
      <c r="C445" s="61">
        <v>4727</v>
      </c>
      <c r="D445" s="5">
        <v>2363.5</v>
      </c>
      <c r="E445" s="5"/>
      <c r="G445" s="5">
        <v>520</v>
      </c>
      <c r="K445" s="5">
        <v>11.83</v>
      </c>
      <c r="L445" s="8">
        <v>4</v>
      </c>
      <c r="M445" s="5">
        <f t="shared" si="1"/>
        <v>47.32</v>
      </c>
    </row>
    <row r="446" spans="1:17">
      <c r="A446" s="7">
        <v>96513394</v>
      </c>
      <c r="B446" s="7" t="s">
        <v>1008</v>
      </c>
      <c r="C446" s="61">
        <v>5028</v>
      </c>
      <c r="D446" s="5">
        <v>2514</v>
      </c>
      <c r="E446" s="5"/>
      <c r="G446" s="5">
        <v>520</v>
      </c>
      <c r="K446" s="5">
        <v>11.83</v>
      </c>
      <c r="L446" s="8">
        <v>4</v>
      </c>
      <c r="M446" s="5">
        <f t="shared" si="1"/>
        <v>47.32</v>
      </c>
    </row>
    <row r="447" spans="1:17">
      <c r="A447" s="7">
        <v>92902360</v>
      </c>
      <c r="B447" s="7" t="s">
        <v>1009</v>
      </c>
      <c r="C447" s="61">
        <v>1776</v>
      </c>
      <c r="D447" s="5">
        <v>888</v>
      </c>
      <c r="E447" s="5"/>
      <c r="G447" s="5">
        <v>520</v>
      </c>
      <c r="H447" s="5"/>
      <c r="I447" s="5"/>
      <c r="J447" s="5"/>
      <c r="K447" s="5">
        <v>11.83</v>
      </c>
      <c r="L447" s="8">
        <v>4</v>
      </c>
      <c r="M447" s="5">
        <f t="shared" si="1"/>
        <v>47.32</v>
      </c>
      <c r="N447" s="5"/>
      <c r="O447" s="5"/>
      <c r="P447" s="5"/>
      <c r="Q447" s="5"/>
    </row>
    <row r="448" spans="1:17">
      <c r="A448" s="7">
        <v>92902393</v>
      </c>
      <c r="B448" s="7" t="s">
        <v>1009</v>
      </c>
      <c r="C448" s="61">
        <v>1864</v>
      </c>
      <c r="D448" s="5">
        <v>932</v>
      </c>
      <c r="E448" s="5"/>
      <c r="G448" s="5">
        <v>520</v>
      </c>
      <c r="H448" s="5"/>
      <c r="I448" s="5"/>
      <c r="J448" s="5"/>
      <c r="K448" s="5">
        <v>11.83</v>
      </c>
      <c r="L448" s="8">
        <v>4</v>
      </c>
      <c r="M448" s="5">
        <f t="shared" si="1"/>
        <v>47.32</v>
      </c>
    </row>
    <row r="449" spans="1:17">
      <c r="A449" s="7">
        <v>96516977</v>
      </c>
      <c r="B449" s="7" t="s">
        <v>1009</v>
      </c>
      <c r="C449" s="61">
        <v>1652</v>
      </c>
      <c r="D449" s="5">
        <v>826</v>
      </c>
      <c r="E449" s="5"/>
      <c r="G449" s="5">
        <v>520</v>
      </c>
      <c r="K449" s="5">
        <v>11.83</v>
      </c>
      <c r="L449" s="8">
        <v>4</v>
      </c>
      <c r="M449" s="5">
        <f t="shared" si="1"/>
        <v>47.32</v>
      </c>
    </row>
    <row r="450" spans="1:17">
      <c r="A450" s="7">
        <v>96517039</v>
      </c>
      <c r="B450" s="7" t="s">
        <v>1009</v>
      </c>
      <c r="C450" s="61">
        <v>1740</v>
      </c>
      <c r="D450" s="5">
        <v>870</v>
      </c>
      <c r="E450" s="5"/>
      <c r="G450" s="5">
        <v>520</v>
      </c>
      <c r="K450" s="5">
        <v>11.83</v>
      </c>
      <c r="L450" s="8">
        <v>4</v>
      </c>
      <c r="M450" s="5">
        <f t="shared" si="1"/>
        <v>47.32</v>
      </c>
    </row>
    <row r="451" spans="1:17">
      <c r="A451" s="7">
        <v>92902361</v>
      </c>
      <c r="B451" s="7" t="s">
        <v>1010</v>
      </c>
      <c r="C451" s="61">
        <v>1993</v>
      </c>
      <c r="D451" s="5">
        <v>996.5</v>
      </c>
      <c r="E451" s="5"/>
      <c r="G451" s="5">
        <v>520</v>
      </c>
      <c r="H451" s="5"/>
      <c r="I451" s="5"/>
      <c r="J451" s="5"/>
      <c r="K451" s="5">
        <v>11.83</v>
      </c>
      <c r="L451" s="8">
        <v>4</v>
      </c>
      <c r="M451" s="5">
        <f t="shared" si="1"/>
        <v>47.32</v>
      </c>
      <c r="N451" s="5"/>
      <c r="O451" s="5"/>
      <c r="P451" s="5"/>
      <c r="Q451" s="5"/>
    </row>
    <row r="452" spans="1:17">
      <c r="A452" s="7">
        <v>92902394</v>
      </c>
      <c r="B452" s="7" t="s">
        <v>1010</v>
      </c>
      <c r="C452" s="61">
        <v>2082</v>
      </c>
      <c r="D452" s="5">
        <v>1041</v>
      </c>
      <c r="E452" s="5"/>
      <c r="G452" s="5">
        <v>520</v>
      </c>
      <c r="H452" s="5"/>
      <c r="I452" s="5"/>
      <c r="J452" s="5"/>
      <c r="K452" s="5">
        <v>11.83</v>
      </c>
      <c r="L452" s="8">
        <v>4</v>
      </c>
      <c r="M452" s="5">
        <f t="shared" si="1"/>
        <v>47.32</v>
      </c>
    </row>
    <row r="453" spans="1:17">
      <c r="A453" s="7">
        <v>96516978</v>
      </c>
      <c r="B453" s="7" t="s">
        <v>1010</v>
      </c>
      <c r="C453" s="61">
        <v>1776</v>
      </c>
      <c r="D453" s="5">
        <v>888</v>
      </c>
      <c r="E453" s="5"/>
      <c r="G453" s="5">
        <v>520</v>
      </c>
      <c r="K453" s="5">
        <v>11.83</v>
      </c>
      <c r="L453" s="8">
        <v>4</v>
      </c>
      <c r="M453" s="5">
        <f t="shared" si="1"/>
        <v>47.32</v>
      </c>
    </row>
    <row r="454" spans="1:17">
      <c r="A454" s="7">
        <v>96517040</v>
      </c>
      <c r="B454" s="7" t="s">
        <v>1010</v>
      </c>
      <c r="C454" s="61">
        <v>1865</v>
      </c>
      <c r="D454" s="5">
        <v>932.5</v>
      </c>
      <c r="E454" s="5"/>
      <c r="G454" s="5">
        <v>520</v>
      </c>
      <c r="K454" s="5">
        <v>11.83</v>
      </c>
      <c r="L454" s="8">
        <v>4</v>
      </c>
      <c r="M454" s="5">
        <f t="shared" si="1"/>
        <v>47.32</v>
      </c>
    </row>
    <row r="455" spans="1:17">
      <c r="A455" s="7">
        <v>92902362</v>
      </c>
      <c r="B455" s="7" t="s">
        <v>1011</v>
      </c>
      <c r="C455" s="61">
        <v>2187</v>
      </c>
      <c r="D455" s="5">
        <v>1093.5</v>
      </c>
      <c r="E455" s="5"/>
      <c r="G455" s="5">
        <v>520</v>
      </c>
      <c r="H455" s="5"/>
      <c r="I455" s="5"/>
      <c r="J455" s="5"/>
      <c r="K455" s="5">
        <v>11.83</v>
      </c>
      <c r="L455" s="8">
        <v>4</v>
      </c>
      <c r="M455" s="5">
        <f t="shared" si="1"/>
        <v>47.32</v>
      </c>
      <c r="N455" s="5"/>
      <c r="O455" s="5"/>
      <c r="P455" s="5"/>
      <c r="Q455" s="5"/>
    </row>
    <row r="456" spans="1:17">
      <c r="A456" s="7">
        <v>92902395</v>
      </c>
      <c r="B456" s="7" t="s">
        <v>1011</v>
      </c>
      <c r="C456" s="61">
        <v>2276</v>
      </c>
      <c r="D456" s="5">
        <v>1138</v>
      </c>
      <c r="E456" s="5"/>
      <c r="G456" s="5">
        <v>520</v>
      </c>
      <c r="H456" s="5"/>
      <c r="I456" s="5"/>
      <c r="J456" s="5"/>
      <c r="K456" s="5">
        <v>11.83</v>
      </c>
      <c r="L456" s="8">
        <v>4</v>
      </c>
      <c r="M456" s="5">
        <f t="shared" si="1"/>
        <v>47.32</v>
      </c>
    </row>
    <row r="457" spans="1:17">
      <c r="A457" s="7">
        <v>96516979</v>
      </c>
      <c r="B457" s="7" t="s">
        <v>1011</v>
      </c>
      <c r="C457" s="61">
        <v>1837</v>
      </c>
      <c r="D457" s="5">
        <v>918.5</v>
      </c>
      <c r="E457" s="5"/>
      <c r="G457" s="5">
        <v>520</v>
      </c>
      <c r="K457" s="5">
        <v>11.83</v>
      </c>
      <c r="L457" s="8">
        <v>4</v>
      </c>
      <c r="M457" s="5">
        <f t="shared" si="1"/>
        <v>47.32</v>
      </c>
    </row>
    <row r="458" spans="1:17">
      <c r="A458" s="7">
        <v>96517041</v>
      </c>
      <c r="B458" s="7" t="s">
        <v>1011</v>
      </c>
      <c r="C458" s="61">
        <v>1925</v>
      </c>
      <c r="D458" s="5">
        <v>962.5</v>
      </c>
      <c r="E458" s="5"/>
      <c r="G458" s="5">
        <v>520</v>
      </c>
      <c r="K458" s="5">
        <v>11.83</v>
      </c>
      <c r="L458" s="8">
        <v>4</v>
      </c>
      <c r="M458" s="5">
        <f t="shared" si="1"/>
        <v>47.32</v>
      </c>
    </row>
    <row r="459" spans="1:17">
      <c r="A459" s="7">
        <v>92902363</v>
      </c>
      <c r="B459" s="7" t="s">
        <v>1012</v>
      </c>
      <c r="C459" s="61">
        <v>2263</v>
      </c>
      <c r="D459" s="5">
        <v>1131.5</v>
      </c>
      <c r="E459" s="5"/>
      <c r="G459" s="5">
        <v>520</v>
      </c>
      <c r="H459" s="5"/>
      <c r="I459" s="5"/>
      <c r="J459" s="5"/>
      <c r="K459" s="5">
        <v>11.83</v>
      </c>
      <c r="L459" s="8">
        <v>4</v>
      </c>
      <c r="M459" s="5">
        <f t="shared" si="1"/>
        <v>47.32</v>
      </c>
      <c r="N459" s="5"/>
      <c r="O459" s="5"/>
      <c r="P459" s="5"/>
      <c r="Q459" s="5"/>
    </row>
    <row r="460" spans="1:17">
      <c r="A460" s="7">
        <v>92902396</v>
      </c>
      <c r="B460" s="7" t="s">
        <v>1012</v>
      </c>
      <c r="C460" s="61">
        <v>2351</v>
      </c>
      <c r="D460" s="5">
        <v>1175.5</v>
      </c>
      <c r="E460" s="5"/>
      <c r="G460" s="5">
        <v>520</v>
      </c>
      <c r="H460" s="5"/>
      <c r="I460" s="5"/>
      <c r="J460" s="5"/>
      <c r="K460" s="5">
        <v>11.83</v>
      </c>
      <c r="L460" s="8">
        <v>4</v>
      </c>
      <c r="M460" s="5">
        <f t="shared" si="1"/>
        <v>47.32</v>
      </c>
    </row>
    <row r="461" spans="1:17">
      <c r="A461" s="7">
        <v>96516990</v>
      </c>
      <c r="B461" s="7" t="s">
        <v>1012</v>
      </c>
      <c r="C461" s="61">
        <v>1912</v>
      </c>
      <c r="D461" s="5">
        <v>956</v>
      </c>
      <c r="E461" s="5"/>
      <c r="G461" s="5">
        <v>520</v>
      </c>
      <c r="K461" s="5">
        <v>11.83</v>
      </c>
      <c r="L461" s="8">
        <v>4</v>
      </c>
      <c r="M461" s="5">
        <f t="shared" si="1"/>
        <v>47.32</v>
      </c>
    </row>
    <row r="462" spans="1:17">
      <c r="A462" s="7">
        <v>96517042</v>
      </c>
      <c r="B462" s="7" t="s">
        <v>1012</v>
      </c>
      <c r="C462" s="61">
        <v>2001</v>
      </c>
      <c r="D462" s="5">
        <v>1000.5</v>
      </c>
      <c r="E462" s="5"/>
      <c r="G462" s="5">
        <v>520</v>
      </c>
      <c r="K462" s="5">
        <v>11.83</v>
      </c>
      <c r="L462" s="8">
        <v>4</v>
      </c>
      <c r="M462" s="5">
        <f t="shared" si="1"/>
        <v>47.32</v>
      </c>
    </row>
    <row r="463" spans="1:17">
      <c r="A463" s="7">
        <v>92902365</v>
      </c>
      <c r="B463" s="7" t="s">
        <v>1013</v>
      </c>
      <c r="C463" s="61">
        <v>2333</v>
      </c>
      <c r="D463" s="5">
        <v>1166.5</v>
      </c>
      <c r="E463" s="5"/>
      <c r="G463" s="5">
        <v>520</v>
      </c>
      <c r="H463" s="5"/>
      <c r="I463" s="5"/>
      <c r="J463" s="5"/>
      <c r="K463" s="5">
        <v>11.83</v>
      </c>
      <c r="L463" s="8">
        <v>4</v>
      </c>
      <c r="M463" s="5">
        <f t="shared" si="1"/>
        <v>47.32</v>
      </c>
      <c r="N463" s="5"/>
      <c r="O463" s="5"/>
      <c r="P463" s="5"/>
      <c r="Q463" s="5"/>
    </row>
    <row r="464" spans="1:17">
      <c r="A464" s="7">
        <v>92902397</v>
      </c>
      <c r="B464" s="7" t="s">
        <v>1013</v>
      </c>
      <c r="C464" s="61">
        <v>2422</v>
      </c>
      <c r="D464" s="5">
        <v>1211</v>
      </c>
      <c r="E464" s="5"/>
      <c r="G464" s="5">
        <v>520</v>
      </c>
      <c r="H464" s="5"/>
      <c r="I464" s="5"/>
      <c r="J464" s="5"/>
      <c r="K464" s="5">
        <v>11.83</v>
      </c>
      <c r="L464" s="8">
        <v>4</v>
      </c>
      <c r="M464" s="5">
        <f t="shared" si="1"/>
        <v>47.32</v>
      </c>
    </row>
    <row r="465" spans="1:17">
      <c r="A465" s="7">
        <v>96511750</v>
      </c>
      <c r="B465" s="7" t="s">
        <v>1013</v>
      </c>
      <c r="C465" s="61">
        <v>2071</v>
      </c>
      <c r="D465" s="5">
        <v>1035.5</v>
      </c>
      <c r="E465" s="5"/>
      <c r="G465" s="5">
        <v>520</v>
      </c>
      <c r="K465" s="5">
        <v>11.83</v>
      </c>
      <c r="L465" s="8">
        <v>4</v>
      </c>
      <c r="M465" s="5">
        <f t="shared" si="1"/>
        <v>47.32</v>
      </c>
    </row>
    <row r="466" spans="1:17">
      <c r="A466" s="7">
        <v>96516991</v>
      </c>
      <c r="B466" s="7" t="s">
        <v>1013</v>
      </c>
      <c r="C466" s="61">
        <v>1982</v>
      </c>
      <c r="D466" s="5">
        <v>991</v>
      </c>
      <c r="E466" s="5"/>
      <c r="G466" s="5">
        <v>520</v>
      </c>
      <c r="K466" s="5">
        <v>11.83</v>
      </c>
      <c r="L466" s="8">
        <v>4</v>
      </c>
      <c r="M466" s="5">
        <f t="shared" si="1"/>
        <v>47.32</v>
      </c>
    </row>
    <row r="467" spans="1:17">
      <c r="A467" s="7">
        <v>92902366</v>
      </c>
      <c r="B467" s="7" t="s">
        <v>1014</v>
      </c>
      <c r="C467" s="61">
        <v>2744</v>
      </c>
      <c r="D467" s="5">
        <v>1372</v>
      </c>
      <c r="E467" s="5"/>
      <c r="G467" s="5">
        <v>520</v>
      </c>
      <c r="H467" s="5"/>
      <c r="I467" s="5"/>
      <c r="J467" s="5"/>
      <c r="K467" s="5">
        <v>11.83</v>
      </c>
      <c r="L467" s="8">
        <v>4</v>
      </c>
      <c r="M467" s="5">
        <f t="shared" si="1"/>
        <v>47.32</v>
      </c>
      <c r="N467" s="5"/>
      <c r="O467" s="5"/>
      <c r="P467" s="5"/>
      <c r="Q467" s="5"/>
    </row>
    <row r="468" spans="1:17">
      <c r="A468" s="7">
        <v>92902398</v>
      </c>
      <c r="B468" s="7" t="s">
        <v>1014</v>
      </c>
      <c r="C468" s="61">
        <v>2833</v>
      </c>
      <c r="D468" s="5">
        <v>1416.5</v>
      </c>
      <c r="E468" s="5"/>
      <c r="G468" s="5">
        <v>520</v>
      </c>
      <c r="H468" s="5"/>
      <c r="I468" s="5"/>
      <c r="J468" s="5"/>
      <c r="K468" s="5">
        <v>11.83</v>
      </c>
      <c r="L468" s="8">
        <v>4</v>
      </c>
      <c r="M468" s="5">
        <f t="shared" si="1"/>
        <v>47.32</v>
      </c>
    </row>
    <row r="469" spans="1:17">
      <c r="A469" s="7">
        <v>96516992</v>
      </c>
      <c r="B469" s="7" t="s">
        <v>1014</v>
      </c>
      <c r="C469" s="61">
        <v>2276</v>
      </c>
      <c r="D469" s="5">
        <v>1138</v>
      </c>
      <c r="E469" s="5"/>
      <c r="G469" s="5">
        <v>520</v>
      </c>
      <c r="K469" s="5">
        <v>11.83</v>
      </c>
      <c r="L469" s="8">
        <v>4</v>
      </c>
      <c r="M469" s="5">
        <f t="shared" si="1"/>
        <v>47.32</v>
      </c>
    </row>
    <row r="470" spans="1:17">
      <c r="A470" s="7">
        <v>96517043</v>
      </c>
      <c r="B470" s="7" t="s">
        <v>1014</v>
      </c>
      <c r="C470" s="61">
        <v>2364</v>
      </c>
      <c r="D470" s="5">
        <v>1182</v>
      </c>
      <c r="E470" s="5"/>
      <c r="G470" s="5">
        <v>520</v>
      </c>
      <c r="K470" s="5">
        <v>11.83</v>
      </c>
      <c r="L470" s="8">
        <v>4</v>
      </c>
      <c r="M470" s="5">
        <f t="shared" si="1"/>
        <v>47.32</v>
      </c>
    </row>
    <row r="471" spans="1:17">
      <c r="A471" s="7">
        <v>96123527</v>
      </c>
      <c r="B471" s="7" t="s">
        <v>1015</v>
      </c>
      <c r="C471" s="61">
        <v>6843</v>
      </c>
      <c r="D471" s="5">
        <v>3421.5</v>
      </c>
      <c r="E471" s="5"/>
      <c r="M471" s="5">
        <f t="shared" si="1"/>
        <v>0</v>
      </c>
    </row>
    <row r="472" spans="1:17">
      <c r="A472" s="7">
        <v>96123526</v>
      </c>
      <c r="B472" s="7" t="s">
        <v>1016</v>
      </c>
      <c r="C472" s="61">
        <v>5245</v>
      </c>
      <c r="D472" s="5">
        <v>2622.5</v>
      </c>
      <c r="E472" s="5"/>
      <c r="M472" s="5">
        <f t="shared" si="1"/>
        <v>0</v>
      </c>
    </row>
    <row r="473" spans="1:17">
      <c r="A473" s="7">
        <v>96123530</v>
      </c>
      <c r="B473" s="7" t="s">
        <v>1017</v>
      </c>
      <c r="C473" s="61">
        <v>9649</v>
      </c>
      <c r="D473" s="5">
        <v>4824.5</v>
      </c>
      <c r="E473" s="5"/>
      <c r="M473" s="5">
        <f t="shared" si="1"/>
        <v>0</v>
      </c>
    </row>
    <row r="474" spans="1:17">
      <c r="A474" s="7">
        <v>96123529</v>
      </c>
      <c r="B474" s="7" t="s">
        <v>1018</v>
      </c>
      <c r="C474" s="61">
        <v>9649</v>
      </c>
      <c r="D474" s="5">
        <v>4824.5</v>
      </c>
      <c r="E474" s="5"/>
      <c r="M474" s="5">
        <f t="shared" si="1"/>
        <v>0</v>
      </c>
    </row>
    <row r="475" spans="1:17">
      <c r="A475" s="7">
        <v>96123528</v>
      </c>
      <c r="B475" s="7" t="s">
        <v>1019</v>
      </c>
      <c r="C475" s="61">
        <v>8295</v>
      </c>
      <c r="D475" s="5">
        <v>4147.5</v>
      </c>
      <c r="E475" s="5"/>
      <c r="M475" s="5">
        <f t="shared" si="1"/>
        <v>0</v>
      </c>
    </row>
    <row r="476" spans="1:17">
      <c r="A476" s="7">
        <v>96123533</v>
      </c>
      <c r="B476" s="7" t="s">
        <v>1020</v>
      </c>
      <c r="C476" s="61">
        <v>14754</v>
      </c>
      <c r="D476" s="5">
        <v>7377</v>
      </c>
      <c r="E476" s="5"/>
      <c r="M476" s="5">
        <f t="shared" si="1"/>
        <v>0</v>
      </c>
    </row>
    <row r="477" spans="1:17">
      <c r="A477" s="7">
        <v>96123532</v>
      </c>
      <c r="B477" s="7" t="s">
        <v>1021</v>
      </c>
      <c r="C477" s="61">
        <v>12838</v>
      </c>
      <c r="D477" s="5">
        <v>6419</v>
      </c>
      <c r="E477" s="5"/>
      <c r="M477" s="5">
        <f t="shared" si="1"/>
        <v>0</v>
      </c>
    </row>
    <row r="478" spans="1:17">
      <c r="A478" s="7">
        <v>96123531</v>
      </c>
      <c r="B478" s="7" t="s">
        <v>1022</v>
      </c>
      <c r="C478" s="61">
        <v>12838</v>
      </c>
      <c r="D478" s="5">
        <v>6419</v>
      </c>
      <c r="E478" s="5"/>
      <c r="M478" s="5">
        <f t="shared" si="1"/>
        <v>0</v>
      </c>
    </row>
    <row r="479" spans="1:17">
      <c r="A479" s="7">
        <v>96123536</v>
      </c>
      <c r="B479" s="7" t="s">
        <v>1023</v>
      </c>
      <c r="C479" s="61">
        <v>17156</v>
      </c>
      <c r="D479" s="5">
        <v>8578</v>
      </c>
      <c r="E479" s="5"/>
      <c r="M479" s="5">
        <f t="shared" si="1"/>
        <v>0</v>
      </c>
    </row>
    <row r="480" spans="1:17">
      <c r="A480" s="7">
        <v>96123535</v>
      </c>
      <c r="B480" s="7" t="s">
        <v>1024</v>
      </c>
      <c r="C480" s="61">
        <v>17156</v>
      </c>
      <c r="D480" s="5">
        <v>8578</v>
      </c>
      <c r="E480" s="5"/>
      <c r="M480" s="5">
        <f t="shared" si="1"/>
        <v>0</v>
      </c>
    </row>
    <row r="481" spans="1:13">
      <c r="A481" s="7">
        <v>96123534</v>
      </c>
      <c r="B481" s="7" t="s">
        <v>1025</v>
      </c>
      <c r="C481" s="61">
        <v>15454</v>
      </c>
      <c r="D481" s="5">
        <v>7727</v>
      </c>
      <c r="E481" s="5"/>
      <c r="M481" s="5">
        <f t="shared" si="1"/>
        <v>0</v>
      </c>
    </row>
    <row r="482" spans="1:13">
      <c r="A482" s="7">
        <v>96123539</v>
      </c>
      <c r="B482" s="7" t="s">
        <v>1026</v>
      </c>
      <c r="C482" s="61">
        <v>18303</v>
      </c>
      <c r="D482" s="5">
        <v>9151.5</v>
      </c>
      <c r="E482" s="5"/>
      <c r="M482" s="5">
        <f t="shared" si="1"/>
        <v>0</v>
      </c>
    </row>
    <row r="483" spans="1:13">
      <c r="A483" s="7">
        <v>96123538</v>
      </c>
      <c r="B483" s="7" t="s">
        <v>1027</v>
      </c>
      <c r="C483" s="61">
        <v>18303</v>
      </c>
      <c r="D483" s="5">
        <v>9151.5</v>
      </c>
      <c r="E483" s="5"/>
      <c r="M483" s="5">
        <f t="shared" si="1"/>
        <v>0</v>
      </c>
    </row>
    <row r="484" spans="1:13">
      <c r="A484" s="7">
        <v>96123537</v>
      </c>
      <c r="B484" s="7" t="s">
        <v>1028</v>
      </c>
      <c r="C484" s="61">
        <v>18303</v>
      </c>
      <c r="D484" s="5">
        <v>9151.5</v>
      </c>
      <c r="E484" s="5"/>
      <c r="M484" s="5">
        <f t="shared" si="1"/>
        <v>0</v>
      </c>
    </row>
    <row r="485" spans="1:13">
      <c r="A485" s="7">
        <v>96123542</v>
      </c>
      <c r="B485" s="7" t="s">
        <v>1029</v>
      </c>
      <c r="C485" s="61">
        <v>22383</v>
      </c>
      <c r="D485" s="5">
        <v>11191.5</v>
      </c>
      <c r="E485" s="5"/>
      <c r="M485" s="5">
        <f t="shared" si="1"/>
        <v>0</v>
      </c>
    </row>
    <row r="486" spans="1:13">
      <c r="A486" s="7">
        <v>96123541</v>
      </c>
      <c r="B486" s="7" t="s">
        <v>1030</v>
      </c>
      <c r="C486" s="61">
        <v>22383</v>
      </c>
      <c r="D486" s="5">
        <v>11191.5</v>
      </c>
      <c r="E486" s="5"/>
      <c r="M486" s="5">
        <f t="shared" si="1"/>
        <v>0</v>
      </c>
    </row>
    <row r="487" spans="1:13">
      <c r="A487" s="7">
        <v>96123540</v>
      </c>
      <c r="B487" s="7" t="s">
        <v>1031</v>
      </c>
      <c r="C487" s="61">
        <v>18998</v>
      </c>
      <c r="D487" s="5">
        <v>9499</v>
      </c>
      <c r="E487" s="5"/>
      <c r="M487" s="5">
        <f t="shared" si="1"/>
        <v>0</v>
      </c>
    </row>
    <row r="488" spans="1:13">
      <c r="A488" s="7">
        <v>96123545</v>
      </c>
      <c r="B488" s="7" t="s">
        <v>1032</v>
      </c>
      <c r="C488" s="61">
        <v>30457</v>
      </c>
      <c r="D488" s="5">
        <v>15228.5</v>
      </c>
      <c r="E488" s="5"/>
      <c r="M488" s="5">
        <f t="shared" si="1"/>
        <v>0</v>
      </c>
    </row>
    <row r="489" spans="1:13">
      <c r="A489" s="7">
        <v>96123544</v>
      </c>
      <c r="B489" s="7" t="s">
        <v>1033</v>
      </c>
      <c r="C489" s="61">
        <v>23077</v>
      </c>
      <c r="D489" s="5">
        <v>11538.5</v>
      </c>
      <c r="E489" s="5"/>
      <c r="M489" s="5">
        <f t="shared" si="1"/>
        <v>0</v>
      </c>
    </row>
    <row r="490" spans="1:13">
      <c r="A490" s="7">
        <v>96123543</v>
      </c>
      <c r="B490" s="7" t="s">
        <v>1034</v>
      </c>
      <c r="C490" s="61">
        <v>23077</v>
      </c>
      <c r="D490" s="5">
        <v>11538.5</v>
      </c>
      <c r="E490" s="5"/>
      <c r="M490" s="5">
        <f t="shared" si="1"/>
        <v>0</v>
      </c>
    </row>
    <row r="491" spans="1:13">
      <c r="A491" s="7">
        <v>96123547</v>
      </c>
      <c r="B491" s="7" t="s">
        <v>1035</v>
      </c>
      <c r="C491" s="61">
        <v>31146</v>
      </c>
      <c r="D491" s="5">
        <v>15573</v>
      </c>
      <c r="E491" s="5"/>
      <c r="M491" s="5">
        <f t="shared" si="1"/>
        <v>0</v>
      </c>
    </row>
    <row r="492" spans="1:13">
      <c r="A492" s="7">
        <v>96123546</v>
      </c>
      <c r="B492" s="7" t="s">
        <v>1036</v>
      </c>
      <c r="C492" s="61">
        <v>31146</v>
      </c>
      <c r="D492" s="5">
        <v>15573</v>
      </c>
      <c r="E492" s="5"/>
      <c r="M492" s="5">
        <f t="shared" si="1"/>
        <v>0</v>
      </c>
    </row>
    <row r="493" spans="1:13">
      <c r="A493" s="7">
        <v>99141736</v>
      </c>
      <c r="B493" s="7" t="s">
        <v>1037</v>
      </c>
      <c r="C493" s="61">
        <v>8092</v>
      </c>
      <c r="D493" s="5">
        <v>4046</v>
      </c>
      <c r="E493" s="5"/>
      <c r="M493" s="5">
        <f t="shared" si="1"/>
        <v>0</v>
      </c>
    </row>
    <row r="494" spans="1:13">
      <c r="A494" s="7">
        <v>99141735</v>
      </c>
      <c r="B494" s="7" t="s">
        <v>1038</v>
      </c>
      <c r="C494" s="61">
        <v>6478</v>
      </c>
      <c r="D494" s="5">
        <v>3239</v>
      </c>
      <c r="E494" s="5"/>
      <c r="M494" s="5">
        <f t="shared" si="1"/>
        <v>0</v>
      </c>
    </row>
    <row r="495" spans="1:13">
      <c r="A495" s="7">
        <v>99141738</v>
      </c>
      <c r="B495" s="7" t="s">
        <v>1039</v>
      </c>
      <c r="C495" s="61">
        <v>13196</v>
      </c>
      <c r="D495" s="5">
        <v>6598</v>
      </c>
      <c r="E495" s="5"/>
      <c r="M495" s="5">
        <f t="shared" si="1"/>
        <v>0</v>
      </c>
    </row>
    <row r="496" spans="1:13">
      <c r="A496" s="7">
        <v>99141737</v>
      </c>
      <c r="B496" s="7" t="s">
        <v>1040</v>
      </c>
      <c r="C496" s="61">
        <v>10596</v>
      </c>
      <c r="D496" s="5">
        <v>5298</v>
      </c>
      <c r="E496" s="5"/>
      <c r="M496" s="5">
        <f t="shared" si="1"/>
        <v>0</v>
      </c>
    </row>
    <row r="497" spans="1:13">
      <c r="A497" s="7">
        <v>99141740</v>
      </c>
      <c r="B497" s="7" t="s">
        <v>1041</v>
      </c>
      <c r="C497" s="61">
        <v>17291</v>
      </c>
      <c r="D497" s="5">
        <v>8645.5</v>
      </c>
      <c r="E497" s="5"/>
      <c r="M497" s="5">
        <f t="shared" si="1"/>
        <v>0</v>
      </c>
    </row>
    <row r="498" spans="1:13">
      <c r="A498" s="7">
        <v>99141739</v>
      </c>
      <c r="B498" s="7" t="s">
        <v>1042</v>
      </c>
      <c r="C498" s="61">
        <v>15460</v>
      </c>
      <c r="D498" s="5">
        <v>7730</v>
      </c>
      <c r="E498" s="5"/>
      <c r="M498" s="5">
        <f t="shared" si="1"/>
        <v>0</v>
      </c>
    </row>
    <row r="499" spans="1:13">
      <c r="A499" s="7">
        <v>99141741</v>
      </c>
      <c r="B499" s="7" t="s">
        <v>1043</v>
      </c>
      <c r="C499" s="61">
        <v>18543</v>
      </c>
      <c r="D499" s="5">
        <v>9271.5</v>
      </c>
      <c r="E499" s="5"/>
      <c r="M499" s="5">
        <f t="shared" si="1"/>
        <v>0</v>
      </c>
    </row>
    <row r="500" spans="1:13">
      <c r="A500" s="7">
        <v>99141742</v>
      </c>
      <c r="B500" s="7" t="s">
        <v>1044</v>
      </c>
      <c r="C500" s="61">
        <v>22636</v>
      </c>
      <c r="D500" s="5">
        <v>11318</v>
      </c>
      <c r="E500" s="5"/>
      <c r="M500" s="5">
        <f t="shared" si="1"/>
        <v>0</v>
      </c>
    </row>
    <row r="501" spans="1:13">
      <c r="A501" s="7">
        <v>99744904</v>
      </c>
      <c r="B501" s="7" t="s">
        <v>1045</v>
      </c>
      <c r="C501" s="61">
        <v>25278</v>
      </c>
      <c r="D501" s="5">
        <v>12639</v>
      </c>
      <c r="E501" s="5"/>
      <c r="M501" s="5">
        <f t="shared" si="1"/>
        <v>0</v>
      </c>
    </row>
    <row r="502" spans="1:13">
      <c r="A502" s="7">
        <v>99744281</v>
      </c>
      <c r="B502" s="7" t="s">
        <v>1046</v>
      </c>
      <c r="C502" s="61">
        <v>30335</v>
      </c>
      <c r="D502" s="5">
        <v>15167.5</v>
      </c>
      <c r="E502" s="5"/>
      <c r="M502" s="5">
        <f t="shared" si="1"/>
        <v>0</v>
      </c>
    </row>
    <row r="503" spans="1:13">
      <c r="A503" s="7">
        <v>99748828</v>
      </c>
      <c r="B503" s="7" t="s">
        <v>1047</v>
      </c>
      <c r="C503" s="61">
        <v>32562</v>
      </c>
      <c r="D503" s="5">
        <v>16281</v>
      </c>
      <c r="E503" s="5"/>
      <c r="M503" s="5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49"/>
  <sheetViews>
    <sheetView workbookViewId="0"/>
  </sheetViews>
  <sheetFormatPr defaultColWidth="12.5703125" defaultRowHeight="15.75" customHeight="1"/>
  <sheetData>
    <row r="1" spans="1:17">
      <c r="A1" s="7" t="s">
        <v>66</v>
      </c>
      <c r="B1" s="7" t="s">
        <v>8</v>
      </c>
      <c r="C1" s="7" t="s">
        <v>701</v>
      </c>
      <c r="D1" s="7" t="s">
        <v>288</v>
      </c>
      <c r="E1" s="7" t="s">
        <v>703</v>
      </c>
      <c r="F1" s="7" t="s">
        <v>705</v>
      </c>
      <c r="G1" s="7" t="s">
        <v>722</v>
      </c>
      <c r="H1" s="7" t="s">
        <v>723</v>
      </c>
      <c r="I1" s="7" t="s">
        <v>695</v>
      </c>
      <c r="J1" s="7" t="s">
        <v>706</v>
      </c>
      <c r="K1" s="7" t="s">
        <v>724</v>
      </c>
      <c r="L1" s="8" t="s">
        <v>725</v>
      </c>
      <c r="M1" s="7" t="s">
        <v>726</v>
      </c>
      <c r="N1" s="7" t="s">
        <v>727</v>
      </c>
      <c r="O1" s="7" t="s">
        <v>728</v>
      </c>
      <c r="P1" s="7" t="s">
        <v>729</v>
      </c>
      <c r="Q1" s="7" t="s">
        <v>773</v>
      </c>
    </row>
    <row r="2" spans="1:17">
      <c r="A2" s="7">
        <v>92959143</v>
      </c>
      <c r="B2" s="7" t="s">
        <v>1048</v>
      </c>
      <c r="C2" s="61">
        <v>20908</v>
      </c>
      <c r="D2" s="5">
        <v>10454</v>
      </c>
      <c r="E2" s="5"/>
    </row>
    <row r="3" spans="1:17">
      <c r="A3" s="7">
        <v>92959148</v>
      </c>
      <c r="B3" s="7" t="s">
        <v>1049</v>
      </c>
      <c r="C3" s="61">
        <v>24730</v>
      </c>
      <c r="D3" s="5">
        <v>12365</v>
      </c>
      <c r="E3" s="5"/>
    </row>
    <row r="4" spans="1:17">
      <c r="A4" s="7">
        <v>92959162</v>
      </c>
      <c r="B4" s="7" t="s">
        <v>1050</v>
      </c>
      <c r="C4" s="61">
        <v>27759</v>
      </c>
      <c r="D4" s="5">
        <v>13879.5</v>
      </c>
      <c r="E4" s="5"/>
    </row>
    <row r="5" spans="1:17">
      <c r="A5" s="7">
        <v>92959181</v>
      </c>
      <c r="B5" s="7" t="s">
        <v>1051</v>
      </c>
      <c r="C5" s="61">
        <v>19410</v>
      </c>
      <c r="D5" s="5">
        <v>9705</v>
      </c>
      <c r="E5" s="5"/>
    </row>
    <row r="6" spans="1:17">
      <c r="A6" s="7">
        <v>92959185</v>
      </c>
      <c r="B6" s="7" t="s">
        <v>1052</v>
      </c>
      <c r="C6" s="61">
        <v>24927</v>
      </c>
      <c r="D6" s="5">
        <v>12463.5</v>
      </c>
      <c r="E6" s="5"/>
    </row>
    <row r="7" spans="1:17">
      <c r="A7" s="7">
        <v>92959225</v>
      </c>
      <c r="B7" s="7" t="s">
        <v>1053</v>
      </c>
      <c r="C7" s="61">
        <v>23923</v>
      </c>
      <c r="D7" s="5">
        <v>11961.5</v>
      </c>
      <c r="E7" s="5"/>
    </row>
    <row r="8" spans="1:17">
      <c r="A8" s="7">
        <v>92962276</v>
      </c>
      <c r="B8" s="7" t="s">
        <v>1054</v>
      </c>
      <c r="C8" s="61">
        <v>20744</v>
      </c>
      <c r="D8" s="5">
        <v>10372</v>
      </c>
      <c r="E8" s="5"/>
    </row>
    <row r="9" spans="1:17">
      <c r="A9" s="7">
        <v>92962277</v>
      </c>
      <c r="B9" s="7" t="s">
        <v>1055</v>
      </c>
      <c r="C9" s="61">
        <v>21331</v>
      </c>
      <c r="D9" s="5">
        <v>10665.5</v>
      </c>
      <c r="E9" s="5"/>
    </row>
    <row r="10" spans="1:17">
      <c r="A10" s="7">
        <v>92962278</v>
      </c>
      <c r="B10" s="7" t="s">
        <v>1056</v>
      </c>
      <c r="C10" s="61">
        <v>23215</v>
      </c>
      <c r="D10" s="5">
        <v>11607.5</v>
      </c>
      <c r="E10" s="5"/>
    </row>
    <row r="11" spans="1:17">
      <c r="A11" s="7">
        <v>92962279</v>
      </c>
      <c r="B11" s="7" t="s">
        <v>1057</v>
      </c>
      <c r="C11" s="61">
        <v>23802</v>
      </c>
      <c r="D11" s="5">
        <v>11901</v>
      </c>
      <c r="E11" s="5"/>
    </row>
    <row r="12" spans="1:17">
      <c r="A12" s="7">
        <v>92962280</v>
      </c>
      <c r="B12" s="7" t="s">
        <v>1057</v>
      </c>
      <c r="C12" s="61">
        <v>25155</v>
      </c>
      <c r="D12" s="5">
        <v>12577.5</v>
      </c>
      <c r="E12" s="5"/>
    </row>
    <row r="13" spans="1:17">
      <c r="A13" s="7">
        <v>92962281</v>
      </c>
      <c r="B13" s="7" t="s">
        <v>1058</v>
      </c>
      <c r="C13" s="61">
        <v>27757</v>
      </c>
      <c r="D13" s="5">
        <v>13878.5</v>
      </c>
      <c r="E13" s="5"/>
    </row>
    <row r="14" spans="1:17">
      <c r="A14" s="7">
        <v>92962282</v>
      </c>
      <c r="B14" s="7" t="s">
        <v>1058</v>
      </c>
      <c r="C14" s="61">
        <v>28789</v>
      </c>
      <c r="D14" s="5">
        <v>14394.5</v>
      </c>
      <c r="E14" s="5"/>
    </row>
    <row r="15" spans="1:17">
      <c r="A15" s="7">
        <v>92962288</v>
      </c>
      <c r="B15" s="7" t="s">
        <v>1059</v>
      </c>
      <c r="C15" s="61">
        <v>20849</v>
      </c>
      <c r="D15" s="5">
        <v>10424.5</v>
      </c>
      <c r="E15" s="5"/>
    </row>
    <row r="16" spans="1:17">
      <c r="A16" s="7">
        <v>92962289</v>
      </c>
      <c r="B16" s="7" t="s">
        <v>1060</v>
      </c>
      <c r="C16" s="61">
        <v>23408</v>
      </c>
      <c r="D16" s="5">
        <v>11704</v>
      </c>
      <c r="E16" s="5"/>
    </row>
    <row r="17" spans="1:5">
      <c r="A17" s="7">
        <v>92962290</v>
      </c>
      <c r="B17" s="7" t="s">
        <v>1060</v>
      </c>
      <c r="C17" s="61">
        <v>24761</v>
      </c>
      <c r="D17" s="5">
        <v>12380.5</v>
      </c>
      <c r="E17" s="5"/>
    </row>
    <row r="18" spans="1:5">
      <c r="A18" s="7">
        <v>92962292</v>
      </c>
      <c r="B18" s="7" t="s">
        <v>1061</v>
      </c>
      <c r="C18" s="61">
        <v>27961</v>
      </c>
      <c r="D18" s="5">
        <v>13980.5</v>
      </c>
      <c r="E18" s="5"/>
    </row>
    <row r="19" spans="1:5">
      <c r="A19" s="7">
        <v>92962299</v>
      </c>
      <c r="B19" s="7" t="s">
        <v>1062</v>
      </c>
      <c r="C19" s="61">
        <v>20496</v>
      </c>
      <c r="D19" s="5">
        <v>10248</v>
      </c>
      <c r="E19" s="5"/>
    </row>
    <row r="20" spans="1:5">
      <c r="A20" s="7">
        <v>92962300</v>
      </c>
      <c r="B20" s="7" t="s">
        <v>1063</v>
      </c>
      <c r="C20" s="61">
        <v>24525</v>
      </c>
      <c r="D20" s="5">
        <v>12262.5</v>
      </c>
      <c r="E20" s="5"/>
    </row>
    <row r="21" spans="1:5">
      <c r="A21" s="7">
        <v>92962303</v>
      </c>
      <c r="B21" s="7" t="s">
        <v>1064</v>
      </c>
      <c r="C21" s="61">
        <v>27300</v>
      </c>
      <c r="D21" s="5">
        <v>13650</v>
      </c>
      <c r="E21" s="5"/>
    </row>
    <row r="22" spans="1:5">
      <c r="A22" s="7">
        <v>93150067</v>
      </c>
      <c r="B22" s="7" t="s">
        <v>1065</v>
      </c>
      <c r="C22" s="61">
        <v>2782</v>
      </c>
      <c r="D22" s="5">
        <v>1391</v>
      </c>
      <c r="E22" s="5"/>
    </row>
    <row r="23" spans="1:5">
      <c r="A23" s="7">
        <v>93150069</v>
      </c>
      <c r="B23" s="7" t="s">
        <v>1066</v>
      </c>
      <c r="C23" s="61">
        <v>2851</v>
      </c>
      <c r="D23" s="5">
        <v>1425.5</v>
      </c>
      <c r="E23" s="5"/>
    </row>
    <row r="24" spans="1:5">
      <c r="A24" s="7">
        <v>93150070</v>
      </c>
      <c r="B24" s="7" t="s">
        <v>1067</v>
      </c>
      <c r="C24" s="61">
        <v>2962</v>
      </c>
      <c r="D24" s="5">
        <v>1481</v>
      </c>
      <c r="E24" s="5"/>
    </row>
    <row r="25" spans="1:5">
      <c r="A25" s="7">
        <v>93150072</v>
      </c>
      <c r="B25" s="7" t="s">
        <v>1068</v>
      </c>
      <c r="C25" s="61">
        <v>3031</v>
      </c>
      <c r="D25" s="5">
        <v>1515.5</v>
      </c>
      <c r="E25" s="5"/>
    </row>
    <row r="26" spans="1:5">
      <c r="A26" s="7">
        <v>93150073</v>
      </c>
      <c r="B26" s="7" t="s">
        <v>1068</v>
      </c>
      <c r="C26" s="61">
        <v>3099</v>
      </c>
      <c r="D26" s="5">
        <v>1549.5</v>
      </c>
      <c r="E26" s="5"/>
    </row>
    <row r="27" spans="1:5">
      <c r="A27" s="7">
        <v>93150075</v>
      </c>
      <c r="B27" s="7" t="s">
        <v>1069</v>
      </c>
      <c r="C27" s="61">
        <v>3306</v>
      </c>
      <c r="D27" s="5">
        <v>1653</v>
      </c>
      <c r="E27" s="5"/>
    </row>
    <row r="28" spans="1:5">
      <c r="A28" s="7">
        <v>93150077</v>
      </c>
      <c r="B28" s="7" t="s">
        <v>1069</v>
      </c>
      <c r="C28" s="61">
        <v>3412</v>
      </c>
      <c r="D28" s="5">
        <v>1706</v>
      </c>
      <c r="E28" s="5"/>
    </row>
    <row r="29" spans="1:5">
      <c r="A29" s="7">
        <v>93150078</v>
      </c>
      <c r="B29" s="7" t="s">
        <v>1070</v>
      </c>
      <c r="C29" s="61">
        <v>4099</v>
      </c>
      <c r="D29" s="5">
        <v>2049.5</v>
      </c>
      <c r="E29" s="5"/>
    </row>
    <row r="30" spans="1:5">
      <c r="A30" s="7">
        <v>93150079</v>
      </c>
      <c r="B30" s="7" t="s">
        <v>1071</v>
      </c>
      <c r="C30" s="61">
        <v>3821</v>
      </c>
      <c r="D30" s="5">
        <v>1910.5</v>
      </c>
      <c r="E30" s="5"/>
    </row>
    <row r="31" spans="1:5">
      <c r="A31" s="7">
        <v>93150090</v>
      </c>
      <c r="B31" s="7" t="s">
        <v>1072</v>
      </c>
      <c r="C31" s="61">
        <v>2769</v>
      </c>
      <c r="D31" s="5">
        <v>1384.5</v>
      </c>
      <c r="E31" s="5"/>
    </row>
    <row r="32" spans="1:5">
      <c r="A32" s="7">
        <v>93150091</v>
      </c>
      <c r="B32" s="7" t="s">
        <v>1073</v>
      </c>
      <c r="C32" s="61">
        <v>2879</v>
      </c>
      <c r="D32" s="5">
        <v>1439.5</v>
      </c>
      <c r="E32" s="5"/>
    </row>
    <row r="33" spans="1:5">
      <c r="A33" s="7">
        <v>93150092</v>
      </c>
      <c r="B33" s="7" t="s">
        <v>1074</v>
      </c>
      <c r="C33" s="61">
        <v>2940</v>
      </c>
      <c r="D33" s="5">
        <v>1470</v>
      </c>
      <c r="E33" s="5"/>
    </row>
    <row r="34" spans="1:5">
      <c r="A34" s="7">
        <v>93150094</v>
      </c>
      <c r="B34" s="7" t="s">
        <v>1074</v>
      </c>
      <c r="C34" s="61">
        <v>3009</v>
      </c>
      <c r="D34" s="5">
        <v>1504.5</v>
      </c>
      <c r="E34" s="5"/>
    </row>
    <row r="35" spans="1:5">
      <c r="A35" s="7">
        <v>93150095</v>
      </c>
      <c r="B35" s="7" t="s">
        <v>1075</v>
      </c>
      <c r="C35" s="61">
        <v>3185</v>
      </c>
      <c r="D35" s="5">
        <v>1592.5</v>
      </c>
      <c r="E35" s="5"/>
    </row>
    <row r="36" spans="1:5">
      <c r="A36" s="7">
        <v>93150096</v>
      </c>
      <c r="B36" s="7" t="s">
        <v>1076</v>
      </c>
      <c r="C36" s="61">
        <v>3413</v>
      </c>
      <c r="D36" s="5">
        <v>1706.5</v>
      </c>
      <c r="E36" s="5"/>
    </row>
    <row r="37" spans="1:5">
      <c r="A37" s="7">
        <v>93150098</v>
      </c>
      <c r="B37" s="7" t="s">
        <v>1077</v>
      </c>
      <c r="C37" s="61">
        <v>3550</v>
      </c>
      <c r="D37" s="5">
        <v>1775</v>
      </c>
      <c r="E37" s="5"/>
    </row>
    <row r="38" spans="1:5">
      <c r="A38" s="7">
        <v>93150099</v>
      </c>
      <c r="B38" s="7" t="s">
        <v>1077</v>
      </c>
      <c r="C38" s="61">
        <v>3898</v>
      </c>
      <c r="D38" s="5">
        <v>1949</v>
      </c>
      <c r="E38" s="5"/>
    </row>
    <row r="39" spans="1:5">
      <c r="A39" s="7">
        <v>93150110</v>
      </c>
      <c r="B39" s="7" t="s">
        <v>1078</v>
      </c>
      <c r="C39" s="61">
        <v>4206</v>
      </c>
      <c r="D39" s="5">
        <v>2103</v>
      </c>
      <c r="E39" s="5"/>
    </row>
    <row r="40" spans="1:5">
      <c r="A40" s="7">
        <v>93150111</v>
      </c>
      <c r="B40" s="7" t="s">
        <v>1079</v>
      </c>
      <c r="C40" s="61">
        <v>2876</v>
      </c>
      <c r="D40" s="5">
        <v>1438</v>
      </c>
      <c r="E40" s="5"/>
    </row>
    <row r="41" spans="1:5">
      <c r="A41" s="7">
        <v>93150112</v>
      </c>
      <c r="B41" s="7" t="s">
        <v>1079</v>
      </c>
      <c r="C41" s="61">
        <v>2944</v>
      </c>
      <c r="D41" s="5">
        <v>1472</v>
      </c>
      <c r="E41" s="5"/>
    </row>
    <row r="42" spans="1:5">
      <c r="A42" s="7">
        <v>93150113</v>
      </c>
      <c r="B42" s="7" t="s">
        <v>1080</v>
      </c>
      <c r="C42" s="61">
        <v>3203</v>
      </c>
      <c r="D42" s="5">
        <v>1601.5</v>
      </c>
      <c r="E42" s="5"/>
    </row>
    <row r="43" spans="1:5">
      <c r="A43" s="7">
        <v>93150114</v>
      </c>
      <c r="B43" s="7" t="s">
        <v>1081</v>
      </c>
      <c r="C43" s="61">
        <v>3262</v>
      </c>
      <c r="D43" s="5">
        <v>1631</v>
      </c>
      <c r="E43" s="5"/>
    </row>
    <row r="44" spans="1:5">
      <c r="A44" s="7">
        <v>93150115</v>
      </c>
      <c r="B44" s="7" t="s">
        <v>1081</v>
      </c>
      <c r="C44" s="61">
        <v>3607</v>
      </c>
      <c r="D44" s="5">
        <v>1803.5</v>
      </c>
      <c r="E44" s="5"/>
    </row>
    <row r="45" spans="1:5">
      <c r="A45" s="7">
        <v>93150116</v>
      </c>
      <c r="B45" s="7" t="s">
        <v>1082</v>
      </c>
      <c r="C45" s="61">
        <v>3863</v>
      </c>
      <c r="D45" s="5">
        <v>1931.5</v>
      </c>
      <c r="E45" s="5"/>
    </row>
    <row r="46" spans="1:5">
      <c r="A46" s="7">
        <v>93150183</v>
      </c>
      <c r="B46" s="7" t="s">
        <v>1065</v>
      </c>
      <c r="C46" s="61">
        <v>2789</v>
      </c>
      <c r="D46" s="5">
        <v>1394.5</v>
      </c>
      <c r="E46" s="5"/>
    </row>
    <row r="47" spans="1:5">
      <c r="A47" s="7">
        <v>93150184</v>
      </c>
      <c r="B47" s="7" t="s">
        <v>1066</v>
      </c>
      <c r="C47" s="61">
        <v>2858</v>
      </c>
      <c r="D47" s="5">
        <v>1429</v>
      </c>
      <c r="E47" s="5"/>
    </row>
    <row r="48" spans="1:5">
      <c r="A48" s="7">
        <v>93150185</v>
      </c>
      <c r="B48" s="7" t="s">
        <v>1067</v>
      </c>
      <c r="C48" s="61">
        <v>2968</v>
      </c>
      <c r="D48" s="5">
        <v>1484</v>
      </c>
      <c r="E48" s="5"/>
    </row>
    <row r="49" spans="1:5">
      <c r="A49" s="7">
        <v>93150186</v>
      </c>
      <c r="B49" s="7" t="s">
        <v>1068</v>
      </c>
      <c r="C49" s="61">
        <v>3038</v>
      </c>
      <c r="D49" s="5">
        <v>1519</v>
      </c>
      <c r="E49" s="5"/>
    </row>
    <row r="50" spans="1:5">
      <c r="A50" s="7">
        <v>93150187</v>
      </c>
      <c r="B50" s="7" t="s">
        <v>1068</v>
      </c>
      <c r="C50" s="61">
        <v>3106</v>
      </c>
      <c r="D50" s="5">
        <v>1553</v>
      </c>
      <c r="E50" s="5"/>
    </row>
    <row r="51" spans="1:5">
      <c r="A51" s="7">
        <v>93150188</v>
      </c>
      <c r="B51" s="7" t="s">
        <v>1069</v>
      </c>
      <c r="C51" s="61">
        <v>3314</v>
      </c>
      <c r="D51" s="5">
        <v>1657</v>
      </c>
      <c r="E51" s="5"/>
    </row>
    <row r="52" spans="1:5">
      <c r="A52" s="7">
        <v>93150200</v>
      </c>
      <c r="B52" s="7" t="s">
        <v>1070</v>
      </c>
      <c r="C52" s="61">
        <v>4109</v>
      </c>
      <c r="D52" s="5">
        <v>2054.5</v>
      </c>
      <c r="E52" s="5"/>
    </row>
    <row r="53" spans="1:5">
      <c r="A53" s="7">
        <v>93150201</v>
      </c>
      <c r="B53" s="7" t="s">
        <v>1071</v>
      </c>
      <c r="C53" s="61">
        <v>3830</v>
      </c>
      <c r="D53" s="5">
        <v>1915</v>
      </c>
      <c r="E53" s="5"/>
    </row>
    <row r="54" spans="1:5">
      <c r="A54" s="7">
        <v>93150202</v>
      </c>
      <c r="B54" s="7" t="s">
        <v>1083</v>
      </c>
      <c r="C54" s="61">
        <v>4649</v>
      </c>
      <c r="D54" s="5">
        <v>2324.5</v>
      </c>
      <c r="E54" s="5"/>
    </row>
    <row r="55" spans="1:5">
      <c r="A55" s="7">
        <v>93150204</v>
      </c>
      <c r="B55" s="7" t="s">
        <v>1072</v>
      </c>
      <c r="C55" s="61">
        <v>2769</v>
      </c>
      <c r="D55" s="5">
        <v>1384.5</v>
      </c>
      <c r="E55" s="5"/>
    </row>
    <row r="56" spans="1:5">
      <c r="A56" s="7">
        <v>93150205</v>
      </c>
      <c r="B56" s="7" t="s">
        <v>1073</v>
      </c>
      <c r="C56" s="61">
        <v>2879</v>
      </c>
      <c r="D56" s="5">
        <v>1439.5</v>
      </c>
      <c r="E56" s="5"/>
    </row>
    <row r="57" spans="1:5">
      <c r="A57" s="7">
        <v>93150207</v>
      </c>
      <c r="B57" s="7" t="s">
        <v>1074</v>
      </c>
      <c r="C57" s="61">
        <v>3009</v>
      </c>
      <c r="D57" s="5">
        <v>1504.5</v>
      </c>
      <c r="E57" s="5"/>
    </row>
    <row r="58" spans="1:5">
      <c r="A58" s="7">
        <v>93150209</v>
      </c>
      <c r="B58" s="7" t="s">
        <v>1076</v>
      </c>
      <c r="C58" s="61">
        <v>3413</v>
      </c>
      <c r="D58" s="5">
        <v>1706.5</v>
      </c>
      <c r="E58" s="5"/>
    </row>
    <row r="59" spans="1:5">
      <c r="A59" s="7">
        <v>93150222</v>
      </c>
      <c r="B59" s="7" t="s">
        <v>1078</v>
      </c>
      <c r="C59" s="61">
        <v>4206</v>
      </c>
      <c r="D59" s="5">
        <v>2103</v>
      </c>
      <c r="E59" s="5"/>
    </row>
    <row r="60" spans="1:5">
      <c r="A60" s="7">
        <v>93150223</v>
      </c>
      <c r="B60" s="7" t="s">
        <v>1079</v>
      </c>
      <c r="C60" s="61">
        <v>2875</v>
      </c>
      <c r="D60" s="5">
        <v>1437.5</v>
      </c>
      <c r="E60" s="5"/>
    </row>
    <row r="61" spans="1:5">
      <c r="A61" s="7">
        <v>93150224</v>
      </c>
      <c r="B61" s="7" t="s">
        <v>1079</v>
      </c>
      <c r="C61" s="61">
        <v>2943</v>
      </c>
      <c r="D61" s="5">
        <v>1471.5</v>
      </c>
      <c r="E61" s="5"/>
    </row>
    <row r="62" spans="1:5">
      <c r="A62" s="7">
        <v>93150225</v>
      </c>
      <c r="B62" s="7" t="s">
        <v>1080</v>
      </c>
      <c r="C62" s="61">
        <v>3202</v>
      </c>
      <c r="D62" s="5">
        <v>1601</v>
      </c>
      <c r="E62" s="5"/>
    </row>
    <row r="63" spans="1:5">
      <c r="A63" s="7">
        <v>93150227</v>
      </c>
      <c r="B63" s="7" t="s">
        <v>1081</v>
      </c>
      <c r="C63" s="61">
        <v>3606</v>
      </c>
      <c r="D63" s="5">
        <v>1803</v>
      </c>
      <c r="E63" s="5"/>
    </row>
    <row r="64" spans="1:5">
      <c r="A64" s="7">
        <v>93150229</v>
      </c>
      <c r="B64" s="7" t="s">
        <v>1065</v>
      </c>
      <c r="C64" s="61">
        <v>3079</v>
      </c>
      <c r="D64" s="5">
        <v>1539.5</v>
      </c>
      <c r="E64" s="5"/>
    </row>
    <row r="65" spans="1:5">
      <c r="A65" s="7">
        <v>93150240</v>
      </c>
      <c r="B65" s="7" t="s">
        <v>1066</v>
      </c>
      <c r="C65" s="61">
        <v>3148</v>
      </c>
      <c r="D65" s="5">
        <v>1574</v>
      </c>
      <c r="E65" s="5"/>
    </row>
    <row r="66" spans="1:5">
      <c r="A66" s="7">
        <v>93150241</v>
      </c>
      <c r="B66" s="7" t="s">
        <v>1067</v>
      </c>
      <c r="C66" s="61">
        <v>3265</v>
      </c>
      <c r="D66" s="5">
        <v>1632.5</v>
      </c>
      <c r="E66" s="5"/>
    </row>
    <row r="67" spans="1:5">
      <c r="A67" s="7">
        <v>93150242</v>
      </c>
      <c r="B67" s="7" t="s">
        <v>1068</v>
      </c>
      <c r="C67" s="61">
        <v>3334</v>
      </c>
      <c r="D67" s="5">
        <v>1667</v>
      </c>
      <c r="E67" s="5"/>
    </row>
    <row r="68" spans="1:5">
      <c r="A68" s="7">
        <v>93150243</v>
      </c>
      <c r="B68" s="7" t="s">
        <v>1068</v>
      </c>
      <c r="C68" s="61">
        <v>3435</v>
      </c>
      <c r="D68" s="5">
        <v>1717.5</v>
      </c>
      <c r="E68" s="5"/>
    </row>
    <row r="69" spans="1:5">
      <c r="A69" s="7">
        <v>93150244</v>
      </c>
      <c r="B69" s="7" t="s">
        <v>1069</v>
      </c>
      <c r="C69" s="61">
        <v>3643</v>
      </c>
      <c r="D69" s="5">
        <v>1821.5</v>
      </c>
      <c r="E69" s="5"/>
    </row>
    <row r="70" spans="1:5">
      <c r="A70" s="7">
        <v>93150247</v>
      </c>
      <c r="B70" s="7" t="s">
        <v>1070</v>
      </c>
      <c r="C70" s="61">
        <v>4399</v>
      </c>
      <c r="D70" s="5">
        <v>2199.5</v>
      </c>
      <c r="E70" s="5"/>
    </row>
    <row r="71" spans="1:5">
      <c r="A71" s="7">
        <v>93150248</v>
      </c>
      <c r="B71" s="7" t="s">
        <v>1071</v>
      </c>
      <c r="C71" s="61">
        <v>4195</v>
      </c>
      <c r="D71" s="5">
        <v>2097.5</v>
      </c>
      <c r="E71" s="5"/>
    </row>
    <row r="72" spans="1:5">
      <c r="A72" s="7">
        <v>93150249</v>
      </c>
      <c r="B72" s="7" t="s">
        <v>1083</v>
      </c>
      <c r="C72" s="61">
        <v>4939</v>
      </c>
      <c r="D72" s="5">
        <v>2469.5</v>
      </c>
      <c r="E72" s="5"/>
    </row>
    <row r="73" spans="1:5">
      <c r="A73" s="7">
        <v>93150262</v>
      </c>
      <c r="B73" s="7" t="s">
        <v>1083</v>
      </c>
      <c r="C73" s="61">
        <v>5454</v>
      </c>
      <c r="D73" s="5">
        <v>2727</v>
      </c>
      <c r="E73" s="5"/>
    </row>
    <row r="74" spans="1:5">
      <c r="A74" s="7">
        <v>93150263</v>
      </c>
      <c r="B74" s="7" t="s">
        <v>1084</v>
      </c>
      <c r="C74" s="61">
        <v>5661</v>
      </c>
      <c r="D74" s="5">
        <v>2830.5</v>
      </c>
      <c r="E74" s="5"/>
    </row>
    <row r="75" spans="1:5">
      <c r="A75" s="7">
        <v>93150265</v>
      </c>
      <c r="B75" s="7" t="s">
        <v>1072</v>
      </c>
      <c r="C75" s="61">
        <v>3061</v>
      </c>
      <c r="D75" s="5">
        <v>1530.5</v>
      </c>
      <c r="E75" s="5"/>
    </row>
    <row r="76" spans="1:5">
      <c r="A76" s="7">
        <v>93150266</v>
      </c>
      <c r="B76" s="7" t="s">
        <v>1073</v>
      </c>
      <c r="C76" s="61">
        <v>3177</v>
      </c>
      <c r="D76" s="5">
        <v>1588.5</v>
      </c>
      <c r="E76" s="5"/>
    </row>
    <row r="77" spans="1:5">
      <c r="A77" s="7">
        <v>93150268</v>
      </c>
      <c r="B77" s="7" t="s">
        <v>1074</v>
      </c>
      <c r="C77" s="61">
        <v>3340</v>
      </c>
      <c r="D77" s="5">
        <v>1670</v>
      </c>
      <c r="E77" s="5"/>
    </row>
    <row r="78" spans="1:5">
      <c r="A78" s="7">
        <v>93150291</v>
      </c>
      <c r="B78" s="7" t="s">
        <v>1076</v>
      </c>
      <c r="C78" s="61">
        <v>3781</v>
      </c>
      <c r="D78" s="5">
        <v>1890.5</v>
      </c>
      <c r="E78" s="5"/>
    </row>
    <row r="79" spans="1:5">
      <c r="A79" s="7">
        <v>93150295</v>
      </c>
      <c r="B79" s="7" t="s">
        <v>1078</v>
      </c>
      <c r="C79" s="61">
        <v>4498</v>
      </c>
      <c r="D79" s="5">
        <v>2249</v>
      </c>
      <c r="E79" s="5"/>
    </row>
    <row r="80" spans="1:5">
      <c r="A80" s="7">
        <v>93150296</v>
      </c>
      <c r="B80" s="7" t="s">
        <v>1085</v>
      </c>
      <c r="C80" s="61">
        <v>5124</v>
      </c>
      <c r="D80" s="5">
        <v>2562</v>
      </c>
      <c r="E80" s="5"/>
    </row>
    <row r="81" spans="1:5">
      <c r="A81" s="7">
        <v>93150299</v>
      </c>
      <c r="B81" s="7" t="s">
        <v>1086</v>
      </c>
      <c r="C81" s="61">
        <v>5896</v>
      </c>
      <c r="D81" s="5">
        <v>2948</v>
      </c>
      <c r="E81" s="5"/>
    </row>
    <row r="82" spans="1:5">
      <c r="A82" s="7">
        <v>93150311</v>
      </c>
      <c r="B82" s="7" t="s">
        <v>1087</v>
      </c>
      <c r="C82" s="61">
        <v>6859</v>
      </c>
      <c r="D82" s="5">
        <v>3429.5</v>
      </c>
      <c r="E82" s="5"/>
    </row>
    <row r="83" spans="1:5">
      <c r="A83" s="7">
        <v>93150314</v>
      </c>
      <c r="B83" s="7" t="s">
        <v>1079</v>
      </c>
      <c r="C83" s="61">
        <v>3273</v>
      </c>
      <c r="D83" s="5">
        <v>1636.5</v>
      </c>
      <c r="E83" s="5"/>
    </row>
    <row r="84" spans="1:5">
      <c r="A84" s="7">
        <v>93150315</v>
      </c>
      <c r="B84" s="7" t="s">
        <v>1080</v>
      </c>
      <c r="C84" s="61">
        <v>3567</v>
      </c>
      <c r="D84" s="5">
        <v>1783.5</v>
      </c>
      <c r="E84" s="5"/>
    </row>
    <row r="85" spans="1:5">
      <c r="A85" s="7">
        <v>93150317</v>
      </c>
      <c r="B85" s="7" t="s">
        <v>1081</v>
      </c>
      <c r="C85" s="61">
        <v>3896</v>
      </c>
      <c r="D85" s="5">
        <v>1948</v>
      </c>
      <c r="E85" s="5"/>
    </row>
    <row r="86" spans="1:5">
      <c r="A86" s="7">
        <v>93150319</v>
      </c>
      <c r="B86" s="7" t="s">
        <v>1088</v>
      </c>
      <c r="C86" s="61">
        <v>4833</v>
      </c>
      <c r="D86" s="5">
        <v>2416.5</v>
      </c>
      <c r="E86" s="5"/>
    </row>
    <row r="87" spans="1:5">
      <c r="A87" s="7">
        <v>93150332</v>
      </c>
      <c r="B87" s="7" t="s">
        <v>1089</v>
      </c>
      <c r="C87" s="61">
        <v>5721</v>
      </c>
      <c r="D87" s="5">
        <v>2860.5</v>
      </c>
      <c r="E87" s="5"/>
    </row>
    <row r="88" spans="1:5">
      <c r="A88" s="7">
        <v>93150333</v>
      </c>
      <c r="B88" s="7" t="s">
        <v>1089</v>
      </c>
      <c r="C88" s="61">
        <v>6434</v>
      </c>
      <c r="D88" s="5">
        <v>3217</v>
      </c>
      <c r="E88" s="5"/>
    </row>
    <row r="89" spans="1:5">
      <c r="A89" s="7">
        <v>93150335</v>
      </c>
      <c r="B89" s="7" t="s">
        <v>1090</v>
      </c>
      <c r="C89" s="61">
        <v>7488</v>
      </c>
      <c r="D89" s="5">
        <v>3744</v>
      </c>
      <c r="E89" s="5"/>
    </row>
    <row r="90" spans="1:5">
      <c r="A90" s="7">
        <v>93150338</v>
      </c>
      <c r="B90" s="7" t="s">
        <v>1091</v>
      </c>
      <c r="C90" s="61">
        <v>9066</v>
      </c>
      <c r="D90" s="5">
        <v>4533</v>
      </c>
      <c r="E90" s="5"/>
    </row>
    <row r="91" spans="1:5">
      <c r="A91" s="7">
        <v>93151891</v>
      </c>
      <c r="B91" s="7" t="s">
        <v>1092</v>
      </c>
      <c r="C91" s="61">
        <v>3249</v>
      </c>
      <c r="D91" s="5">
        <v>1624.5</v>
      </c>
      <c r="E91" s="5"/>
    </row>
    <row r="92" spans="1:5">
      <c r="A92" s="7">
        <v>93151893</v>
      </c>
      <c r="B92" s="7" t="s">
        <v>1093</v>
      </c>
      <c r="C92" s="61">
        <v>3870</v>
      </c>
      <c r="D92" s="5">
        <v>1935</v>
      </c>
      <c r="E92" s="5"/>
    </row>
    <row r="93" spans="1:5">
      <c r="A93" s="7">
        <v>93151938</v>
      </c>
      <c r="B93" s="7" t="s">
        <v>1092</v>
      </c>
      <c r="C93" s="61">
        <v>3331</v>
      </c>
      <c r="D93" s="5">
        <v>1665.5</v>
      </c>
      <c r="E93" s="5"/>
    </row>
    <row r="94" spans="1:5">
      <c r="A94" s="7">
        <v>93151940</v>
      </c>
      <c r="B94" s="7" t="s">
        <v>1093</v>
      </c>
      <c r="C94" s="61">
        <v>3953</v>
      </c>
      <c r="D94" s="5">
        <v>1976.5</v>
      </c>
      <c r="E94" s="5"/>
    </row>
    <row r="95" spans="1:5">
      <c r="A95" s="7">
        <v>93151943</v>
      </c>
      <c r="B95" s="7" t="s">
        <v>1094</v>
      </c>
      <c r="C95" s="61">
        <v>4129</v>
      </c>
      <c r="D95" s="5">
        <v>2064.5</v>
      </c>
      <c r="E95" s="5"/>
    </row>
    <row r="96" spans="1:5">
      <c r="A96" s="7">
        <v>93151946</v>
      </c>
      <c r="B96" s="7" t="s">
        <v>1092</v>
      </c>
      <c r="C96" s="61">
        <v>3669</v>
      </c>
      <c r="D96" s="5">
        <v>1834.5</v>
      </c>
      <c r="E96" s="5"/>
    </row>
    <row r="97" spans="1:5">
      <c r="A97" s="7">
        <v>93151948</v>
      </c>
      <c r="B97" s="7" t="s">
        <v>1093</v>
      </c>
      <c r="C97" s="61">
        <v>4251</v>
      </c>
      <c r="D97" s="5">
        <v>2125.5</v>
      </c>
      <c r="E97" s="5"/>
    </row>
    <row r="98" spans="1:5">
      <c r="A98" s="7">
        <v>93151950</v>
      </c>
      <c r="B98" s="7" t="s">
        <v>1095</v>
      </c>
      <c r="C98" s="61">
        <v>5353</v>
      </c>
      <c r="D98" s="5">
        <v>2676.5</v>
      </c>
      <c r="E98" s="5"/>
    </row>
    <row r="99" spans="1:5">
      <c r="A99" s="7">
        <v>93151952</v>
      </c>
      <c r="B99" s="7" t="s">
        <v>1096</v>
      </c>
      <c r="C99" s="61">
        <v>5912</v>
      </c>
      <c r="D99" s="5">
        <v>2956</v>
      </c>
      <c r="E99" s="5"/>
    </row>
    <row r="100" spans="1:5">
      <c r="A100" s="7">
        <v>93151954</v>
      </c>
      <c r="B100" s="7" t="s">
        <v>1097</v>
      </c>
      <c r="C100" s="61">
        <v>6063</v>
      </c>
      <c r="D100" s="5">
        <v>3031.5</v>
      </c>
      <c r="E100" s="5"/>
    </row>
    <row r="101" spans="1:5">
      <c r="A101" s="7">
        <v>93151957</v>
      </c>
      <c r="B101" s="7" t="s">
        <v>1097</v>
      </c>
      <c r="C101" s="61">
        <v>6796</v>
      </c>
      <c r="D101" s="5">
        <v>3398</v>
      </c>
      <c r="E101" s="5"/>
    </row>
    <row r="102" spans="1:5">
      <c r="A102" s="7">
        <v>93151958</v>
      </c>
      <c r="B102" s="7" t="s">
        <v>1098</v>
      </c>
      <c r="C102" s="61">
        <v>7247</v>
      </c>
      <c r="D102" s="5">
        <v>3623.5</v>
      </c>
      <c r="E102" s="5"/>
    </row>
    <row r="103" spans="1:5">
      <c r="A103" s="7">
        <v>93151960</v>
      </c>
      <c r="B103" s="7" t="s">
        <v>1099</v>
      </c>
      <c r="C103" s="61">
        <v>8444</v>
      </c>
      <c r="D103" s="5">
        <v>4222</v>
      </c>
      <c r="E103" s="5"/>
    </row>
    <row r="104" spans="1:5">
      <c r="A104" s="7">
        <v>93151962</v>
      </c>
      <c r="B104" s="7" t="s">
        <v>1100</v>
      </c>
      <c r="C104" s="61">
        <v>8744</v>
      </c>
      <c r="D104" s="5">
        <v>4372</v>
      </c>
      <c r="E104" s="5"/>
    </row>
    <row r="105" spans="1:5">
      <c r="A105" s="7">
        <v>93151966</v>
      </c>
      <c r="B105" s="7" t="s">
        <v>1101</v>
      </c>
      <c r="C105" s="61">
        <v>10623</v>
      </c>
      <c r="D105" s="5">
        <v>5311.5</v>
      </c>
      <c r="E105" s="5"/>
    </row>
    <row r="106" spans="1:5">
      <c r="A106" s="7">
        <v>93151969</v>
      </c>
      <c r="B106" s="7" t="s">
        <v>1094</v>
      </c>
      <c r="C106" s="61">
        <v>4425</v>
      </c>
      <c r="D106" s="5">
        <v>2212.5</v>
      </c>
      <c r="E106" s="5"/>
    </row>
    <row r="107" spans="1:5">
      <c r="A107" s="7">
        <v>93151971</v>
      </c>
      <c r="B107" s="7" t="s">
        <v>1094</v>
      </c>
      <c r="C107" s="61">
        <v>4951</v>
      </c>
      <c r="D107" s="5">
        <v>2475.5</v>
      </c>
      <c r="E107" s="5"/>
    </row>
    <row r="108" spans="1:5">
      <c r="A108" s="7">
        <v>93151973</v>
      </c>
      <c r="B108" s="7" t="s">
        <v>1102</v>
      </c>
      <c r="C108" s="61">
        <v>5967</v>
      </c>
      <c r="D108" s="5">
        <v>2983.5</v>
      </c>
      <c r="E108" s="5"/>
    </row>
    <row r="109" spans="1:5">
      <c r="A109" s="7">
        <v>93151974</v>
      </c>
      <c r="B109" s="7" t="s">
        <v>1102</v>
      </c>
      <c r="C109" s="61">
        <v>6695</v>
      </c>
      <c r="D109" s="5">
        <v>3347.5</v>
      </c>
      <c r="E109" s="5"/>
    </row>
    <row r="110" spans="1:5">
      <c r="A110" s="7">
        <v>93151976</v>
      </c>
      <c r="B110" s="7" t="s">
        <v>1103</v>
      </c>
      <c r="C110" s="61">
        <v>7138</v>
      </c>
      <c r="D110" s="5">
        <v>3569</v>
      </c>
      <c r="E110" s="5"/>
    </row>
    <row r="111" spans="1:5">
      <c r="A111" s="7">
        <v>93151978</v>
      </c>
      <c r="B111" s="7" t="s">
        <v>1103</v>
      </c>
      <c r="C111" s="61">
        <v>7912</v>
      </c>
      <c r="D111" s="5">
        <v>3956</v>
      </c>
      <c r="E111" s="5"/>
    </row>
    <row r="112" spans="1:5">
      <c r="A112" s="7">
        <v>93151990</v>
      </c>
      <c r="B112" s="7" t="s">
        <v>1104</v>
      </c>
      <c r="C112" s="61">
        <v>8489</v>
      </c>
      <c r="D112" s="5">
        <v>4244.5</v>
      </c>
      <c r="E112" s="5"/>
    </row>
    <row r="113" spans="1:5">
      <c r="A113" s="7">
        <v>93151993</v>
      </c>
      <c r="B113" s="7" t="s">
        <v>1104</v>
      </c>
      <c r="C113" s="61">
        <v>9587</v>
      </c>
      <c r="D113" s="5">
        <v>4793.5</v>
      </c>
      <c r="E113" s="5"/>
    </row>
    <row r="114" spans="1:5">
      <c r="A114" s="7">
        <v>93151995</v>
      </c>
      <c r="B114" s="7" t="s">
        <v>1105</v>
      </c>
      <c r="C114" s="61">
        <v>10015</v>
      </c>
      <c r="D114" s="5">
        <v>5007.5</v>
      </c>
      <c r="E114" s="5"/>
    </row>
    <row r="115" spans="1:5">
      <c r="A115" s="7">
        <v>93151997</v>
      </c>
      <c r="B115" s="7" t="s">
        <v>1106</v>
      </c>
      <c r="C115" s="61">
        <v>12464</v>
      </c>
      <c r="D115" s="5">
        <v>6232</v>
      </c>
      <c r="E115" s="5"/>
    </row>
    <row r="116" spans="1:5">
      <c r="A116" s="7">
        <v>93151998</v>
      </c>
      <c r="B116" s="7" t="s">
        <v>1107</v>
      </c>
      <c r="C116" s="61">
        <v>12856</v>
      </c>
      <c r="D116" s="5">
        <v>6428</v>
      </c>
      <c r="E116" s="5"/>
    </row>
    <row r="117" spans="1:5">
      <c r="A117" s="7">
        <v>93152002</v>
      </c>
      <c r="B117" s="7" t="s">
        <v>1108</v>
      </c>
      <c r="C117" s="61">
        <v>15703</v>
      </c>
      <c r="D117" s="5">
        <v>7851.5</v>
      </c>
      <c r="E117" s="5"/>
    </row>
    <row r="118" spans="1:5">
      <c r="A118" s="7">
        <v>93152004</v>
      </c>
      <c r="B118" s="7" t="s">
        <v>1108</v>
      </c>
      <c r="C118" s="61">
        <v>14529</v>
      </c>
      <c r="D118" s="5">
        <v>7264.5</v>
      </c>
      <c r="E118" s="5"/>
    </row>
    <row r="119" spans="1:5">
      <c r="A119" s="7">
        <v>93152006</v>
      </c>
      <c r="B119" s="7" t="s">
        <v>1109</v>
      </c>
      <c r="C119" s="61">
        <v>5301</v>
      </c>
      <c r="D119" s="5">
        <v>2650.5</v>
      </c>
      <c r="E119" s="5"/>
    </row>
    <row r="120" spans="1:5">
      <c r="A120" s="7">
        <v>93152007</v>
      </c>
      <c r="B120" s="7" t="s">
        <v>1110</v>
      </c>
      <c r="C120" s="61">
        <v>7175</v>
      </c>
      <c r="D120" s="5">
        <v>3587.5</v>
      </c>
      <c r="E120" s="5"/>
    </row>
    <row r="121" spans="1:5">
      <c r="A121" s="7">
        <v>93152009</v>
      </c>
      <c r="B121" s="7" t="s">
        <v>1111</v>
      </c>
      <c r="C121" s="61">
        <v>8537</v>
      </c>
      <c r="D121" s="5">
        <v>4268.5</v>
      </c>
      <c r="E121" s="5"/>
    </row>
    <row r="122" spans="1:5">
      <c r="A122" s="7">
        <v>93152013</v>
      </c>
      <c r="B122" s="7" t="s">
        <v>1112</v>
      </c>
      <c r="C122" s="61">
        <v>10073</v>
      </c>
      <c r="D122" s="5">
        <v>5036.5</v>
      </c>
      <c r="E122" s="5"/>
    </row>
    <row r="123" spans="1:5">
      <c r="A123" s="7">
        <v>93152015</v>
      </c>
      <c r="B123" s="7" t="s">
        <v>1113</v>
      </c>
      <c r="C123" s="61">
        <v>12700</v>
      </c>
      <c r="D123" s="5">
        <v>6350</v>
      </c>
      <c r="E123" s="5"/>
    </row>
    <row r="124" spans="1:5">
      <c r="A124" s="7">
        <v>93152017</v>
      </c>
      <c r="B124" s="7" t="s">
        <v>1114</v>
      </c>
      <c r="C124" s="61">
        <v>12934</v>
      </c>
      <c r="D124" s="5">
        <v>6467</v>
      </c>
      <c r="E124" s="5"/>
    </row>
    <row r="125" spans="1:5">
      <c r="A125" s="7">
        <v>93152018</v>
      </c>
      <c r="B125" s="7" t="s">
        <v>1115</v>
      </c>
      <c r="C125" s="61">
        <v>15572</v>
      </c>
      <c r="D125" s="5">
        <v>7786</v>
      </c>
      <c r="E125" s="5"/>
    </row>
    <row r="126" spans="1:5">
      <c r="A126" s="7">
        <v>93152020</v>
      </c>
      <c r="B126" s="7" t="s">
        <v>1116</v>
      </c>
      <c r="C126" s="61">
        <v>15805</v>
      </c>
      <c r="D126" s="5">
        <v>7902.5</v>
      </c>
      <c r="E126" s="5"/>
    </row>
    <row r="127" spans="1:5">
      <c r="A127" s="7">
        <v>93156066</v>
      </c>
      <c r="B127" s="7" t="s">
        <v>1117</v>
      </c>
      <c r="C127" s="61">
        <v>12863</v>
      </c>
      <c r="D127" s="5">
        <v>6431.5</v>
      </c>
      <c r="E127" s="5"/>
    </row>
    <row r="128" spans="1:5">
      <c r="A128" s="7">
        <v>93156161</v>
      </c>
      <c r="B128" s="7" t="s">
        <v>1118</v>
      </c>
      <c r="C128" s="61">
        <v>18778</v>
      </c>
      <c r="D128" s="5">
        <v>9389</v>
      </c>
      <c r="E128" s="5"/>
    </row>
    <row r="129" spans="1:5">
      <c r="A129" s="7">
        <v>93253679</v>
      </c>
      <c r="B129" s="7" t="s">
        <v>1119</v>
      </c>
      <c r="C129" s="61">
        <v>28052</v>
      </c>
      <c r="D129" s="5">
        <v>14026</v>
      </c>
      <c r="E129" s="5"/>
    </row>
    <row r="130" spans="1:5">
      <c r="A130" s="7">
        <v>93439376</v>
      </c>
      <c r="B130" s="7" t="s">
        <v>1120</v>
      </c>
      <c r="C130" s="61">
        <v>31261</v>
      </c>
      <c r="D130" s="5">
        <v>15630.5</v>
      </c>
      <c r="E130" s="5"/>
    </row>
    <row r="131" spans="1:5">
      <c r="A131" s="7">
        <v>93440129</v>
      </c>
      <c r="B131" s="7" t="s">
        <v>1121</v>
      </c>
      <c r="C131" s="61">
        <v>31648</v>
      </c>
      <c r="D131" s="5">
        <v>15824</v>
      </c>
      <c r="E131" s="5"/>
    </row>
    <row r="132" spans="1:5">
      <c r="A132" s="7">
        <v>93440699</v>
      </c>
      <c r="B132" s="7" t="s">
        <v>1122</v>
      </c>
      <c r="C132" s="61">
        <v>29629</v>
      </c>
      <c r="D132" s="5">
        <v>14814.5</v>
      </c>
      <c r="E132" s="5"/>
    </row>
    <row r="133" spans="1:5">
      <c r="A133" s="7">
        <v>93440880</v>
      </c>
      <c r="B133" s="7" t="s">
        <v>1123</v>
      </c>
      <c r="C133" s="61">
        <v>30595</v>
      </c>
      <c r="D133" s="5">
        <v>15297.5</v>
      </c>
      <c r="E133" s="5"/>
    </row>
    <row r="134" spans="1:5">
      <c r="A134" s="7">
        <v>93440881</v>
      </c>
      <c r="B134" s="7" t="s">
        <v>1124</v>
      </c>
      <c r="C134" s="61">
        <v>29693</v>
      </c>
      <c r="D134" s="5">
        <v>14846.5</v>
      </c>
      <c r="E134" s="5"/>
    </row>
    <row r="135" spans="1:5">
      <c r="A135" s="7">
        <v>93440882</v>
      </c>
      <c r="B135" s="7" t="s">
        <v>1125</v>
      </c>
      <c r="C135" s="61">
        <v>29305</v>
      </c>
      <c r="D135" s="5">
        <v>14652.5</v>
      </c>
      <c r="E135" s="5"/>
    </row>
    <row r="136" spans="1:5">
      <c r="A136" s="7">
        <v>93440883</v>
      </c>
      <c r="B136" s="7" t="s">
        <v>1119</v>
      </c>
      <c r="C136" s="61">
        <v>27370</v>
      </c>
      <c r="D136" s="5">
        <v>13685</v>
      </c>
      <c r="E136" s="5"/>
    </row>
    <row r="137" spans="1:5">
      <c r="A137" s="7">
        <v>93440884</v>
      </c>
      <c r="B137" s="7" t="s">
        <v>1126</v>
      </c>
      <c r="C137" s="61">
        <v>27305</v>
      </c>
      <c r="D137" s="5">
        <v>13652.5</v>
      </c>
      <c r="E137" s="5"/>
    </row>
    <row r="138" spans="1:5">
      <c r="A138" s="7">
        <v>99237517</v>
      </c>
      <c r="B138" s="7" t="s">
        <v>1127</v>
      </c>
      <c r="C138" s="61">
        <v>7207</v>
      </c>
      <c r="D138" s="5">
        <v>3603.5</v>
      </c>
      <c r="E138" s="5"/>
    </row>
    <row r="139" spans="1:5">
      <c r="A139" s="7">
        <v>99237518</v>
      </c>
      <c r="B139" s="7" t="s">
        <v>1128</v>
      </c>
      <c r="C139" s="61">
        <v>8007</v>
      </c>
      <c r="D139" s="5">
        <v>4003.5</v>
      </c>
      <c r="E139" s="5"/>
    </row>
    <row r="140" spans="1:5">
      <c r="A140" s="7">
        <v>99237519</v>
      </c>
      <c r="B140" s="7" t="s">
        <v>1129</v>
      </c>
      <c r="C140" s="61">
        <v>11411</v>
      </c>
      <c r="D140" s="5">
        <v>5705.5</v>
      </c>
      <c r="E140" s="5"/>
    </row>
    <row r="141" spans="1:5">
      <c r="A141" s="7">
        <v>99237520</v>
      </c>
      <c r="B141" s="7" t="s">
        <v>1130</v>
      </c>
      <c r="C141" s="61">
        <v>13741</v>
      </c>
      <c r="D141" s="5">
        <v>6870.5</v>
      </c>
      <c r="E141" s="5"/>
    </row>
    <row r="142" spans="1:5">
      <c r="A142" s="7">
        <v>99237522</v>
      </c>
      <c r="B142" s="7" t="s">
        <v>1131</v>
      </c>
      <c r="C142" s="61">
        <v>17992</v>
      </c>
      <c r="D142" s="5">
        <v>8996</v>
      </c>
      <c r="E142" s="5"/>
    </row>
    <row r="143" spans="1:5">
      <c r="A143" s="7">
        <v>99237526</v>
      </c>
      <c r="B143" s="7" t="s">
        <v>1132</v>
      </c>
      <c r="C143" s="61">
        <v>11186</v>
      </c>
      <c r="D143" s="5">
        <v>5593</v>
      </c>
      <c r="E143" s="5"/>
    </row>
    <row r="144" spans="1:5">
      <c r="A144" s="7">
        <v>99237527</v>
      </c>
      <c r="B144" s="7" t="s">
        <v>1133</v>
      </c>
      <c r="C144" s="61">
        <v>13484</v>
      </c>
      <c r="D144" s="5">
        <v>6742</v>
      </c>
      <c r="E144" s="5"/>
    </row>
    <row r="145" spans="1:5">
      <c r="A145" s="7">
        <v>99237528</v>
      </c>
      <c r="B145" s="7" t="s">
        <v>1134</v>
      </c>
      <c r="C145" s="61">
        <v>17490</v>
      </c>
      <c r="D145" s="5">
        <v>8745</v>
      </c>
      <c r="E145" s="5"/>
    </row>
    <row r="146" spans="1:5">
      <c r="A146" s="7">
        <v>99237530</v>
      </c>
      <c r="B146" s="7" t="s">
        <v>1135</v>
      </c>
      <c r="C146" s="61">
        <v>17490</v>
      </c>
      <c r="D146" s="5">
        <v>8745</v>
      </c>
      <c r="E146" s="5"/>
    </row>
    <row r="147" spans="1:5">
      <c r="A147" s="7">
        <v>99237531</v>
      </c>
      <c r="B147" s="7" t="s">
        <v>1136</v>
      </c>
      <c r="C147" s="61">
        <v>13315</v>
      </c>
      <c r="D147" s="5">
        <v>6657.5</v>
      </c>
      <c r="E147" s="5"/>
    </row>
    <row r="148" spans="1:5">
      <c r="A148" s="7">
        <v>99237532</v>
      </c>
      <c r="B148" s="7" t="s">
        <v>1137</v>
      </c>
      <c r="C148" s="61">
        <v>17822</v>
      </c>
      <c r="D148" s="5">
        <v>8911</v>
      </c>
      <c r="E148" s="5"/>
    </row>
    <row r="149" spans="1:5">
      <c r="A149" s="7">
        <v>99707619</v>
      </c>
      <c r="B149" s="7" t="s">
        <v>1138</v>
      </c>
      <c r="C149" s="61">
        <v>16712</v>
      </c>
      <c r="D149" s="5">
        <v>8356</v>
      </c>
      <c r="E14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Q1000"/>
  <sheetViews>
    <sheetView workbookViewId="0"/>
  </sheetViews>
  <sheetFormatPr defaultColWidth="12.5703125" defaultRowHeight="15.75" customHeight="1"/>
  <sheetData>
    <row r="1" spans="1:17">
      <c r="A1" s="7" t="s">
        <v>66</v>
      </c>
      <c r="B1" s="7" t="s">
        <v>8</v>
      </c>
      <c r="C1" s="7" t="s">
        <v>701</v>
      </c>
      <c r="D1" s="7" t="s">
        <v>288</v>
      </c>
      <c r="E1" s="7" t="s">
        <v>703</v>
      </c>
      <c r="F1" s="7" t="s">
        <v>705</v>
      </c>
      <c r="G1" s="7" t="s">
        <v>722</v>
      </c>
      <c r="H1" s="7" t="s">
        <v>723</v>
      </c>
      <c r="I1" s="7" t="s">
        <v>695</v>
      </c>
      <c r="J1" s="7" t="s">
        <v>706</v>
      </c>
      <c r="K1" s="7" t="s">
        <v>724</v>
      </c>
      <c r="L1" s="8" t="s">
        <v>725</v>
      </c>
      <c r="M1" s="7" t="s">
        <v>726</v>
      </c>
      <c r="N1" s="7" t="s">
        <v>727</v>
      </c>
      <c r="O1" s="7" t="s">
        <v>728</v>
      </c>
      <c r="P1" s="7" t="s">
        <v>729</v>
      </c>
      <c r="Q1" s="7" t="s">
        <v>773</v>
      </c>
    </row>
    <row r="2" spans="1:17">
      <c r="A2" s="7">
        <v>92899847</v>
      </c>
      <c r="B2" s="7" t="s">
        <v>1139</v>
      </c>
      <c r="C2" s="61">
        <v>1526</v>
      </c>
      <c r="D2" s="5">
        <v>763</v>
      </c>
      <c r="E2" s="5"/>
      <c r="F2" s="5"/>
      <c r="G2" s="5">
        <v>520</v>
      </c>
      <c r="H2" s="5"/>
      <c r="I2" s="5"/>
      <c r="J2" s="5"/>
      <c r="K2" s="5">
        <v>11.83</v>
      </c>
      <c r="L2" s="8">
        <v>4</v>
      </c>
      <c r="M2" s="5">
        <f t="shared" ref="M2:M159" si="0">K2*L2</f>
        <v>47.32</v>
      </c>
      <c r="N2" s="5"/>
      <c r="O2" s="5"/>
      <c r="P2" s="5"/>
      <c r="Q2" s="5"/>
    </row>
    <row r="3" spans="1:17">
      <c r="A3" s="7">
        <v>92899848</v>
      </c>
      <c r="B3" s="7" t="s">
        <v>1140</v>
      </c>
      <c r="C3" s="61">
        <v>1574</v>
      </c>
      <c r="D3" s="5">
        <v>787</v>
      </c>
      <c r="E3" s="5"/>
      <c r="F3" s="5"/>
      <c r="G3" s="5">
        <v>520</v>
      </c>
      <c r="H3" s="5"/>
      <c r="I3" s="5"/>
      <c r="J3" s="5"/>
      <c r="K3" s="5">
        <v>11.83</v>
      </c>
      <c r="L3" s="8">
        <v>4</v>
      </c>
      <c r="M3" s="5">
        <f t="shared" si="0"/>
        <v>47.32</v>
      </c>
      <c r="N3" s="5"/>
      <c r="O3" s="5"/>
      <c r="P3" s="5"/>
      <c r="Q3" s="5"/>
    </row>
    <row r="4" spans="1:17">
      <c r="A4" s="7">
        <v>92899849</v>
      </c>
      <c r="B4" s="7" t="s">
        <v>1141</v>
      </c>
      <c r="C4" s="61">
        <v>1621</v>
      </c>
      <c r="D4" s="5">
        <v>810.5</v>
      </c>
      <c r="E4" s="5"/>
      <c r="F4" s="5"/>
      <c r="G4" s="5">
        <v>520</v>
      </c>
      <c r="H4" s="5"/>
      <c r="I4" s="5"/>
      <c r="J4" s="5"/>
      <c r="K4" s="5">
        <v>11.83</v>
      </c>
      <c r="L4" s="8">
        <v>4</v>
      </c>
      <c r="M4" s="5">
        <f t="shared" si="0"/>
        <v>47.32</v>
      </c>
      <c r="N4" s="5"/>
      <c r="O4" s="5"/>
      <c r="P4" s="5"/>
      <c r="Q4" s="5"/>
    </row>
    <row r="5" spans="1:17">
      <c r="A5" s="7">
        <v>92899850</v>
      </c>
      <c r="B5" s="7" t="s">
        <v>1142</v>
      </c>
      <c r="C5" s="61">
        <v>1668</v>
      </c>
      <c r="D5" s="5">
        <v>834</v>
      </c>
      <c r="E5" s="5"/>
      <c r="F5" s="5"/>
      <c r="G5" s="5">
        <v>520</v>
      </c>
      <c r="H5" s="5"/>
      <c r="I5" s="5"/>
      <c r="J5" s="5"/>
      <c r="K5" s="5">
        <v>11.83</v>
      </c>
      <c r="L5" s="8">
        <v>4</v>
      </c>
      <c r="M5" s="5">
        <f t="shared" si="0"/>
        <v>47.32</v>
      </c>
      <c r="N5" s="5"/>
      <c r="O5" s="5"/>
      <c r="P5" s="5"/>
      <c r="Q5" s="5"/>
    </row>
    <row r="6" spans="1:17">
      <c r="A6" s="7">
        <v>92899851</v>
      </c>
      <c r="B6" s="7" t="s">
        <v>1143</v>
      </c>
      <c r="C6" s="61">
        <v>1716</v>
      </c>
      <c r="D6" s="5">
        <v>858</v>
      </c>
      <c r="E6" s="5"/>
      <c r="F6" s="5"/>
      <c r="G6" s="5">
        <v>520</v>
      </c>
      <c r="H6" s="5"/>
      <c r="I6" s="5"/>
      <c r="J6" s="5"/>
      <c r="K6" s="5">
        <v>11.83</v>
      </c>
      <c r="L6" s="8">
        <v>4</v>
      </c>
      <c r="M6" s="5">
        <f t="shared" si="0"/>
        <v>47.32</v>
      </c>
      <c r="N6" s="5"/>
      <c r="O6" s="5"/>
      <c r="P6" s="5"/>
      <c r="Q6" s="5"/>
    </row>
    <row r="7" spans="1:17">
      <c r="A7" s="7">
        <v>92899852</v>
      </c>
      <c r="B7" s="7" t="s">
        <v>1144</v>
      </c>
      <c r="C7" s="61">
        <v>1763</v>
      </c>
      <c r="D7" s="5">
        <v>881.5</v>
      </c>
      <c r="E7" s="5"/>
      <c r="F7" s="5"/>
      <c r="G7" s="5">
        <v>520</v>
      </c>
      <c r="H7" s="5"/>
      <c r="I7" s="5"/>
      <c r="J7" s="5"/>
      <c r="K7" s="5">
        <v>11.83</v>
      </c>
      <c r="L7" s="8">
        <v>4</v>
      </c>
      <c r="M7" s="5">
        <f t="shared" si="0"/>
        <v>47.32</v>
      </c>
      <c r="N7" s="5"/>
      <c r="O7" s="5"/>
      <c r="P7" s="5"/>
      <c r="Q7" s="5"/>
    </row>
    <row r="8" spans="1:17">
      <c r="A8" s="7">
        <v>92899853</v>
      </c>
      <c r="B8" s="7" t="s">
        <v>1145</v>
      </c>
      <c r="C8" s="61">
        <v>1812</v>
      </c>
      <c r="D8" s="5">
        <v>906</v>
      </c>
      <c r="E8" s="5"/>
      <c r="F8" s="5"/>
      <c r="G8" s="5">
        <v>520</v>
      </c>
      <c r="H8" s="5"/>
      <c r="I8" s="5"/>
      <c r="J8" s="5"/>
      <c r="K8" s="5">
        <v>11.83</v>
      </c>
      <c r="L8" s="8">
        <v>4</v>
      </c>
      <c r="M8" s="5">
        <f t="shared" si="0"/>
        <v>47.32</v>
      </c>
      <c r="N8" s="5"/>
      <c r="O8" s="5"/>
      <c r="P8" s="5"/>
      <c r="Q8" s="5"/>
    </row>
    <row r="9" spans="1:17">
      <c r="A9" s="7">
        <v>92899854</v>
      </c>
      <c r="B9" s="7" t="s">
        <v>1146</v>
      </c>
      <c r="C9" s="61">
        <v>1859</v>
      </c>
      <c r="D9" s="5">
        <v>929.5</v>
      </c>
      <c r="E9" s="5"/>
      <c r="F9" s="5"/>
      <c r="G9" s="5">
        <v>520</v>
      </c>
      <c r="H9" s="5"/>
      <c r="I9" s="5"/>
      <c r="J9" s="5"/>
      <c r="K9" s="5">
        <v>11.83</v>
      </c>
      <c r="L9" s="8">
        <v>4</v>
      </c>
      <c r="M9" s="5">
        <f t="shared" si="0"/>
        <v>47.32</v>
      </c>
      <c r="N9" s="5"/>
      <c r="O9" s="5"/>
      <c r="P9" s="5"/>
      <c r="Q9" s="5"/>
    </row>
    <row r="10" spans="1:17">
      <c r="A10" s="7">
        <v>92899855</v>
      </c>
      <c r="B10" s="7" t="s">
        <v>1147</v>
      </c>
      <c r="C10" s="61">
        <v>1904</v>
      </c>
      <c r="D10" s="5">
        <v>952</v>
      </c>
      <c r="E10" s="5"/>
      <c r="F10" s="5"/>
      <c r="G10" s="5">
        <v>520</v>
      </c>
      <c r="H10" s="5"/>
      <c r="I10" s="5"/>
      <c r="J10" s="5"/>
      <c r="K10" s="5">
        <v>11.83</v>
      </c>
      <c r="L10" s="8">
        <v>4</v>
      </c>
      <c r="M10" s="5">
        <f t="shared" si="0"/>
        <v>47.32</v>
      </c>
      <c r="N10" s="5"/>
      <c r="O10" s="5"/>
      <c r="P10" s="5"/>
      <c r="Q10" s="5"/>
    </row>
    <row r="11" spans="1:17">
      <c r="A11" s="7">
        <v>92899856</v>
      </c>
      <c r="B11" s="7" t="s">
        <v>1148</v>
      </c>
      <c r="C11" s="61">
        <v>1952</v>
      </c>
      <c r="D11" s="5">
        <v>976</v>
      </c>
      <c r="E11" s="5"/>
      <c r="F11" s="5"/>
      <c r="G11" s="5">
        <v>520</v>
      </c>
      <c r="H11" s="5"/>
      <c r="I11" s="5"/>
      <c r="J11" s="5"/>
      <c r="K11" s="5">
        <v>11.83</v>
      </c>
      <c r="L11" s="8">
        <v>4</v>
      </c>
      <c r="M11" s="5">
        <f t="shared" si="0"/>
        <v>47.32</v>
      </c>
      <c r="N11" s="5"/>
      <c r="O11" s="5"/>
      <c r="P11" s="5"/>
      <c r="Q11" s="5"/>
    </row>
    <row r="12" spans="1:17">
      <c r="A12" s="7">
        <v>92899857</v>
      </c>
      <c r="B12" s="7" t="s">
        <v>1149</v>
      </c>
      <c r="C12" s="61">
        <v>1999</v>
      </c>
      <c r="D12" s="5">
        <v>999.5</v>
      </c>
      <c r="E12" s="5"/>
      <c r="F12" s="5"/>
      <c r="G12" s="5">
        <v>520</v>
      </c>
      <c r="H12" s="5"/>
      <c r="I12" s="5"/>
      <c r="J12" s="5"/>
      <c r="K12" s="5">
        <v>11.83</v>
      </c>
      <c r="L12" s="8">
        <v>4</v>
      </c>
      <c r="M12" s="5">
        <f t="shared" si="0"/>
        <v>47.32</v>
      </c>
      <c r="N12" s="5"/>
      <c r="O12" s="5"/>
      <c r="P12" s="5"/>
      <c r="Q12" s="5"/>
    </row>
    <row r="13" spans="1:17">
      <c r="A13" s="7">
        <v>92899858</v>
      </c>
      <c r="B13" s="7" t="s">
        <v>1150</v>
      </c>
      <c r="C13" s="61">
        <v>2047</v>
      </c>
      <c r="D13" s="5">
        <v>1023.5</v>
      </c>
      <c r="E13" s="5"/>
      <c r="F13" s="5"/>
      <c r="G13" s="5">
        <v>520</v>
      </c>
      <c r="H13" s="5"/>
      <c r="I13" s="5"/>
      <c r="J13" s="5"/>
      <c r="K13" s="5">
        <v>11.83</v>
      </c>
      <c r="L13" s="8">
        <v>4</v>
      </c>
      <c r="M13" s="5">
        <f t="shared" si="0"/>
        <v>47.32</v>
      </c>
      <c r="N13" s="5"/>
      <c r="O13" s="5"/>
      <c r="P13" s="5"/>
      <c r="Q13" s="5"/>
    </row>
    <row r="14" spans="1:17">
      <c r="A14" s="7">
        <v>92899859</v>
      </c>
      <c r="B14" s="7" t="s">
        <v>1151</v>
      </c>
      <c r="C14" s="61">
        <v>2228</v>
      </c>
      <c r="D14" s="5">
        <v>1114</v>
      </c>
      <c r="E14" s="5"/>
      <c r="F14" s="5"/>
      <c r="G14" s="5">
        <v>520</v>
      </c>
      <c r="H14" s="5"/>
      <c r="I14" s="5"/>
      <c r="J14" s="5"/>
      <c r="K14" s="5">
        <v>11.83</v>
      </c>
      <c r="L14" s="8">
        <v>4</v>
      </c>
      <c r="M14" s="5">
        <f t="shared" si="0"/>
        <v>47.32</v>
      </c>
      <c r="N14" s="5"/>
      <c r="O14" s="5"/>
      <c r="P14" s="5"/>
      <c r="Q14" s="5"/>
    </row>
    <row r="15" spans="1:17">
      <c r="A15" s="7">
        <v>92899860</v>
      </c>
      <c r="B15" s="7" t="s">
        <v>1152</v>
      </c>
      <c r="C15" s="61">
        <v>2302</v>
      </c>
      <c r="D15" s="5">
        <v>1151</v>
      </c>
      <c r="E15" s="5"/>
      <c r="F15" s="5"/>
      <c r="G15" s="5">
        <v>520</v>
      </c>
      <c r="H15" s="5"/>
      <c r="I15" s="5"/>
      <c r="J15" s="5"/>
      <c r="K15" s="5">
        <v>11.83</v>
      </c>
      <c r="L15" s="8">
        <v>4</v>
      </c>
      <c r="M15" s="5">
        <f t="shared" si="0"/>
        <v>47.32</v>
      </c>
      <c r="N15" s="5"/>
      <c r="O15" s="5"/>
      <c r="P15" s="5"/>
      <c r="Q15" s="5"/>
    </row>
    <row r="16" spans="1:17">
      <c r="A16" s="7">
        <v>92899861</v>
      </c>
      <c r="B16" s="7" t="s">
        <v>1153</v>
      </c>
      <c r="C16" s="61">
        <v>2423</v>
      </c>
      <c r="D16" s="5">
        <v>1211.5</v>
      </c>
      <c r="E16" s="5"/>
      <c r="F16" s="5"/>
      <c r="G16" s="5">
        <v>520</v>
      </c>
      <c r="H16" s="5"/>
      <c r="I16" s="5"/>
      <c r="J16" s="5"/>
      <c r="K16" s="5">
        <v>11.83</v>
      </c>
      <c r="L16" s="8">
        <v>4</v>
      </c>
      <c r="M16" s="5">
        <f t="shared" si="0"/>
        <v>47.32</v>
      </c>
      <c r="N16" s="5"/>
      <c r="O16" s="5"/>
      <c r="P16" s="5"/>
      <c r="Q16" s="5"/>
    </row>
    <row r="17" spans="1:17">
      <c r="A17" s="7">
        <v>92899862</v>
      </c>
      <c r="B17" s="7" t="s">
        <v>1154</v>
      </c>
      <c r="C17" s="61">
        <v>2712</v>
      </c>
      <c r="D17" s="5">
        <v>1356</v>
      </c>
      <c r="E17" s="5"/>
      <c r="F17" s="5"/>
      <c r="G17" s="5">
        <v>520</v>
      </c>
      <c r="H17" s="5"/>
      <c r="I17" s="5"/>
      <c r="J17" s="5"/>
      <c r="K17" s="5">
        <v>11.83</v>
      </c>
      <c r="L17" s="8">
        <v>4</v>
      </c>
      <c r="M17" s="5">
        <f t="shared" si="0"/>
        <v>47.32</v>
      </c>
      <c r="N17" s="5"/>
      <c r="O17" s="5"/>
      <c r="P17" s="5"/>
      <c r="Q17" s="5"/>
    </row>
    <row r="18" spans="1:17">
      <c r="A18" s="7">
        <v>92899863</v>
      </c>
      <c r="B18" s="7" t="s">
        <v>1155</v>
      </c>
      <c r="C18" s="61">
        <v>2833</v>
      </c>
      <c r="D18" s="5">
        <v>1416.5</v>
      </c>
      <c r="E18" s="5"/>
      <c r="F18" s="5"/>
      <c r="G18" s="5">
        <v>520</v>
      </c>
      <c r="H18" s="5"/>
      <c r="I18" s="5"/>
      <c r="J18" s="5"/>
      <c r="K18" s="5">
        <v>11.83</v>
      </c>
      <c r="L18" s="8">
        <v>4</v>
      </c>
      <c r="M18" s="5">
        <f t="shared" si="0"/>
        <v>47.32</v>
      </c>
      <c r="N18" s="5"/>
      <c r="O18" s="5"/>
      <c r="P18" s="5"/>
      <c r="Q18" s="5"/>
    </row>
    <row r="19" spans="1:17">
      <c r="A19" s="7">
        <v>92899864</v>
      </c>
      <c r="B19" s="7" t="s">
        <v>1156</v>
      </c>
      <c r="C19" s="61">
        <v>2954</v>
      </c>
      <c r="D19" s="5">
        <v>1477</v>
      </c>
      <c r="E19" s="5"/>
      <c r="F19" s="5"/>
      <c r="G19" s="5">
        <v>520</v>
      </c>
      <c r="H19" s="5"/>
      <c r="I19" s="5"/>
      <c r="J19" s="5"/>
      <c r="K19" s="5">
        <v>11.83</v>
      </c>
      <c r="L19" s="8">
        <v>4</v>
      </c>
      <c r="M19" s="5">
        <f t="shared" si="0"/>
        <v>47.32</v>
      </c>
      <c r="N19" s="5"/>
      <c r="O19" s="5"/>
      <c r="P19" s="5"/>
      <c r="Q19" s="5"/>
    </row>
    <row r="20" spans="1:17">
      <c r="A20" s="7">
        <v>92899941</v>
      </c>
      <c r="B20" s="7" t="s">
        <v>1139</v>
      </c>
      <c r="C20" s="61">
        <v>1624</v>
      </c>
      <c r="D20" s="5">
        <v>812</v>
      </c>
      <c r="E20" s="5"/>
      <c r="F20" s="5"/>
      <c r="G20" s="5">
        <v>520</v>
      </c>
      <c r="H20" s="5"/>
      <c r="I20" s="5"/>
      <c r="J20" s="5"/>
      <c r="K20" s="5">
        <v>11.83</v>
      </c>
      <c r="L20" s="8">
        <v>4</v>
      </c>
      <c r="M20" s="5">
        <f t="shared" si="0"/>
        <v>47.32</v>
      </c>
      <c r="N20" s="5"/>
      <c r="O20" s="5"/>
      <c r="P20" s="5"/>
      <c r="Q20" s="5"/>
    </row>
    <row r="21" spans="1:17">
      <c r="A21" s="7">
        <v>92899942</v>
      </c>
      <c r="B21" s="7" t="s">
        <v>1140</v>
      </c>
      <c r="C21" s="61">
        <v>1672</v>
      </c>
      <c r="D21" s="5">
        <v>836</v>
      </c>
      <c r="E21" s="5"/>
      <c r="F21" s="5"/>
      <c r="G21" s="5">
        <v>520</v>
      </c>
      <c r="H21" s="5"/>
      <c r="I21" s="5"/>
      <c r="J21" s="5"/>
      <c r="K21" s="5">
        <v>11.83</v>
      </c>
      <c r="L21" s="8">
        <v>4</v>
      </c>
      <c r="M21" s="5">
        <f t="shared" si="0"/>
        <v>47.32</v>
      </c>
      <c r="N21" s="5"/>
      <c r="O21" s="5"/>
      <c r="P21" s="5"/>
      <c r="Q21" s="5"/>
    </row>
    <row r="22" spans="1:17">
      <c r="A22" s="7">
        <v>92899943</v>
      </c>
      <c r="B22" s="7" t="s">
        <v>1141</v>
      </c>
      <c r="C22" s="61">
        <v>1719</v>
      </c>
      <c r="D22" s="5">
        <v>859.5</v>
      </c>
      <c r="E22" s="5"/>
      <c r="F22" s="5"/>
      <c r="G22" s="5">
        <v>520</v>
      </c>
      <c r="H22" s="5"/>
      <c r="I22" s="5"/>
      <c r="J22" s="5"/>
      <c r="K22" s="5">
        <v>11.83</v>
      </c>
      <c r="L22" s="8">
        <v>4</v>
      </c>
      <c r="M22" s="5">
        <f t="shared" si="0"/>
        <v>47.32</v>
      </c>
      <c r="N22" s="5"/>
      <c r="O22" s="5"/>
      <c r="P22" s="5"/>
      <c r="Q22" s="5"/>
    </row>
    <row r="23" spans="1:17">
      <c r="A23" s="7">
        <v>92899944</v>
      </c>
      <c r="B23" s="7" t="s">
        <v>1142</v>
      </c>
      <c r="C23" s="61">
        <v>1765</v>
      </c>
      <c r="D23" s="5">
        <v>882.5</v>
      </c>
      <c r="E23" s="5"/>
      <c r="F23" s="5"/>
      <c r="G23" s="5">
        <v>520</v>
      </c>
      <c r="H23" s="5"/>
      <c r="I23" s="5"/>
      <c r="J23" s="5"/>
      <c r="K23" s="5">
        <v>11.83</v>
      </c>
      <c r="L23" s="8">
        <v>4</v>
      </c>
      <c r="M23" s="5">
        <f t="shared" si="0"/>
        <v>47.32</v>
      </c>
      <c r="N23" s="5"/>
      <c r="O23" s="5"/>
      <c r="P23" s="5"/>
      <c r="Q23" s="5"/>
    </row>
    <row r="24" spans="1:17">
      <c r="A24" s="7">
        <v>92899945</v>
      </c>
      <c r="B24" s="7" t="s">
        <v>1143</v>
      </c>
      <c r="C24" s="61">
        <v>1814</v>
      </c>
      <c r="D24" s="5">
        <v>907</v>
      </c>
      <c r="E24" s="5"/>
      <c r="F24" s="5"/>
      <c r="G24" s="5">
        <v>520</v>
      </c>
      <c r="H24" s="5"/>
      <c r="I24" s="5"/>
      <c r="J24" s="5"/>
      <c r="K24" s="5">
        <v>11.83</v>
      </c>
      <c r="L24" s="8">
        <v>4</v>
      </c>
      <c r="M24" s="5">
        <f t="shared" si="0"/>
        <v>47.32</v>
      </c>
      <c r="N24" s="5"/>
      <c r="O24" s="5"/>
      <c r="P24" s="5"/>
      <c r="Q24" s="5"/>
    </row>
    <row r="25" spans="1:17">
      <c r="A25" s="7">
        <v>92899946</v>
      </c>
      <c r="B25" s="7" t="s">
        <v>1144</v>
      </c>
      <c r="C25" s="61">
        <v>1861</v>
      </c>
      <c r="D25" s="5">
        <v>930.5</v>
      </c>
      <c r="E25" s="5"/>
      <c r="F25" s="5"/>
      <c r="G25" s="5">
        <v>520</v>
      </c>
      <c r="H25" s="5"/>
      <c r="I25" s="5"/>
      <c r="J25" s="5"/>
      <c r="K25" s="5">
        <v>11.83</v>
      </c>
      <c r="L25" s="8">
        <v>4</v>
      </c>
      <c r="M25" s="5">
        <f t="shared" si="0"/>
        <v>47.32</v>
      </c>
      <c r="N25" s="5"/>
      <c r="O25" s="5"/>
      <c r="P25" s="5"/>
      <c r="Q25" s="5"/>
    </row>
    <row r="26" spans="1:17">
      <c r="A26" s="7">
        <v>92899947</v>
      </c>
      <c r="B26" s="7" t="s">
        <v>1145</v>
      </c>
      <c r="C26" s="61">
        <v>1909</v>
      </c>
      <c r="D26" s="5">
        <v>954.5</v>
      </c>
      <c r="E26" s="5"/>
      <c r="F26" s="5"/>
      <c r="G26" s="5">
        <v>520</v>
      </c>
      <c r="H26" s="5"/>
      <c r="I26" s="5"/>
      <c r="J26" s="5"/>
      <c r="K26" s="5">
        <v>11.83</v>
      </c>
      <c r="L26" s="8">
        <v>4</v>
      </c>
      <c r="M26" s="5">
        <f t="shared" si="0"/>
        <v>47.32</v>
      </c>
      <c r="N26" s="5"/>
      <c r="O26" s="5"/>
      <c r="P26" s="5"/>
      <c r="Q26" s="5"/>
    </row>
    <row r="27" spans="1:17">
      <c r="A27" s="7">
        <v>92899948</v>
      </c>
      <c r="B27" s="7" t="s">
        <v>1146</v>
      </c>
      <c r="C27" s="61">
        <v>1956</v>
      </c>
      <c r="D27" s="5">
        <v>978</v>
      </c>
      <c r="E27" s="5"/>
      <c r="F27" s="5"/>
      <c r="G27" s="5">
        <v>520</v>
      </c>
      <c r="H27" s="5"/>
      <c r="I27" s="5"/>
      <c r="J27" s="5"/>
      <c r="K27" s="5">
        <v>11.83</v>
      </c>
      <c r="L27" s="8">
        <v>4</v>
      </c>
      <c r="M27" s="5">
        <f t="shared" si="0"/>
        <v>47.32</v>
      </c>
      <c r="N27" s="5"/>
      <c r="O27" s="5"/>
      <c r="P27" s="5"/>
      <c r="Q27" s="5"/>
    </row>
    <row r="28" spans="1:17">
      <c r="A28" s="7">
        <v>92899949</v>
      </c>
      <c r="B28" s="7" t="s">
        <v>1147</v>
      </c>
      <c r="C28" s="61">
        <v>2002</v>
      </c>
      <c r="D28" s="5">
        <v>1001</v>
      </c>
      <c r="E28" s="5"/>
      <c r="F28" s="5"/>
      <c r="G28" s="5">
        <v>520</v>
      </c>
      <c r="H28" s="5"/>
      <c r="I28" s="5"/>
      <c r="J28" s="5"/>
      <c r="K28" s="5">
        <v>11.83</v>
      </c>
      <c r="L28" s="8">
        <v>4</v>
      </c>
      <c r="M28" s="5">
        <f t="shared" si="0"/>
        <v>47.32</v>
      </c>
      <c r="N28" s="5"/>
      <c r="O28" s="5"/>
      <c r="P28" s="5"/>
      <c r="Q28" s="5"/>
    </row>
    <row r="29" spans="1:17">
      <c r="A29" s="7">
        <v>92899950</v>
      </c>
      <c r="B29" s="7" t="s">
        <v>1148</v>
      </c>
      <c r="C29" s="61">
        <v>2050</v>
      </c>
      <c r="D29" s="5">
        <v>1025</v>
      </c>
      <c r="E29" s="5"/>
      <c r="F29" s="5"/>
      <c r="G29" s="5">
        <v>520</v>
      </c>
      <c r="H29" s="5"/>
      <c r="I29" s="5"/>
      <c r="J29" s="5"/>
      <c r="K29" s="5">
        <v>11.83</v>
      </c>
      <c r="L29" s="8">
        <v>4</v>
      </c>
      <c r="M29" s="5">
        <f t="shared" si="0"/>
        <v>47.32</v>
      </c>
      <c r="N29" s="5"/>
      <c r="O29" s="5"/>
      <c r="P29" s="5"/>
      <c r="Q29" s="5"/>
    </row>
    <row r="30" spans="1:17">
      <c r="A30" s="7">
        <v>92899951</v>
      </c>
      <c r="B30" s="7" t="s">
        <v>1149</v>
      </c>
      <c r="C30" s="61">
        <v>2097</v>
      </c>
      <c r="D30" s="5">
        <v>1048.5</v>
      </c>
      <c r="E30" s="5"/>
      <c r="F30" s="5"/>
      <c r="G30" s="5">
        <v>520</v>
      </c>
      <c r="H30" s="5"/>
      <c r="I30" s="5"/>
      <c r="J30" s="5"/>
      <c r="K30" s="5">
        <v>11.83</v>
      </c>
      <c r="L30" s="8">
        <v>4</v>
      </c>
      <c r="M30" s="5">
        <f t="shared" si="0"/>
        <v>47.32</v>
      </c>
      <c r="N30" s="5"/>
      <c r="O30" s="5"/>
      <c r="P30" s="5"/>
      <c r="Q30" s="5"/>
    </row>
    <row r="31" spans="1:17">
      <c r="A31" s="7">
        <v>92899952</v>
      </c>
      <c r="B31" s="7" t="s">
        <v>1150</v>
      </c>
      <c r="C31" s="61">
        <v>2144</v>
      </c>
      <c r="D31" s="5">
        <v>1072</v>
      </c>
      <c r="E31" s="5"/>
      <c r="F31" s="5"/>
      <c r="G31" s="5">
        <v>520</v>
      </c>
      <c r="H31" s="5"/>
      <c r="I31" s="5"/>
      <c r="J31" s="5"/>
      <c r="K31" s="5">
        <v>11.83</v>
      </c>
      <c r="L31" s="8">
        <v>4</v>
      </c>
      <c r="M31" s="5">
        <f t="shared" si="0"/>
        <v>47.32</v>
      </c>
      <c r="N31" s="5"/>
      <c r="O31" s="5"/>
      <c r="P31" s="5"/>
      <c r="Q31" s="5"/>
    </row>
    <row r="32" spans="1:17">
      <c r="A32" s="7">
        <v>92899954</v>
      </c>
      <c r="B32" s="7" t="s">
        <v>1151</v>
      </c>
      <c r="C32" s="61">
        <v>2326</v>
      </c>
      <c r="D32" s="5">
        <v>1163</v>
      </c>
      <c r="E32" s="5"/>
      <c r="F32" s="5"/>
      <c r="G32" s="5">
        <v>520</v>
      </c>
      <c r="H32" s="5"/>
      <c r="I32" s="5"/>
      <c r="J32" s="5"/>
      <c r="K32" s="5">
        <v>11.83</v>
      </c>
      <c r="L32" s="8">
        <v>4</v>
      </c>
      <c r="M32" s="5">
        <f t="shared" si="0"/>
        <v>47.32</v>
      </c>
      <c r="N32" s="5"/>
      <c r="O32" s="5"/>
      <c r="P32" s="5"/>
      <c r="Q32" s="5"/>
    </row>
    <row r="33" spans="1:17">
      <c r="A33" s="7">
        <v>92899955</v>
      </c>
      <c r="B33" s="7" t="s">
        <v>1152</v>
      </c>
      <c r="C33" s="61">
        <v>2400</v>
      </c>
      <c r="D33" s="5">
        <v>1200</v>
      </c>
      <c r="E33" s="5"/>
      <c r="F33" s="5"/>
      <c r="G33" s="5">
        <v>520</v>
      </c>
      <c r="H33" s="5"/>
      <c r="I33" s="5"/>
      <c r="J33" s="5"/>
      <c r="K33" s="5">
        <v>11.83</v>
      </c>
      <c r="L33" s="8">
        <v>4</v>
      </c>
      <c r="M33" s="5">
        <f t="shared" si="0"/>
        <v>47.32</v>
      </c>
      <c r="N33" s="5"/>
      <c r="O33" s="5"/>
      <c r="P33" s="5"/>
      <c r="Q33" s="5"/>
    </row>
    <row r="34" spans="1:17">
      <c r="A34" s="7">
        <v>92899956</v>
      </c>
      <c r="B34" s="7" t="s">
        <v>1153</v>
      </c>
      <c r="C34" s="61">
        <v>2520</v>
      </c>
      <c r="D34" s="5">
        <v>1260</v>
      </c>
      <c r="E34" s="5"/>
      <c r="F34" s="5"/>
      <c r="G34" s="5">
        <v>520</v>
      </c>
      <c r="H34" s="5"/>
      <c r="I34" s="5"/>
      <c r="J34" s="5"/>
      <c r="K34" s="5">
        <v>11.83</v>
      </c>
      <c r="L34" s="8">
        <v>4</v>
      </c>
      <c r="M34" s="5">
        <f t="shared" si="0"/>
        <v>47.32</v>
      </c>
      <c r="N34" s="5"/>
      <c r="O34" s="5"/>
      <c r="P34" s="5"/>
      <c r="Q34" s="5"/>
    </row>
    <row r="35" spans="1:17">
      <c r="A35" s="7">
        <v>92899958</v>
      </c>
      <c r="B35" s="7" t="s">
        <v>1154</v>
      </c>
      <c r="C35" s="61">
        <v>2809</v>
      </c>
      <c r="D35" s="5">
        <v>1404.5</v>
      </c>
      <c r="E35" s="5"/>
      <c r="F35" s="5"/>
      <c r="G35" s="5">
        <v>520</v>
      </c>
      <c r="H35" s="5"/>
      <c r="I35" s="5"/>
      <c r="J35" s="5"/>
      <c r="K35" s="5">
        <v>11.83</v>
      </c>
      <c r="L35" s="8">
        <v>4</v>
      </c>
      <c r="M35" s="5">
        <f t="shared" si="0"/>
        <v>47.32</v>
      </c>
      <c r="N35" s="5"/>
      <c r="O35" s="5"/>
      <c r="P35" s="5"/>
      <c r="Q35" s="5"/>
    </row>
    <row r="36" spans="1:17">
      <c r="A36" s="7">
        <v>92899959</v>
      </c>
      <c r="B36" s="7" t="s">
        <v>1155</v>
      </c>
      <c r="C36" s="61">
        <v>2930</v>
      </c>
      <c r="D36" s="5">
        <v>1465</v>
      </c>
      <c r="E36" s="5"/>
      <c r="F36" s="5"/>
      <c r="G36" s="5">
        <v>520</v>
      </c>
      <c r="H36" s="5"/>
      <c r="I36" s="5"/>
      <c r="J36" s="5"/>
      <c r="K36" s="5">
        <v>11.83</v>
      </c>
      <c r="L36" s="8">
        <v>4</v>
      </c>
      <c r="M36" s="5">
        <f t="shared" si="0"/>
        <v>47.32</v>
      </c>
      <c r="N36" s="5"/>
      <c r="O36" s="5"/>
      <c r="P36" s="5"/>
      <c r="Q36" s="5"/>
    </row>
    <row r="37" spans="1:17">
      <c r="A37" s="7">
        <v>92899960</v>
      </c>
      <c r="B37" s="7" t="s">
        <v>1156</v>
      </c>
      <c r="C37" s="61">
        <v>3052</v>
      </c>
      <c r="D37" s="5">
        <v>1526</v>
      </c>
      <c r="E37" s="5"/>
      <c r="F37" s="5"/>
      <c r="G37" s="5">
        <v>520</v>
      </c>
      <c r="H37" s="5"/>
      <c r="I37" s="5"/>
      <c r="J37" s="5"/>
      <c r="K37" s="5">
        <v>11.83</v>
      </c>
      <c r="L37" s="8">
        <v>4</v>
      </c>
      <c r="M37" s="5">
        <f t="shared" si="0"/>
        <v>47.32</v>
      </c>
      <c r="N37" s="5"/>
      <c r="O37" s="5"/>
      <c r="P37" s="5"/>
      <c r="Q37" s="5"/>
    </row>
    <row r="38" spans="1:17">
      <c r="A38" s="7">
        <v>92900150</v>
      </c>
      <c r="B38" s="7" t="s">
        <v>1157</v>
      </c>
      <c r="C38" s="61">
        <v>3276</v>
      </c>
      <c r="D38" s="5">
        <v>1638</v>
      </c>
      <c r="E38" s="5"/>
      <c r="F38" s="5"/>
      <c r="G38" s="5">
        <v>520</v>
      </c>
      <c r="H38" s="5"/>
      <c r="I38" s="5"/>
      <c r="J38" s="5"/>
      <c r="K38" s="5">
        <v>11.83</v>
      </c>
      <c r="L38" s="8">
        <v>4</v>
      </c>
      <c r="M38" s="5">
        <f t="shared" si="0"/>
        <v>47.32</v>
      </c>
      <c r="N38" s="5"/>
      <c r="O38" s="5"/>
      <c r="P38" s="5"/>
      <c r="Q38" s="5"/>
    </row>
    <row r="39" spans="1:17">
      <c r="A39" s="7">
        <v>92900151</v>
      </c>
      <c r="B39" s="7" t="s">
        <v>1158</v>
      </c>
      <c r="C39" s="61">
        <v>3546</v>
      </c>
      <c r="D39" s="5">
        <v>1773</v>
      </c>
      <c r="E39" s="5"/>
      <c r="F39" s="5"/>
      <c r="G39" s="5">
        <v>520</v>
      </c>
      <c r="H39" s="5"/>
      <c r="I39" s="5"/>
      <c r="J39" s="5"/>
      <c r="K39" s="5">
        <v>11.83</v>
      </c>
      <c r="L39" s="8">
        <v>4</v>
      </c>
      <c r="M39" s="5">
        <f t="shared" si="0"/>
        <v>47.32</v>
      </c>
      <c r="N39" s="5"/>
      <c r="O39" s="5"/>
      <c r="P39" s="5"/>
      <c r="Q39" s="5"/>
    </row>
    <row r="40" spans="1:17">
      <c r="A40" s="7">
        <v>92900152</v>
      </c>
      <c r="B40" s="7" t="s">
        <v>1159</v>
      </c>
      <c r="C40" s="61">
        <v>3723</v>
      </c>
      <c r="D40" s="5">
        <v>1861.5</v>
      </c>
      <c r="E40" s="5"/>
      <c r="F40" s="5"/>
      <c r="G40" s="5">
        <v>520</v>
      </c>
      <c r="H40" s="5"/>
      <c r="I40" s="5"/>
      <c r="J40" s="5"/>
      <c r="K40" s="5">
        <v>11.83</v>
      </c>
      <c r="L40" s="8">
        <v>4</v>
      </c>
      <c r="M40" s="5">
        <f t="shared" si="0"/>
        <v>47.32</v>
      </c>
      <c r="N40" s="5"/>
      <c r="O40" s="5"/>
      <c r="P40" s="5"/>
      <c r="Q40" s="5"/>
    </row>
    <row r="41" spans="1:17">
      <c r="A41" s="7">
        <v>92900153</v>
      </c>
      <c r="B41" s="7" t="s">
        <v>1160</v>
      </c>
      <c r="C41" s="61">
        <v>3903</v>
      </c>
      <c r="D41" s="5">
        <v>1951.5</v>
      </c>
      <c r="E41" s="5"/>
      <c r="F41" s="5"/>
      <c r="G41" s="5">
        <v>520</v>
      </c>
      <c r="H41" s="5"/>
      <c r="I41" s="5"/>
      <c r="J41" s="5"/>
      <c r="K41" s="5">
        <v>11.83</v>
      </c>
      <c r="L41" s="8">
        <v>4</v>
      </c>
      <c r="M41" s="5">
        <f t="shared" si="0"/>
        <v>47.32</v>
      </c>
      <c r="N41" s="5"/>
      <c r="O41" s="5"/>
      <c r="P41" s="5"/>
      <c r="Q41" s="5"/>
    </row>
    <row r="42" spans="1:17">
      <c r="A42" s="7">
        <v>92900168</v>
      </c>
      <c r="B42" s="7" t="s">
        <v>1157</v>
      </c>
      <c r="C42" s="61">
        <v>3374</v>
      </c>
      <c r="D42" s="5">
        <v>1687</v>
      </c>
      <c r="E42" s="5"/>
      <c r="F42" s="5"/>
      <c r="G42" s="5">
        <v>520</v>
      </c>
      <c r="H42" s="5"/>
      <c r="I42" s="5"/>
      <c r="J42" s="5"/>
      <c r="K42" s="5">
        <v>11.83</v>
      </c>
      <c r="L42" s="8">
        <v>4</v>
      </c>
      <c r="M42" s="5">
        <f t="shared" si="0"/>
        <v>47.32</v>
      </c>
      <c r="N42" s="5"/>
      <c r="O42" s="5"/>
      <c r="P42" s="5"/>
      <c r="Q42" s="5"/>
    </row>
    <row r="43" spans="1:17">
      <c r="A43" s="7">
        <v>92900169</v>
      </c>
      <c r="B43" s="7" t="s">
        <v>1158</v>
      </c>
      <c r="C43" s="61">
        <v>3643</v>
      </c>
      <c r="D43" s="5">
        <v>1821.5</v>
      </c>
      <c r="E43" s="5"/>
      <c r="F43" s="5"/>
      <c r="G43" s="5">
        <v>520</v>
      </c>
      <c r="H43" s="5"/>
      <c r="I43" s="5"/>
      <c r="J43" s="5"/>
      <c r="K43" s="5">
        <v>11.83</v>
      </c>
      <c r="L43" s="8">
        <v>4</v>
      </c>
      <c r="M43" s="5">
        <f t="shared" si="0"/>
        <v>47.32</v>
      </c>
      <c r="N43" s="5"/>
      <c r="O43" s="5"/>
      <c r="P43" s="5"/>
      <c r="Q43" s="5"/>
    </row>
    <row r="44" spans="1:17">
      <c r="A44" s="7">
        <v>92900180</v>
      </c>
      <c r="B44" s="7" t="s">
        <v>1159</v>
      </c>
      <c r="C44" s="61">
        <v>3821</v>
      </c>
      <c r="D44" s="5">
        <v>1910.5</v>
      </c>
      <c r="E44" s="5"/>
      <c r="F44" s="5"/>
      <c r="G44" s="5">
        <v>520</v>
      </c>
      <c r="H44" s="5"/>
      <c r="I44" s="5"/>
      <c r="J44" s="5"/>
      <c r="K44" s="5">
        <v>11.83</v>
      </c>
      <c r="L44" s="8">
        <v>4</v>
      </c>
      <c r="M44" s="5">
        <f t="shared" si="0"/>
        <v>47.32</v>
      </c>
      <c r="N44" s="5"/>
      <c r="O44" s="5"/>
      <c r="P44" s="5"/>
      <c r="Q44" s="5"/>
    </row>
    <row r="45" spans="1:17">
      <c r="A45" s="7">
        <v>92900181</v>
      </c>
      <c r="B45" s="7" t="s">
        <v>1160</v>
      </c>
      <c r="C45" s="61">
        <v>4001</v>
      </c>
      <c r="D45" s="5">
        <v>2000.5</v>
      </c>
      <c r="E45" s="5"/>
      <c r="F45" s="5"/>
      <c r="G45" s="5">
        <v>520</v>
      </c>
      <c r="H45" s="5"/>
      <c r="I45" s="5"/>
      <c r="J45" s="5"/>
      <c r="K45" s="5">
        <v>11.83</v>
      </c>
      <c r="L45" s="8">
        <v>4</v>
      </c>
      <c r="M45" s="5">
        <f t="shared" si="0"/>
        <v>47.32</v>
      </c>
      <c r="N45" s="5"/>
      <c r="O45" s="5"/>
      <c r="P45" s="5"/>
      <c r="Q45" s="5"/>
    </row>
    <row r="46" spans="1:17">
      <c r="A46" s="7">
        <v>92901079</v>
      </c>
      <c r="B46" s="7" t="s">
        <v>1161</v>
      </c>
      <c r="C46" s="61">
        <v>1498</v>
      </c>
      <c r="D46" s="5">
        <v>749</v>
      </c>
      <c r="E46" s="5"/>
      <c r="G46" s="5">
        <v>520</v>
      </c>
      <c r="H46" s="5"/>
      <c r="I46" s="5"/>
      <c r="J46" s="5"/>
      <c r="K46" s="5">
        <v>11.83</v>
      </c>
      <c r="L46" s="8">
        <v>4</v>
      </c>
      <c r="M46" s="5">
        <f t="shared" si="0"/>
        <v>47.32</v>
      </c>
    </row>
    <row r="47" spans="1:17">
      <c r="A47" s="7">
        <v>92901081</v>
      </c>
      <c r="B47" s="7" t="s">
        <v>1162</v>
      </c>
      <c r="C47" s="61">
        <v>1546</v>
      </c>
      <c r="D47" s="5">
        <v>773</v>
      </c>
      <c r="E47" s="5"/>
      <c r="G47" s="5">
        <v>520</v>
      </c>
      <c r="H47" s="5"/>
      <c r="I47" s="5"/>
      <c r="J47" s="5"/>
      <c r="K47" s="5">
        <v>11.83</v>
      </c>
      <c r="L47" s="8">
        <v>4</v>
      </c>
      <c r="M47" s="5">
        <f t="shared" si="0"/>
        <v>47.32</v>
      </c>
    </row>
    <row r="48" spans="1:17">
      <c r="A48" s="7">
        <v>92901082</v>
      </c>
      <c r="B48" s="7" t="s">
        <v>1163</v>
      </c>
      <c r="C48" s="61">
        <v>1593</v>
      </c>
      <c r="D48" s="5">
        <v>796.5</v>
      </c>
      <c r="E48" s="5"/>
      <c r="G48" s="5">
        <v>520</v>
      </c>
      <c r="H48" s="5"/>
      <c r="I48" s="5"/>
      <c r="J48" s="5"/>
      <c r="K48" s="5">
        <v>11.83</v>
      </c>
      <c r="L48" s="8">
        <v>4</v>
      </c>
      <c r="M48" s="5">
        <f t="shared" si="0"/>
        <v>47.32</v>
      </c>
    </row>
    <row r="49" spans="1:13">
      <c r="A49" s="7">
        <v>92901083</v>
      </c>
      <c r="B49" s="7" t="s">
        <v>1164</v>
      </c>
      <c r="C49" s="61">
        <v>1640</v>
      </c>
      <c r="D49" s="5">
        <v>820</v>
      </c>
      <c r="E49" s="5"/>
      <c r="G49" s="5">
        <v>520</v>
      </c>
      <c r="H49" s="5"/>
      <c r="I49" s="5"/>
      <c r="J49" s="5"/>
      <c r="K49" s="5">
        <v>11.83</v>
      </c>
      <c r="L49" s="8">
        <v>4</v>
      </c>
      <c r="M49" s="5">
        <f t="shared" si="0"/>
        <v>47.32</v>
      </c>
    </row>
    <row r="50" spans="1:13">
      <c r="A50" s="7">
        <v>92901084</v>
      </c>
      <c r="B50" s="7" t="s">
        <v>1165</v>
      </c>
      <c r="C50" s="61">
        <v>1688</v>
      </c>
      <c r="D50" s="5">
        <v>844</v>
      </c>
      <c r="E50" s="5"/>
      <c r="G50" s="5">
        <v>520</v>
      </c>
      <c r="H50" s="5"/>
      <c r="I50" s="5"/>
      <c r="J50" s="5"/>
      <c r="K50" s="5">
        <v>11.83</v>
      </c>
      <c r="L50" s="8">
        <v>4</v>
      </c>
      <c r="M50" s="5">
        <f t="shared" si="0"/>
        <v>47.32</v>
      </c>
    </row>
    <row r="51" spans="1:13">
      <c r="A51" s="7">
        <v>92901085</v>
      </c>
      <c r="B51" s="7" t="s">
        <v>1166</v>
      </c>
      <c r="C51" s="61">
        <v>1735</v>
      </c>
      <c r="D51" s="5">
        <v>867.5</v>
      </c>
      <c r="E51" s="5"/>
      <c r="G51" s="5">
        <v>520</v>
      </c>
      <c r="H51" s="5"/>
      <c r="I51" s="5"/>
      <c r="J51" s="5"/>
      <c r="K51" s="5">
        <v>11.83</v>
      </c>
      <c r="L51" s="8">
        <v>4</v>
      </c>
      <c r="M51" s="5">
        <f t="shared" si="0"/>
        <v>47.32</v>
      </c>
    </row>
    <row r="52" spans="1:13">
      <c r="A52" s="7">
        <v>92901087</v>
      </c>
      <c r="B52" s="7" t="s">
        <v>1167</v>
      </c>
      <c r="C52" s="61">
        <v>1783</v>
      </c>
      <c r="D52" s="5">
        <v>891.5</v>
      </c>
      <c r="E52" s="5"/>
      <c r="G52" s="5">
        <v>520</v>
      </c>
      <c r="H52" s="5"/>
      <c r="I52" s="5"/>
      <c r="J52" s="5"/>
      <c r="K52" s="5">
        <v>11.83</v>
      </c>
      <c r="L52" s="8">
        <v>4</v>
      </c>
      <c r="M52" s="5">
        <f t="shared" si="0"/>
        <v>47.32</v>
      </c>
    </row>
    <row r="53" spans="1:13">
      <c r="A53" s="7">
        <v>92901088</v>
      </c>
      <c r="B53" s="7" t="s">
        <v>1168</v>
      </c>
      <c r="C53" s="61">
        <v>1840</v>
      </c>
      <c r="D53" s="5">
        <v>920</v>
      </c>
      <c r="E53" s="5"/>
      <c r="G53" s="5">
        <v>520</v>
      </c>
      <c r="H53" s="5"/>
      <c r="I53" s="5"/>
      <c r="J53" s="5"/>
      <c r="K53" s="5">
        <v>11.83</v>
      </c>
      <c r="L53" s="8">
        <v>4</v>
      </c>
      <c r="M53" s="5">
        <f t="shared" si="0"/>
        <v>47.32</v>
      </c>
    </row>
    <row r="54" spans="1:13">
      <c r="A54" s="7">
        <v>92901089</v>
      </c>
      <c r="B54" s="7" t="s">
        <v>1169</v>
      </c>
      <c r="C54" s="61">
        <v>1914</v>
      </c>
      <c r="D54" s="5">
        <v>957</v>
      </c>
      <c r="E54" s="5"/>
      <c r="G54" s="5">
        <v>520</v>
      </c>
      <c r="H54" s="5"/>
      <c r="I54" s="5"/>
      <c r="J54" s="5"/>
      <c r="K54" s="5">
        <v>11.83</v>
      </c>
      <c r="L54" s="8">
        <v>4</v>
      </c>
      <c r="M54" s="5">
        <f t="shared" si="0"/>
        <v>47.32</v>
      </c>
    </row>
    <row r="55" spans="1:13">
      <c r="A55" s="7">
        <v>92901090</v>
      </c>
      <c r="B55" s="7" t="s">
        <v>1170</v>
      </c>
      <c r="C55" s="61">
        <v>1988</v>
      </c>
      <c r="D55" s="5">
        <v>994</v>
      </c>
      <c r="E55" s="5"/>
      <c r="G55" s="5">
        <v>520</v>
      </c>
      <c r="H55" s="5"/>
      <c r="I55" s="5"/>
      <c r="J55" s="5"/>
      <c r="K55" s="5">
        <v>11.83</v>
      </c>
      <c r="L55" s="8">
        <v>4</v>
      </c>
      <c r="M55" s="5">
        <f t="shared" si="0"/>
        <v>47.32</v>
      </c>
    </row>
    <row r="56" spans="1:13">
      <c r="A56" s="7">
        <v>92901092</v>
      </c>
      <c r="B56" s="7" t="s">
        <v>1171</v>
      </c>
      <c r="C56" s="61">
        <v>2144</v>
      </c>
      <c r="D56" s="5">
        <v>1072</v>
      </c>
      <c r="E56" s="5"/>
      <c r="G56" s="5">
        <v>520</v>
      </c>
      <c r="H56" s="5"/>
      <c r="I56" s="5"/>
      <c r="J56" s="5"/>
      <c r="K56" s="5">
        <v>11.83</v>
      </c>
      <c r="L56" s="8">
        <v>4</v>
      </c>
      <c r="M56" s="5">
        <f t="shared" si="0"/>
        <v>47.32</v>
      </c>
    </row>
    <row r="57" spans="1:13">
      <c r="A57" s="7">
        <v>92901093</v>
      </c>
      <c r="B57" s="7" t="s">
        <v>1172</v>
      </c>
      <c r="C57" s="61">
        <v>2234</v>
      </c>
      <c r="D57" s="5">
        <v>1117</v>
      </c>
      <c r="E57" s="5"/>
      <c r="G57" s="5">
        <v>520</v>
      </c>
      <c r="H57" s="5"/>
      <c r="I57" s="5"/>
      <c r="J57" s="5"/>
      <c r="K57" s="5">
        <v>11.83</v>
      </c>
      <c r="L57" s="8">
        <v>4</v>
      </c>
      <c r="M57" s="5">
        <f t="shared" si="0"/>
        <v>47.32</v>
      </c>
    </row>
    <row r="58" spans="1:13">
      <c r="A58" s="7">
        <v>92901094</v>
      </c>
      <c r="B58" s="7" t="s">
        <v>1173</v>
      </c>
      <c r="C58" s="61">
        <v>2384</v>
      </c>
      <c r="D58" s="5">
        <v>1192</v>
      </c>
      <c r="E58" s="5"/>
      <c r="G58" s="5">
        <v>520</v>
      </c>
      <c r="H58" s="5"/>
      <c r="I58" s="5"/>
      <c r="J58" s="5"/>
      <c r="K58" s="5">
        <v>11.83</v>
      </c>
      <c r="L58" s="8">
        <v>4</v>
      </c>
      <c r="M58" s="5">
        <f t="shared" si="0"/>
        <v>47.32</v>
      </c>
    </row>
    <row r="59" spans="1:13">
      <c r="A59" s="7">
        <v>92901096</v>
      </c>
      <c r="B59" s="7" t="s">
        <v>1174</v>
      </c>
      <c r="C59" s="61">
        <v>3586</v>
      </c>
      <c r="D59" s="5">
        <v>1793</v>
      </c>
      <c r="E59" s="5"/>
      <c r="G59" s="5">
        <v>520</v>
      </c>
      <c r="H59" s="5"/>
      <c r="I59" s="5"/>
      <c r="J59" s="5"/>
      <c r="K59" s="5">
        <v>11.83</v>
      </c>
      <c r="L59" s="8">
        <v>4</v>
      </c>
      <c r="M59" s="5">
        <f t="shared" si="0"/>
        <v>47.32</v>
      </c>
    </row>
    <row r="60" spans="1:13">
      <c r="A60" s="7">
        <v>92901097</v>
      </c>
      <c r="B60" s="7" t="s">
        <v>1175</v>
      </c>
      <c r="C60" s="61">
        <v>3791</v>
      </c>
      <c r="D60" s="5">
        <v>1895.5</v>
      </c>
      <c r="E60" s="5"/>
      <c r="G60" s="5">
        <v>520</v>
      </c>
      <c r="H60" s="5"/>
      <c r="I60" s="5"/>
      <c r="J60" s="5"/>
      <c r="K60" s="5">
        <v>11.83</v>
      </c>
      <c r="L60" s="8">
        <v>4</v>
      </c>
      <c r="M60" s="5">
        <f t="shared" si="0"/>
        <v>47.32</v>
      </c>
    </row>
    <row r="61" spans="1:13">
      <c r="A61" s="7">
        <v>92901098</v>
      </c>
      <c r="B61" s="7" t="s">
        <v>1176</v>
      </c>
      <c r="C61" s="61">
        <v>4011</v>
      </c>
      <c r="D61" s="5">
        <v>2005.5</v>
      </c>
      <c r="E61" s="5"/>
      <c r="G61" s="5">
        <v>520</v>
      </c>
      <c r="H61" s="5"/>
      <c r="I61" s="5"/>
      <c r="J61" s="5"/>
      <c r="K61" s="5">
        <v>11.83</v>
      </c>
      <c r="L61" s="8">
        <v>4</v>
      </c>
      <c r="M61" s="5">
        <f t="shared" si="0"/>
        <v>47.32</v>
      </c>
    </row>
    <row r="62" spans="1:13">
      <c r="A62" s="7">
        <v>92901099</v>
      </c>
      <c r="B62" s="7" t="s">
        <v>1177</v>
      </c>
      <c r="C62" s="61">
        <v>4511</v>
      </c>
      <c r="D62" s="5">
        <v>2255.5</v>
      </c>
      <c r="E62" s="5"/>
      <c r="G62" s="5">
        <v>520</v>
      </c>
      <c r="H62" s="5"/>
      <c r="I62" s="5"/>
      <c r="J62" s="5"/>
      <c r="K62" s="5">
        <v>11.83</v>
      </c>
      <c r="L62" s="8">
        <v>4</v>
      </c>
      <c r="M62" s="5">
        <f t="shared" si="0"/>
        <v>47.32</v>
      </c>
    </row>
    <row r="63" spans="1:13">
      <c r="A63" s="7">
        <v>92901100</v>
      </c>
      <c r="B63" s="7" t="s">
        <v>1178</v>
      </c>
      <c r="C63" s="61">
        <v>4731</v>
      </c>
      <c r="D63" s="5">
        <v>2365.5</v>
      </c>
      <c r="E63" s="5"/>
      <c r="G63" s="5">
        <v>520</v>
      </c>
      <c r="H63" s="5"/>
      <c r="I63" s="5"/>
      <c r="J63" s="5"/>
      <c r="K63" s="5">
        <v>11.83</v>
      </c>
      <c r="L63" s="8">
        <v>4</v>
      </c>
      <c r="M63" s="5">
        <f t="shared" si="0"/>
        <v>47.32</v>
      </c>
    </row>
    <row r="64" spans="1:13">
      <c r="A64" s="7">
        <v>92901183</v>
      </c>
      <c r="B64" s="7" t="s">
        <v>1161</v>
      </c>
      <c r="C64" s="61">
        <v>1595</v>
      </c>
      <c r="D64" s="5">
        <v>797.5</v>
      </c>
      <c r="E64" s="5"/>
      <c r="G64" s="5">
        <v>520</v>
      </c>
      <c r="H64" s="5"/>
      <c r="I64" s="5"/>
      <c r="J64" s="5"/>
      <c r="K64" s="5">
        <v>11.83</v>
      </c>
      <c r="L64" s="8">
        <v>4</v>
      </c>
      <c r="M64" s="5">
        <f t="shared" si="0"/>
        <v>47.32</v>
      </c>
    </row>
    <row r="65" spans="1:17">
      <c r="A65" s="7">
        <v>92901184</v>
      </c>
      <c r="B65" s="7" t="s">
        <v>1162</v>
      </c>
      <c r="C65" s="61">
        <v>1643</v>
      </c>
      <c r="D65" s="5">
        <v>821.5</v>
      </c>
      <c r="E65" s="5"/>
      <c r="G65" s="5">
        <v>520</v>
      </c>
      <c r="H65" s="5"/>
      <c r="I65" s="5"/>
      <c r="J65" s="5"/>
      <c r="K65" s="5">
        <v>11.83</v>
      </c>
      <c r="L65" s="8">
        <v>4</v>
      </c>
      <c r="M65" s="5">
        <f t="shared" si="0"/>
        <v>47.32</v>
      </c>
    </row>
    <row r="66" spans="1:17">
      <c r="A66" s="7">
        <v>92901185</v>
      </c>
      <c r="B66" s="7" t="s">
        <v>1163</v>
      </c>
      <c r="C66" s="61">
        <v>1690</v>
      </c>
      <c r="D66" s="5">
        <v>845</v>
      </c>
      <c r="E66" s="5"/>
      <c r="G66" s="5">
        <v>520</v>
      </c>
      <c r="H66" s="5"/>
      <c r="I66" s="5"/>
      <c r="J66" s="5"/>
      <c r="K66" s="5">
        <v>11.83</v>
      </c>
      <c r="L66" s="8">
        <v>4</v>
      </c>
      <c r="M66" s="5">
        <f t="shared" si="0"/>
        <v>47.32</v>
      </c>
    </row>
    <row r="67" spans="1:17">
      <c r="A67" s="7">
        <v>92901186</v>
      </c>
      <c r="B67" s="7" t="s">
        <v>1164</v>
      </c>
      <c r="C67" s="61">
        <v>1737</v>
      </c>
      <c r="D67" s="5">
        <v>868.5</v>
      </c>
      <c r="E67" s="5"/>
      <c r="G67" s="5">
        <v>520</v>
      </c>
      <c r="H67" s="5"/>
      <c r="I67" s="5"/>
      <c r="J67" s="5"/>
      <c r="K67" s="5">
        <v>11.83</v>
      </c>
      <c r="L67" s="8">
        <v>4</v>
      </c>
      <c r="M67" s="5">
        <f t="shared" si="0"/>
        <v>47.32</v>
      </c>
    </row>
    <row r="68" spans="1:17">
      <c r="A68" s="7">
        <v>92901188</v>
      </c>
      <c r="B68" s="7" t="s">
        <v>1165</v>
      </c>
      <c r="C68" s="61">
        <v>1785</v>
      </c>
      <c r="D68" s="5">
        <v>892.5</v>
      </c>
      <c r="E68" s="5"/>
      <c r="G68" s="5">
        <v>520</v>
      </c>
      <c r="H68" s="5"/>
      <c r="I68" s="5"/>
      <c r="J68" s="5"/>
      <c r="K68" s="5">
        <v>11.83</v>
      </c>
      <c r="L68" s="8">
        <v>4</v>
      </c>
      <c r="M68" s="5">
        <f t="shared" si="0"/>
        <v>47.32</v>
      </c>
    </row>
    <row r="69" spans="1:17">
      <c r="A69" s="7">
        <v>92901190</v>
      </c>
      <c r="B69" s="7" t="s">
        <v>1166</v>
      </c>
      <c r="C69" s="61">
        <v>1832</v>
      </c>
      <c r="D69" s="5">
        <v>916</v>
      </c>
      <c r="E69" s="5"/>
      <c r="G69" s="5">
        <v>520</v>
      </c>
      <c r="H69" s="5"/>
      <c r="I69" s="5"/>
      <c r="J69" s="5"/>
      <c r="K69" s="5">
        <v>11.83</v>
      </c>
      <c r="L69" s="8">
        <v>4</v>
      </c>
      <c r="M69" s="5">
        <f t="shared" si="0"/>
        <v>47.32</v>
      </c>
    </row>
    <row r="70" spans="1:17">
      <c r="A70" s="7">
        <v>92901191</v>
      </c>
      <c r="B70" s="7" t="s">
        <v>1167</v>
      </c>
      <c r="C70" s="61">
        <v>1879</v>
      </c>
      <c r="D70" s="5">
        <v>939.5</v>
      </c>
      <c r="E70" s="5"/>
      <c r="G70" s="5">
        <v>520</v>
      </c>
      <c r="H70" s="5"/>
      <c r="I70" s="5"/>
      <c r="J70" s="5"/>
      <c r="K70" s="5">
        <v>11.83</v>
      </c>
      <c r="L70" s="8">
        <v>4</v>
      </c>
      <c r="M70" s="5">
        <f t="shared" si="0"/>
        <v>47.32</v>
      </c>
      <c r="N70" s="5"/>
      <c r="O70" s="5"/>
      <c r="P70" s="5"/>
      <c r="Q70" s="5"/>
    </row>
    <row r="71" spans="1:17">
      <c r="A71" s="7">
        <v>92901192</v>
      </c>
      <c r="B71" s="7" t="s">
        <v>1168</v>
      </c>
      <c r="C71" s="61">
        <v>1938</v>
      </c>
      <c r="D71" s="5">
        <v>969</v>
      </c>
      <c r="E71" s="5"/>
      <c r="G71" s="5">
        <v>520</v>
      </c>
      <c r="H71" s="5"/>
      <c r="I71" s="5"/>
      <c r="J71" s="5"/>
      <c r="K71" s="5">
        <v>11.83</v>
      </c>
      <c r="L71" s="8">
        <v>4</v>
      </c>
      <c r="M71" s="5">
        <f t="shared" si="0"/>
        <v>47.32</v>
      </c>
      <c r="N71" s="5"/>
      <c r="O71" s="5"/>
      <c r="P71" s="5"/>
      <c r="Q71" s="5"/>
    </row>
    <row r="72" spans="1:17">
      <c r="A72" s="7">
        <v>92901193</v>
      </c>
      <c r="B72" s="7" t="s">
        <v>1169</v>
      </c>
      <c r="C72" s="61">
        <v>2013</v>
      </c>
      <c r="D72" s="5">
        <v>1006.5</v>
      </c>
      <c r="E72" s="5"/>
      <c r="G72" s="5">
        <v>520</v>
      </c>
      <c r="H72" s="5"/>
      <c r="I72" s="5"/>
      <c r="J72" s="5"/>
      <c r="K72" s="5">
        <v>11.83</v>
      </c>
      <c r="L72" s="8">
        <v>4</v>
      </c>
      <c r="M72" s="5">
        <f t="shared" si="0"/>
        <v>47.32</v>
      </c>
      <c r="N72" s="5"/>
      <c r="O72" s="5"/>
      <c r="P72" s="5"/>
      <c r="Q72" s="5"/>
    </row>
    <row r="73" spans="1:17">
      <c r="A73" s="7">
        <v>92901195</v>
      </c>
      <c r="B73" s="7" t="s">
        <v>1170</v>
      </c>
      <c r="C73" s="61">
        <v>2085</v>
      </c>
      <c r="D73" s="5">
        <v>1042.5</v>
      </c>
      <c r="E73" s="5"/>
      <c r="G73" s="5">
        <v>520</v>
      </c>
      <c r="H73" s="5"/>
      <c r="I73" s="5"/>
      <c r="J73" s="5"/>
      <c r="K73" s="5">
        <v>11.83</v>
      </c>
      <c r="L73" s="8">
        <v>4</v>
      </c>
      <c r="M73" s="5">
        <f t="shared" si="0"/>
        <v>47.32</v>
      </c>
      <c r="N73" s="5"/>
      <c r="O73" s="5"/>
      <c r="P73" s="5"/>
      <c r="Q73" s="5"/>
    </row>
    <row r="74" spans="1:17">
      <c r="A74" s="7">
        <v>92901196</v>
      </c>
      <c r="B74" s="7" t="s">
        <v>1171</v>
      </c>
      <c r="C74" s="61">
        <v>2241</v>
      </c>
      <c r="D74" s="5">
        <v>1120.5</v>
      </c>
      <c r="E74" s="5"/>
      <c r="G74" s="5">
        <v>520</v>
      </c>
      <c r="H74" s="5"/>
      <c r="I74" s="5"/>
      <c r="J74" s="5"/>
      <c r="K74" s="5">
        <v>11.83</v>
      </c>
      <c r="L74" s="8">
        <v>4</v>
      </c>
      <c r="M74" s="5">
        <f t="shared" si="0"/>
        <v>47.32</v>
      </c>
      <c r="N74" s="5"/>
      <c r="O74" s="5"/>
      <c r="P74" s="5"/>
      <c r="Q74" s="5"/>
    </row>
    <row r="75" spans="1:17">
      <c r="A75" s="7">
        <v>92901197</v>
      </c>
      <c r="B75" s="7" t="s">
        <v>1172</v>
      </c>
      <c r="C75" s="61">
        <v>2331</v>
      </c>
      <c r="D75" s="5">
        <v>1165.5</v>
      </c>
      <c r="E75" s="5"/>
      <c r="G75" s="5">
        <v>520</v>
      </c>
      <c r="H75" s="5"/>
      <c r="I75" s="5"/>
      <c r="J75" s="5"/>
      <c r="K75" s="5">
        <v>11.83</v>
      </c>
      <c r="L75" s="8">
        <v>4</v>
      </c>
      <c r="M75" s="5">
        <f t="shared" si="0"/>
        <v>47.32</v>
      </c>
      <c r="N75" s="5"/>
      <c r="O75" s="5"/>
      <c r="P75" s="5"/>
      <c r="Q75" s="5"/>
    </row>
    <row r="76" spans="1:17">
      <c r="A76" s="7">
        <v>92901198</v>
      </c>
      <c r="B76" s="7" t="s">
        <v>1173</v>
      </c>
      <c r="C76" s="61">
        <v>2481</v>
      </c>
      <c r="D76" s="5">
        <v>1240.5</v>
      </c>
      <c r="E76" s="5"/>
      <c r="G76" s="5">
        <v>520</v>
      </c>
      <c r="H76" s="5"/>
      <c r="I76" s="5"/>
      <c r="J76" s="5"/>
      <c r="K76" s="5">
        <v>11.83</v>
      </c>
      <c r="L76" s="8">
        <v>4</v>
      </c>
      <c r="M76" s="5">
        <f t="shared" si="0"/>
        <v>47.32</v>
      </c>
      <c r="N76" s="5"/>
      <c r="O76" s="5"/>
      <c r="P76" s="5"/>
      <c r="Q76" s="5"/>
    </row>
    <row r="77" spans="1:17">
      <c r="A77" s="7">
        <v>92901199</v>
      </c>
      <c r="B77" s="7" t="s">
        <v>1174</v>
      </c>
      <c r="C77" s="61">
        <v>3683</v>
      </c>
      <c r="D77" s="5">
        <v>1841.5</v>
      </c>
      <c r="E77" s="5"/>
      <c r="G77" s="5">
        <v>520</v>
      </c>
      <c r="H77" s="5"/>
      <c r="I77" s="5"/>
      <c r="J77" s="5"/>
      <c r="K77" s="5">
        <v>11.83</v>
      </c>
      <c r="L77" s="8">
        <v>4</v>
      </c>
      <c r="M77" s="5">
        <f t="shared" si="0"/>
        <v>47.32</v>
      </c>
      <c r="N77" s="5"/>
      <c r="O77" s="5"/>
      <c r="P77" s="5"/>
      <c r="Q77" s="5"/>
    </row>
    <row r="78" spans="1:17">
      <c r="A78" s="7">
        <v>92901210</v>
      </c>
      <c r="B78" s="7" t="s">
        <v>1175</v>
      </c>
      <c r="C78" s="61">
        <v>3888</v>
      </c>
      <c r="D78" s="5">
        <v>1944</v>
      </c>
      <c r="E78" s="5"/>
      <c r="G78" s="5">
        <v>520</v>
      </c>
      <c r="H78" s="5"/>
      <c r="I78" s="5"/>
      <c r="J78" s="5"/>
      <c r="K78" s="5">
        <v>11.83</v>
      </c>
      <c r="L78" s="8">
        <v>4</v>
      </c>
      <c r="M78" s="5">
        <f t="shared" si="0"/>
        <v>47.32</v>
      </c>
      <c r="N78" s="5"/>
      <c r="O78" s="5"/>
      <c r="P78" s="5"/>
      <c r="Q78" s="5"/>
    </row>
    <row r="79" spans="1:17">
      <c r="A79" s="7">
        <v>92901211</v>
      </c>
      <c r="B79" s="7" t="s">
        <v>1176</v>
      </c>
      <c r="C79" s="61">
        <v>4108</v>
      </c>
      <c r="D79" s="5">
        <v>2054</v>
      </c>
      <c r="E79" s="5"/>
      <c r="G79" s="5">
        <v>520</v>
      </c>
      <c r="H79" s="5"/>
      <c r="I79" s="5"/>
      <c r="J79" s="5"/>
      <c r="K79" s="5">
        <v>11.83</v>
      </c>
      <c r="L79" s="8">
        <v>4</v>
      </c>
      <c r="M79" s="5">
        <f t="shared" si="0"/>
        <v>47.32</v>
      </c>
      <c r="N79" s="5"/>
      <c r="O79" s="5"/>
      <c r="P79" s="5"/>
      <c r="Q79" s="5"/>
    </row>
    <row r="80" spans="1:17">
      <c r="A80" s="7">
        <v>92901212</v>
      </c>
      <c r="B80" s="7" t="s">
        <v>1177</v>
      </c>
      <c r="C80" s="61">
        <v>4610</v>
      </c>
      <c r="D80" s="5">
        <v>2305</v>
      </c>
      <c r="E80" s="5"/>
      <c r="G80" s="5">
        <v>520</v>
      </c>
      <c r="H80" s="5"/>
      <c r="I80" s="5"/>
      <c r="J80" s="5"/>
      <c r="K80" s="5">
        <v>11.83</v>
      </c>
      <c r="L80" s="8">
        <v>4</v>
      </c>
      <c r="M80" s="5">
        <f t="shared" si="0"/>
        <v>47.32</v>
      </c>
      <c r="N80" s="5"/>
      <c r="O80" s="5"/>
      <c r="P80" s="5"/>
      <c r="Q80" s="5"/>
    </row>
    <row r="81" spans="1:17">
      <c r="A81" s="7">
        <v>92901213</v>
      </c>
      <c r="B81" s="7" t="s">
        <v>1178</v>
      </c>
      <c r="C81" s="61">
        <v>4828</v>
      </c>
      <c r="D81" s="5">
        <v>2414</v>
      </c>
      <c r="E81" s="5"/>
      <c r="G81" s="5">
        <v>520</v>
      </c>
      <c r="H81" s="5"/>
      <c r="I81" s="5"/>
      <c r="J81" s="5"/>
      <c r="K81" s="5">
        <v>11.83</v>
      </c>
      <c r="L81" s="8">
        <v>4</v>
      </c>
      <c r="M81" s="5">
        <f t="shared" si="0"/>
        <v>47.32</v>
      </c>
      <c r="N81" s="5"/>
      <c r="O81" s="5"/>
      <c r="P81" s="5"/>
      <c r="Q81" s="5"/>
    </row>
    <row r="82" spans="1:17">
      <c r="A82" s="7">
        <v>92901399</v>
      </c>
      <c r="B82" s="7" t="s">
        <v>1179</v>
      </c>
      <c r="C82" s="61">
        <v>2659</v>
      </c>
      <c r="D82" s="5">
        <v>1329.5</v>
      </c>
      <c r="E82" s="5"/>
      <c r="G82" s="5">
        <v>520</v>
      </c>
      <c r="H82" s="5"/>
      <c r="I82" s="5"/>
      <c r="J82" s="5"/>
      <c r="K82" s="5">
        <v>11.83</v>
      </c>
      <c r="L82" s="8">
        <v>4</v>
      </c>
      <c r="M82" s="5">
        <f t="shared" si="0"/>
        <v>47.32</v>
      </c>
      <c r="N82" s="5"/>
      <c r="O82" s="5"/>
      <c r="P82" s="5"/>
      <c r="Q82" s="5"/>
    </row>
    <row r="83" spans="1:17">
      <c r="A83" s="7">
        <v>92901400</v>
      </c>
      <c r="B83" s="7" t="s">
        <v>1180</v>
      </c>
      <c r="C83" s="61">
        <v>2812</v>
      </c>
      <c r="D83" s="5">
        <v>1406</v>
      </c>
      <c r="E83" s="5"/>
      <c r="G83" s="5">
        <v>520</v>
      </c>
      <c r="H83" s="5"/>
      <c r="I83" s="5"/>
      <c r="J83" s="5"/>
      <c r="K83" s="5">
        <v>11.83</v>
      </c>
      <c r="L83" s="8">
        <v>4</v>
      </c>
      <c r="M83" s="5">
        <f t="shared" si="0"/>
        <v>47.32</v>
      </c>
      <c r="N83" s="5"/>
      <c r="O83" s="5"/>
      <c r="P83" s="5"/>
      <c r="Q83" s="5"/>
    </row>
    <row r="84" spans="1:17">
      <c r="A84" s="7">
        <v>92901401</v>
      </c>
      <c r="B84" s="7" t="s">
        <v>1181</v>
      </c>
      <c r="C84" s="61">
        <v>2958</v>
      </c>
      <c r="D84" s="5">
        <v>1479</v>
      </c>
      <c r="E84" s="5"/>
      <c r="G84" s="5">
        <v>520</v>
      </c>
      <c r="H84" s="5"/>
      <c r="I84" s="5"/>
      <c r="J84" s="5"/>
      <c r="K84" s="5">
        <v>11.83</v>
      </c>
      <c r="L84" s="8">
        <v>4</v>
      </c>
      <c r="M84" s="5">
        <f t="shared" si="0"/>
        <v>47.32</v>
      </c>
      <c r="N84" s="5"/>
      <c r="O84" s="5"/>
      <c r="P84" s="5"/>
      <c r="Q84" s="5"/>
    </row>
    <row r="85" spans="1:17">
      <c r="A85" s="7">
        <v>92901402</v>
      </c>
      <c r="B85" s="7" t="s">
        <v>1182</v>
      </c>
      <c r="C85" s="61">
        <v>3080</v>
      </c>
      <c r="D85" s="5">
        <v>1540</v>
      </c>
      <c r="E85" s="5"/>
      <c r="G85" s="5">
        <v>520</v>
      </c>
      <c r="H85" s="5"/>
      <c r="I85" s="5"/>
      <c r="J85" s="5"/>
      <c r="K85" s="5">
        <v>11.83</v>
      </c>
      <c r="L85" s="8">
        <v>4</v>
      </c>
      <c r="M85" s="5">
        <f t="shared" si="0"/>
        <v>47.32</v>
      </c>
      <c r="N85" s="5"/>
      <c r="O85" s="5"/>
      <c r="P85" s="5"/>
      <c r="Q85" s="5"/>
    </row>
    <row r="86" spans="1:17">
      <c r="A86" s="7">
        <v>92901415</v>
      </c>
      <c r="B86" s="7" t="s">
        <v>1179</v>
      </c>
      <c r="C86" s="61">
        <v>2756</v>
      </c>
      <c r="D86" s="5">
        <v>1378</v>
      </c>
      <c r="E86" s="5"/>
      <c r="G86" s="5">
        <v>520</v>
      </c>
      <c r="H86" s="5"/>
      <c r="I86" s="5"/>
      <c r="J86" s="5"/>
      <c r="K86" s="5">
        <v>11.83</v>
      </c>
      <c r="L86" s="8">
        <v>4</v>
      </c>
      <c r="M86" s="5">
        <f t="shared" si="0"/>
        <v>47.32</v>
      </c>
      <c r="N86" s="5"/>
      <c r="O86" s="5"/>
      <c r="P86" s="5"/>
      <c r="Q86" s="5"/>
    </row>
    <row r="87" spans="1:17">
      <c r="A87" s="7">
        <v>92901416</v>
      </c>
      <c r="B87" s="7" t="s">
        <v>1180</v>
      </c>
      <c r="C87" s="61">
        <v>2908</v>
      </c>
      <c r="D87" s="5">
        <v>1454</v>
      </c>
      <c r="E87" s="5"/>
      <c r="G87" s="5">
        <v>520</v>
      </c>
      <c r="H87" s="5"/>
      <c r="I87" s="5"/>
      <c r="J87" s="5"/>
      <c r="K87" s="5">
        <v>11.83</v>
      </c>
      <c r="L87" s="8">
        <v>4</v>
      </c>
      <c r="M87" s="5">
        <f t="shared" si="0"/>
        <v>47.32</v>
      </c>
      <c r="N87" s="5"/>
      <c r="O87" s="5"/>
      <c r="P87" s="5"/>
      <c r="Q87" s="5"/>
    </row>
    <row r="88" spans="1:17">
      <c r="A88" s="7">
        <v>92901417</v>
      </c>
      <c r="B88" s="7" t="s">
        <v>1181</v>
      </c>
      <c r="C88" s="61">
        <v>3055</v>
      </c>
      <c r="D88" s="5">
        <v>1527.5</v>
      </c>
      <c r="E88" s="5"/>
      <c r="G88" s="5">
        <v>520</v>
      </c>
      <c r="H88" s="5"/>
      <c r="I88" s="5"/>
      <c r="J88" s="5"/>
      <c r="K88" s="5">
        <v>11.83</v>
      </c>
      <c r="L88" s="8">
        <v>4</v>
      </c>
      <c r="M88" s="5">
        <f t="shared" si="0"/>
        <v>47.32</v>
      </c>
      <c r="N88" s="5"/>
      <c r="O88" s="5"/>
      <c r="P88" s="5"/>
      <c r="Q88" s="5"/>
    </row>
    <row r="89" spans="1:17">
      <c r="A89" s="7">
        <v>92901418</v>
      </c>
      <c r="B89" s="7" t="s">
        <v>1182</v>
      </c>
      <c r="C89" s="61">
        <v>3175</v>
      </c>
      <c r="D89" s="5">
        <v>1587.5</v>
      </c>
      <c r="E89" s="5"/>
      <c r="G89" s="5">
        <v>520</v>
      </c>
      <c r="H89" s="5"/>
      <c r="I89" s="5"/>
      <c r="J89" s="5"/>
      <c r="K89" s="5">
        <v>11.83</v>
      </c>
      <c r="L89" s="8">
        <v>4</v>
      </c>
      <c r="M89" s="5">
        <f t="shared" si="0"/>
        <v>47.32</v>
      </c>
      <c r="N89" s="5"/>
      <c r="O89" s="5"/>
      <c r="P89" s="5"/>
      <c r="Q89" s="5"/>
    </row>
    <row r="90" spans="1:17">
      <c r="A90" s="7">
        <v>92901573</v>
      </c>
      <c r="B90" s="7" t="s">
        <v>1183</v>
      </c>
      <c r="C90" s="61">
        <v>1481</v>
      </c>
      <c r="D90" s="5">
        <v>740.5</v>
      </c>
      <c r="E90" s="5"/>
      <c r="G90" s="5">
        <v>520</v>
      </c>
      <c r="H90" s="5"/>
      <c r="I90" s="5"/>
      <c r="J90" s="5"/>
      <c r="K90" s="5">
        <v>11.83</v>
      </c>
      <c r="L90" s="8">
        <v>4</v>
      </c>
      <c r="M90" s="5">
        <f t="shared" si="0"/>
        <v>47.32</v>
      </c>
      <c r="N90" s="5"/>
      <c r="O90" s="5"/>
      <c r="P90" s="5"/>
      <c r="Q90" s="5"/>
    </row>
    <row r="91" spans="1:17">
      <c r="A91" s="7">
        <v>92901575</v>
      </c>
      <c r="B91" s="7" t="s">
        <v>1184</v>
      </c>
      <c r="C91" s="61">
        <v>1550</v>
      </c>
      <c r="D91" s="5">
        <v>775</v>
      </c>
      <c r="E91" s="5"/>
      <c r="G91" s="5">
        <v>520</v>
      </c>
      <c r="H91" s="5"/>
      <c r="I91" s="5"/>
      <c r="J91" s="5"/>
      <c r="K91" s="5">
        <v>11.83</v>
      </c>
      <c r="L91" s="8">
        <v>4</v>
      </c>
      <c r="M91" s="5">
        <f t="shared" si="0"/>
        <v>47.32</v>
      </c>
      <c r="N91" s="5"/>
      <c r="O91" s="5"/>
      <c r="P91" s="5"/>
      <c r="Q91" s="5"/>
    </row>
    <row r="92" spans="1:17">
      <c r="A92" s="7">
        <v>92901576</v>
      </c>
      <c r="B92" s="7" t="s">
        <v>1185</v>
      </c>
      <c r="C92" s="61">
        <v>1625</v>
      </c>
      <c r="D92" s="5">
        <v>812.5</v>
      </c>
      <c r="E92" s="5"/>
      <c r="G92" s="5">
        <v>520</v>
      </c>
      <c r="H92" s="5"/>
      <c r="I92" s="5"/>
      <c r="J92" s="5"/>
      <c r="K92" s="5">
        <v>11.83</v>
      </c>
      <c r="L92" s="8">
        <v>4</v>
      </c>
      <c r="M92" s="5">
        <f t="shared" si="0"/>
        <v>47.32</v>
      </c>
      <c r="N92" s="5"/>
      <c r="O92" s="5"/>
      <c r="P92" s="5"/>
      <c r="Q92" s="5"/>
    </row>
    <row r="93" spans="1:17">
      <c r="A93" s="7">
        <v>92901577</v>
      </c>
      <c r="B93" s="7" t="s">
        <v>1186</v>
      </c>
      <c r="C93" s="61">
        <v>1694</v>
      </c>
      <c r="D93" s="5">
        <v>847</v>
      </c>
      <c r="E93" s="5"/>
      <c r="G93" s="5">
        <v>520</v>
      </c>
      <c r="H93" s="5"/>
      <c r="I93" s="5"/>
      <c r="J93" s="5"/>
      <c r="K93" s="5">
        <v>11.83</v>
      </c>
      <c r="L93" s="8">
        <v>4</v>
      </c>
      <c r="M93" s="5">
        <f t="shared" si="0"/>
        <v>47.32</v>
      </c>
      <c r="N93" s="5"/>
      <c r="O93" s="5"/>
      <c r="P93" s="5"/>
      <c r="Q93" s="5"/>
    </row>
    <row r="94" spans="1:17">
      <c r="A94" s="7">
        <v>92901578</v>
      </c>
      <c r="B94" s="7" t="s">
        <v>1187</v>
      </c>
      <c r="C94" s="61">
        <v>1749</v>
      </c>
      <c r="D94" s="5">
        <v>874.5</v>
      </c>
      <c r="E94" s="5"/>
      <c r="G94" s="5">
        <v>520</v>
      </c>
      <c r="H94" s="5"/>
      <c r="I94" s="5"/>
      <c r="J94" s="5"/>
      <c r="K94" s="5">
        <v>11.83</v>
      </c>
      <c r="L94" s="8">
        <v>4</v>
      </c>
      <c r="M94" s="5">
        <f t="shared" si="0"/>
        <v>47.32</v>
      </c>
      <c r="N94" s="5"/>
      <c r="O94" s="5"/>
      <c r="P94" s="5"/>
      <c r="Q94" s="5"/>
    </row>
    <row r="95" spans="1:17">
      <c r="A95" s="7">
        <v>92901579</v>
      </c>
      <c r="B95" s="7" t="s">
        <v>1188</v>
      </c>
      <c r="C95" s="61">
        <v>1834</v>
      </c>
      <c r="D95" s="5">
        <v>917</v>
      </c>
      <c r="E95" s="5"/>
      <c r="G95" s="5">
        <v>520</v>
      </c>
      <c r="H95" s="5"/>
      <c r="I95" s="5"/>
      <c r="J95" s="5"/>
      <c r="K95" s="5">
        <v>11.83</v>
      </c>
      <c r="L95" s="8">
        <v>4</v>
      </c>
      <c r="M95" s="5">
        <f t="shared" si="0"/>
        <v>47.32</v>
      </c>
      <c r="N95" s="5"/>
      <c r="O95" s="5"/>
      <c r="P95" s="5"/>
      <c r="Q95" s="5"/>
    </row>
    <row r="96" spans="1:17">
      <c r="A96" s="7">
        <v>92901580</v>
      </c>
      <c r="B96" s="7" t="s">
        <v>1189</v>
      </c>
      <c r="C96" s="61">
        <v>2013</v>
      </c>
      <c r="D96" s="5">
        <v>1006.5</v>
      </c>
      <c r="E96" s="5"/>
      <c r="G96" s="5">
        <v>520</v>
      </c>
      <c r="H96" s="5"/>
      <c r="I96" s="5"/>
      <c r="J96" s="5"/>
      <c r="K96" s="5">
        <v>11.83</v>
      </c>
      <c r="L96" s="8">
        <v>4</v>
      </c>
      <c r="M96" s="5">
        <f t="shared" si="0"/>
        <v>47.32</v>
      </c>
      <c r="N96" s="5"/>
      <c r="O96" s="5"/>
      <c r="P96" s="5"/>
      <c r="Q96" s="5"/>
    </row>
    <row r="97" spans="1:17">
      <c r="A97" s="7">
        <v>92901581</v>
      </c>
      <c r="B97" s="7" t="s">
        <v>1190</v>
      </c>
      <c r="C97" s="61">
        <v>2092</v>
      </c>
      <c r="D97" s="5">
        <v>1046</v>
      </c>
      <c r="E97" s="5"/>
      <c r="G97" s="5">
        <v>520</v>
      </c>
      <c r="H97" s="5"/>
      <c r="I97" s="5"/>
      <c r="J97" s="5"/>
      <c r="K97" s="5">
        <v>11.83</v>
      </c>
      <c r="L97" s="8">
        <v>4</v>
      </c>
      <c r="M97" s="5">
        <f t="shared" si="0"/>
        <v>47.32</v>
      </c>
      <c r="N97" s="5"/>
      <c r="O97" s="5"/>
      <c r="P97" s="5"/>
      <c r="Q97" s="5"/>
    </row>
    <row r="98" spans="1:17">
      <c r="A98" s="7">
        <v>92901582</v>
      </c>
      <c r="B98" s="7" t="s">
        <v>1191</v>
      </c>
      <c r="C98" s="61">
        <v>2173</v>
      </c>
      <c r="D98" s="5">
        <v>1086.5</v>
      </c>
      <c r="E98" s="5"/>
      <c r="G98" s="5">
        <v>520</v>
      </c>
      <c r="H98" s="5"/>
      <c r="I98" s="5"/>
      <c r="J98" s="5"/>
      <c r="K98" s="5">
        <v>11.83</v>
      </c>
      <c r="L98" s="8">
        <v>4</v>
      </c>
      <c r="M98" s="5">
        <f t="shared" si="0"/>
        <v>47.32</v>
      </c>
      <c r="N98" s="5"/>
      <c r="O98" s="5"/>
      <c r="P98" s="5"/>
      <c r="Q98" s="5"/>
    </row>
    <row r="99" spans="1:17">
      <c r="A99" s="7">
        <v>92901583</v>
      </c>
      <c r="B99" s="7" t="s">
        <v>1192</v>
      </c>
      <c r="C99" s="61">
        <v>2424</v>
      </c>
      <c r="D99" s="5">
        <v>1212</v>
      </c>
      <c r="E99" s="5"/>
      <c r="G99" s="5">
        <v>520</v>
      </c>
      <c r="H99" s="5"/>
      <c r="I99" s="5"/>
      <c r="J99" s="5"/>
      <c r="K99" s="5">
        <v>11.83</v>
      </c>
      <c r="L99" s="8">
        <v>4</v>
      </c>
      <c r="M99" s="5">
        <f t="shared" si="0"/>
        <v>47.32</v>
      </c>
      <c r="N99" s="5"/>
      <c r="O99" s="5"/>
      <c r="P99" s="5"/>
      <c r="Q99" s="5"/>
    </row>
    <row r="100" spans="1:17">
      <c r="A100" s="7">
        <v>92901584</v>
      </c>
      <c r="B100" s="7" t="s">
        <v>1193</v>
      </c>
      <c r="C100" s="61">
        <v>2515</v>
      </c>
      <c r="D100" s="5">
        <v>1257.5</v>
      </c>
      <c r="E100" s="5"/>
      <c r="G100" s="5">
        <v>520</v>
      </c>
      <c r="H100" s="5"/>
      <c r="I100" s="5"/>
      <c r="J100" s="5"/>
      <c r="K100" s="5">
        <v>11.83</v>
      </c>
      <c r="L100" s="8">
        <v>4</v>
      </c>
      <c r="M100" s="5">
        <f t="shared" si="0"/>
        <v>47.32</v>
      </c>
      <c r="N100" s="5"/>
      <c r="O100" s="5"/>
      <c r="P100" s="5"/>
      <c r="Q100" s="5"/>
    </row>
    <row r="101" spans="1:17">
      <c r="A101" s="7">
        <v>92901585</v>
      </c>
      <c r="B101" s="7" t="s">
        <v>1194</v>
      </c>
      <c r="C101" s="61">
        <v>2605</v>
      </c>
      <c r="D101" s="5">
        <v>1302.5</v>
      </c>
      <c r="E101" s="5"/>
      <c r="G101" s="5">
        <v>520</v>
      </c>
      <c r="H101" s="5"/>
      <c r="I101" s="5"/>
      <c r="J101" s="5"/>
      <c r="K101" s="5">
        <v>11.83</v>
      </c>
      <c r="L101" s="8">
        <v>4</v>
      </c>
      <c r="M101" s="5">
        <f t="shared" si="0"/>
        <v>47.32</v>
      </c>
      <c r="N101" s="5"/>
      <c r="O101" s="5"/>
      <c r="P101" s="5"/>
      <c r="Q101" s="5"/>
    </row>
    <row r="102" spans="1:17">
      <c r="A102" s="7">
        <v>92901586</v>
      </c>
      <c r="B102" s="7" t="s">
        <v>1195</v>
      </c>
      <c r="C102" s="61">
        <v>2786</v>
      </c>
      <c r="D102" s="5">
        <v>1393</v>
      </c>
      <c r="E102" s="5"/>
      <c r="G102" s="5">
        <v>520</v>
      </c>
      <c r="H102" s="5"/>
      <c r="I102" s="5"/>
      <c r="J102" s="5"/>
      <c r="K102" s="5">
        <v>11.83</v>
      </c>
      <c r="L102" s="8">
        <v>4</v>
      </c>
      <c r="M102" s="5">
        <f t="shared" si="0"/>
        <v>47.32</v>
      </c>
      <c r="N102" s="5"/>
      <c r="O102" s="5"/>
      <c r="P102" s="5"/>
      <c r="Q102" s="5"/>
    </row>
    <row r="103" spans="1:17">
      <c r="A103" s="7">
        <v>92901587</v>
      </c>
      <c r="B103" s="7" t="s">
        <v>1196</v>
      </c>
      <c r="C103" s="61">
        <v>3237</v>
      </c>
      <c r="D103" s="5">
        <v>1618.5</v>
      </c>
      <c r="E103" s="5"/>
      <c r="G103" s="5">
        <v>520</v>
      </c>
      <c r="H103" s="5"/>
      <c r="I103" s="5"/>
      <c r="J103" s="5"/>
      <c r="K103" s="5">
        <v>11.83</v>
      </c>
      <c r="L103" s="8">
        <v>4</v>
      </c>
      <c r="M103" s="5">
        <f t="shared" si="0"/>
        <v>47.32</v>
      </c>
      <c r="N103" s="5"/>
      <c r="O103" s="5"/>
      <c r="P103" s="5"/>
      <c r="Q103" s="5"/>
    </row>
    <row r="104" spans="1:17">
      <c r="A104" s="7">
        <v>92901588</v>
      </c>
      <c r="B104" s="7" t="s">
        <v>1197</v>
      </c>
      <c r="C104" s="61">
        <v>3413</v>
      </c>
      <c r="D104" s="5">
        <v>1706.5</v>
      </c>
      <c r="E104" s="5"/>
      <c r="G104" s="5">
        <v>520</v>
      </c>
      <c r="H104" s="5"/>
      <c r="I104" s="5"/>
      <c r="J104" s="5"/>
      <c r="K104" s="5">
        <v>11.83</v>
      </c>
      <c r="L104" s="8">
        <v>4</v>
      </c>
      <c r="M104" s="5">
        <f t="shared" si="0"/>
        <v>47.32</v>
      </c>
      <c r="N104" s="5"/>
      <c r="O104" s="5"/>
      <c r="P104" s="5"/>
      <c r="Q104" s="5"/>
    </row>
    <row r="105" spans="1:17">
      <c r="A105" s="7">
        <v>92901589</v>
      </c>
      <c r="B105" s="7" t="s">
        <v>1198</v>
      </c>
      <c r="C105" s="61">
        <v>3568</v>
      </c>
      <c r="D105" s="5">
        <v>1784</v>
      </c>
      <c r="E105" s="5"/>
      <c r="G105" s="5">
        <v>520</v>
      </c>
      <c r="H105" s="5"/>
      <c r="I105" s="5"/>
      <c r="J105" s="5"/>
      <c r="K105" s="5">
        <v>11.83</v>
      </c>
      <c r="L105" s="8">
        <v>4</v>
      </c>
      <c r="M105" s="5">
        <f t="shared" si="0"/>
        <v>47.32</v>
      </c>
      <c r="N105" s="5"/>
      <c r="O105" s="5"/>
      <c r="P105" s="5"/>
      <c r="Q105" s="5"/>
    </row>
    <row r="106" spans="1:17">
      <c r="A106" s="7">
        <v>92901590</v>
      </c>
      <c r="B106" s="7" t="s">
        <v>1199</v>
      </c>
      <c r="C106" s="61">
        <v>3750</v>
      </c>
      <c r="D106" s="5">
        <v>1875</v>
      </c>
      <c r="E106" s="5"/>
      <c r="G106" s="5">
        <v>520</v>
      </c>
      <c r="H106" s="5"/>
      <c r="I106" s="5"/>
      <c r="J106" s="5"/>
      <c r="K106" s="5">
        <v>11.83</v>
      </c>
      <c r="L106" s="8">
        <v>4</v>
      </c>
      <c r="M106" s="5">
        <f t="shared" si="0"/>
        <v>47.32</v>
      </c>
      <c r="N106" s="5"/>
      <c r="O106" s="5"/>
      <c r="P106" s="5"/>
      <c r="Q106" s="5"/>
    </row>
    <row r="107" spans="1:17">
      <c r="A107" s="7">
        <v>92901591</v>
      </c>
      <c r="B107" s="7" t="s">
        <v>1200</v>
      </c>
      <c r="C107" s="61">
        <v>3930</v>
      </c>
      <c r="D107" s="5">
        <v>1965</v>
      </c>
      <c r="E107" s="5"/>
      <c r="G107" s="5">
        <v>520</v>
      </c>
      <c r="H107" s="5"/>
      <c r="I107" s="5"/>
      <c r="J107" s="5"/>
      <c r="K107" s="5">
        <v>11.83</v>
      </c>
      <c r="L107" s="8">
        <v>4</v>
      </c>
      <c r="M107" s="5">
        <f t="shared" si="0"/>
        <v>47.32</v>
      </c>
      <c r="N107" s="5"/>
      <c r="O107" s="5"/>
      <c r="P107" s="5"/>
      <c r="Q107" s="5"/>
    </row>
    <row r="108" spans="1:17">
      <c r="A108" s="7">
        <v>92901592</v>
      </c>
      <c r="B108" s="7" t="s">
        <v>1201</v>
      </c>
      <c r="C108" s="61">
        <v>4111</v>
      </c>
      <c r="D108" s="5">
        <v>2055.5</v>
      </c>
      <c r="E108" s="5"/>
      <c r="G108" s="5">
        <v>520</v>
      </c>
      <c r="H108" s="5"/>
      <c r="I108" s="5"/>
      <c r="J108" s="5"/>
      <c r="K108" s="5">
        <v>11.83</v>
      </c>
      <c r="L108" s="8">
        <v>4</v>
      </c>
      <c r="M108" s="5">
        <f t="shared" si="0"/>
        <v>47.32</v>
      </c>
      <c r="N108" s="5"/>
      <c r="O108" s="5"/>
      <c r="P108" s="5"/>
      <c r="Q108" s="5"/>
    </row>
    <row r="109" spans="1:17">
      <c r="A109" s="7">
        <v>92901593</v>
      </c>
      <c r="B109" s="7" t="s">
        <v>1202</v>
      </c>
      <c r="C109" s="61">
        <v>4291</v>
      </c>
      <c r="D109" s="5">
        <v>2145.5</v>
      </c>
      <c r="E109" s="5"/>
      <c r="G109" s="5">
        <v>520</v>
      </c>
      <c r="H109" s="5"/>
      <c r="I109" s="5"/>
      <c r="J109" s="5"/>
      <c r="K109" s="5">
        <v>11.83</v>
      </c>
      <c r="L109" s="8">
        <v>4</v>
      </c>
      <c r="M109" s="5">
        <f t="shared" si="0"/>
        <v>47.32</v>
      </c>
      <c r="N109" s="5"/>
      <c r="O109" s="5"/>
      <c r="P109" s="5"/>
      <c r="Q109" s="5"/>
    </row>
    <row r="110" spans="1:17">
      <c r="A110" s="7">
        <v>92902145</v>
      </c>
      <c r="B110" s="7" t="s">
        <v>1183</v>
      </c>
      <c r="C110" s="61">
        <v>1579</v>
      </c>
      <c r="D110" s="5">
        <v>789.5</v>
      </c>
      <c r="E110" s="5"/>
      <c r="G110" s="5">
        <v>520</v>
      </c>
      <c r="H110" s="5"/>
      <c r="I110" s="5"/>
      <c r="J110" s="5"/>
      <c r="K110" s="5">
        <v>11.83</v>
      </c>
      <c r="L110" s="8">
        <v>4</v>
      </c>
      <c r="M110" s="5">
        <f t="shared" si="0"/>
        <v>47.32</v>
      </c>
      <c r="N110" s="5"/>
      <c r="O110" s="5"/>
      <c r="P110" s="5"/>
      <c r="Q110" s="5"/>
    </row>
    <row r="111" spans="1:17">
      <c r="A111" s="7">
        <v>92902147</v>
      </c>
      <c r="B111" s="7" t="s">
        <v>1184</v>
      </c>
      <c r="C111" s="61">
        <v>1648</v>
      </c>
      <c r="D111" s="5">
        <v>824</v>
      </c>
      <c r="E111" s="5"/>
      <c r="G111" s="5">
        <v>520</v>
      </c>
      <c r="H111" s="5"/>
      <c r="I111" s="5"/>
      <c r="J111" s="5"/>
      <c r="K111" s="5">
        <v>11.83</v>
      </c>
      <c r="L111" s="8">
        <v>4</v>
      </c>
      <c r="M111" s="5">
        <f t="shared" si="0"/>
        <v>47.32</v>
      </c>
      <c r="N111" s="5"/>
      <c r="O111" s="5"/>
      <c r="P111" s="5"/>
      <c r="Q111" s="5"/>
    </row>
    <row r="112" spans="1:17">
      <c r="A112" s="7">
        <v>92902148</v>
      </c>
      <c r="B112" s="7" t="s">
        <v>1185</v>
      </c>
      <c r="C112" s="61">
        <v>1723</v>
      </c>
      <c r="D112" s="5">
        <v>861.5</v>
      </c>
      <c r="E112" s="5"/>
      <c r="G112" s="5">
        <v>520</v>
      </c>
      <c r="H112" s="5"/>
      <c r="I112" s="5"/>
      <c r="J112" s="5"/>
      <c r="K112" s="5">
        <v>11.83</v>
      </c>
      <c r="L112" s="8">
        <v>4</v>
      </c>
      <c r="M112" s="5">
        <f t="shared" si="0"/>
        <v>47.32</v>
      </c>
      <c r="N112" s="5"/>
      <c r="O112" s="5"/>
      <c r="P112" s="5"/>
      <c r="Q112" s="5"/>
    </row>
    <row r="113" spans="1:17">
      <c r="A113" s="7">
        <v>92902149</v>
      </c>
      <c r="B113" s="7" t="s">
        <v>1186</v>
      </c>
      <c r="C113" s="61">
        <v>1792</v>
      </c>
      <c r="D113" s="5">
        <v>896</v>
      </c>
      <c r="E113" s="5"/>
      <c r="G113" s="5">
        <v>520</v>
      </c>
      <c r="H113" s="5"/>
      <c r="I113" s="5"/>
      <c r="J113" s="5"/>
      <c r="K113" s="5">
        <v>11.83</v>
      </c>
      <c r="L113" s="8">
        <v>4</v>
      </c>
      <c r="M113" s="5">
        <f t="shared" si="0"/>
        <v>47.32</v>
      </c>
      <c r="N113" s="5"/>
      <c r="O113" s="5"/>
      <c r="P113" s="5"/>
      <c r="Q113" s="5"/>
    </row>
    <row r="114" spans="1:17">
      <c r="A114" s="7">
        <v>92902150</v>
      </c>
      <c r="B114" s="7" t="s">
        <v>1187</v>
      </c>
      <c r="C114" s="61">
        <v>1847</v>
      </c>
      <c r="D114" s="5">
        <v>923.5</v>
      </c>
      <c r="E114" s="5"/>
      <c r="G114" s="5">
        <v>520</v>
      </c>
      <c r="H114" s="5"/>
      <c r="I114" s="5"/>
      <c r="J114" s="5"/>
      <c r="K114" s="5">
        <v>11.83</v>
      </c>
      <c r="L114" s="8">
        <v>4</v>
      </c>
      <c r="M114" s="5">
        <f t="shared" si="0"/>
        <v>47.32</v>
      </c>
      <c r="N114" s="5"/>
      <c r="O114" s="5"/>
      <c r="P114" s="5"/>
      <c r="Q114" s="5"/>
    </row>
    <row r="115" spans="1:17">
      <c r="A115" s="7">
        <v>92902151</v>
      </c>
      <c r="B115" s="7" t="s">
        <v>1188</v>
      </c>
      <c r="C115" s="61">
        <v>1932</v>
      </c>
      <c r="D115" s="5">
        <v>966</v>
      </c>
      <c r="E115" s="5"/>
      <c r="G115" s="5">
        <v>520</v>
      </c>
      <c r="H115" s="5"/>
      <c r="I115" s="5"/>
      <c r="J115" s="5"/>
      <c r="K115" s="5">
        <v>11.83</v>
      </c>
      <c r="L115" s="8">
        <v>4</v>
      </c>
      <c r="M115" s="5">
        <f t="shared" si="0"/>
        <v>47.32</v>
      </c>
      <c r="N115" s="5"/>
      <c r="O115" s="5"/>
      <c r="P115" s="5"/>
      <c r="Q115" s="5"/>
    </row>
    <row r="116" spans="1:17">
      <c r="A116" s="7">
        <v>92902152</v>
      </c>
      <c r="B116" s="7" t="s">
        <v>1189</v>
      </c>
      <c r="C116" s="61">
        <v>2111</v>
      </c>
      <c r="D116" s="5">
        <v>1055.5</v>
      </c>
      <c r="E116" s="5"/>
      <c r="G116" s="5">
        <v>520</v>
      </c>
      <c r="H116" s="5"/>
      <c r="I116" s="5"/>
      <c r="J116" s="5"/>
      <c r="K116" s="5">
        <v>11.83</v>
      </c>
      <c r="L116" s="8">
        <v>4</v>
      </c>
      <c r="M116" s="5">
        <f t="shared" si="0"/>
        <v>47.32</v>
      </c>
      <c r="N116" s="5"/>
      <c r="O116" s="5"/>
      <c r="P116" s="5"/>
      <c r="Q116" s="5"/>
    </row>
    <row r="117" spans="1:17">
      <c r="A117" s="7">
        <v>92902153</v>
      </c>
      <c r="B117" s="7" t="s">
        <v>1190</v>
      </c>
      <c r="C117" s="61">
        <v>2191</v>
      </c>
      <c r="D117" s="5">
        <v>1095.5</v>
      </c>
      <c r="E117" s="5"/>
      <c r="G117" s="5">
        <v>520</v>
      </c>
      <c r="H117" s="5"/>
      <c r="I117" s="5"/>
      <c r="J117" s="5"/>
      <c r="K117" s="5">
        <v>11.83</v>
      </c>
      <c r="L117" s="8">
        <v>4</v>
      </c>
      <c r="M117" s="5">
        <f t="shared" si="0"/>
        <v>47.32</v>
      </c>
      <c r="N117" s="5"/>
      <c r="O117" s="5"/>
      <c r="P117" s="5"/>
      <c r="Q117" s="5"/>
    </row>
    <row r="118" spans="1:17">
      <c r="A118" s="7">
        <v>92902154</v>
      </c>
      <c r="B118" s="7" t="s">
        <v>1191</v>
      </c>
      <c r="C118" s="61">
        <v>2272</v>
      </c>
      <c r="D118" s="5">
        <v>1136</v>
      </c>
      <c r="E118" s="5"/>
      <c r="G118" s="5">
        <v>520</v>
      </c>
      <c r="H118" s="5"/>
      <c r="I118" s="5"/>
      <c r="J118" s="5"/>
      <c r="K118" s="5">
        <v>11.83</v>
      </c>
      <c r="L118" s="8">
        <v>4</v>
      </c>
      <c r="M118" s="5">
        <f t="shared" si="0"/>
        <v>47.32</v>
      </c>
      <c r="N118" s="5"/>
      <c r="O118" s="5"/>
      <c r="P118" s="5"/>
      <c r="Q118" s="5"/>
    </row>
    <row r="119" spans="1:17">
      <c r="A119" s="7">
        <v>92902155</v>
      </c>
      <c r="B119" s="7" t="s">
        <v>1192</v>
      </c>
      <c r="C119" s="61">
        <v>2523</v>
      </c>
      <c r="D119" s="5">
        <v>1261.5</v>
      </c>
      <c r="E119" s="5"/>
      <c r="G119" s="5">
        <v>520</v>
      </c>
      <c r="H119" s="5"/>
      <c r="I119" s="5"/>
      <c r="J119" s="5"/>
      <c r="K119" s="5">
        <v>11.83</v>
      </c>
      <c r="L119" s="8">
        <v>4</v>
      </c>
      <c r="M119" s="5">
        <f t="shared" si="0"/>
        <v>47.32</v>
      </c>
      <c r="N119" s="5"/>
      <c r="O119" s="5"/>
      <c r="P119" s="5"/>
      <c r="Q119" s="5"/>
    </row>
    <row r="120" spans="1:17">
      <c r="A120" s="7">
        <v>92902156</v>
      </c>
      <c r="B120" s="7" t="s">
        <v>1193</v>
      </c>
      <c r="C120" s="61">
        <v>2613</v>
      </c>
      <c r="D120" s="5">
        <v>1306.5</v>
      </c>
      <c r="E120" s="5"/>
      <c r="G120" s="5">
        <v>520</v>
      </c>
      <c r="H120" s="5"/>
      <c r="I120" s="5"/>
      <c r="J120" s="5"/>
      <c r="K120" s="5">
        <v>11.83</v>
      </c>
      <c r="L120" s="8">
        <v>4</v>
      </c>
      <c r="M120" s="5">
        <f t="shared" si="0"/>
        <v>47.32</v>
      </c>
      <c r="N120" s="5"/>
      <c r="O120" s="5"/>
      <c r="P120" s="5"/>
      <c r="Q120" s="5"/>
    </row>
    <row r="121" spans="1:17">
      <c r="A121" s="7">
        <v>92902157</v>
      </c>
      <c r="B121" s="7" t="s">
        <v>1194</v>
      </c>
      <c r="C121" s="61">
        <v>2703</v>
      </c>
      <c r="D121" s="5">
        <v>1351.5</v>
      </c>
      <c r="E121" s="5"/>
      <c r="G121" s="5">
        <v>520</v>
      </c>
      <c r="H121" s="5"/>
      <c r="I121" s="5"/>
      <c r="J121" s="5"/>
      <c r="K121" s="5">
        <v>11.83</v>
      </c>
      <c r="L121" s="8">
        <v>4</v>
      </c>
      <c r="M121" s="5">
        <f t="shared" si="0"/>
        <v>47.32</v>
      </c>
      <c r="N121" s="5"/>
      <c r="O121" s="5"/>
      <c r="P121" s="5"/>
      <c r="Q121" s="5"/>
    </row>
    <row r="122" spans="1:17">
      <c r="A122" s="7">
        <v>92902158</v>
      </c>
      <c r="B122" s="7" t="s">
        <v>1195</v>
      </c>
      <c r="C122" s="61">
        <v>2884</v>
      </c>
      <c r="D122" s="5">
        <v>1442</v>
      </c>
      <c r="E122" s="5"/>
      <c r="G122" s="5">
        <v>520</v>
      </c>
      <c r="H122" s="5"/>
      <c r="I122" s="5"/>
      <c r="J122" s="5"/>
      <c r="K122" s="5">
        <v>11.83</v>
      </c>
      <c r="L122" s="8">
        <v>4</v>
      </c>
      <c r="M122" s="5">
        <f t="shared" si="0"/>
        <v>47.32</v>
      </c>
      <c r="N122" s="5"/>
      <c r="O122" s="5"/>
      <c r="P122" s="5"/>
      <c r="Q122" s="5"/>
    </row>
    <row r="123" spans="1:17">
      <c r="A123" s="7">
        <v>92902159</v>
      </c>
      <c r="B123" s="7" t="s">
        <v>1196</v>
      </c>
      <c r="C123" s="61">
        <v>3336</v>
      </c>
      <c r="D123" s="5">
        <v>1668</v>
      </c>
      <c r="E123" s="5"/>
      <c r="G123" s="5">
        <v>520</v>
      </c>
      <c r="H123" s="5"/>
      <c r="I123" s="5"/>
      <c r="J123" s="5"/>
      <c r="K123" s="5">
        <v>11.83</v>
      </c>
      <c r="L123" s="8">
        <v>4</v>
      </c>
      <c r="M123" s="5">
        <f t="shared" si="0"/>
        <v>47.32</v>
      </c>
      <c r="N123" s="5"/>
      <c r="O123" s="5"/>
      <c r="P123" s="5"/>
      <c r="Q123" s="5"/>
    </row>
    <row r="124" spans="1:17">
      <c r="A124" s="7">
        <v>92902160</v>
      </c>
      <c r="B124" s="7" t="s">
        <v>1197</v>
      </c>
      <c r="C124" s="61">
        <v>3511</v>
      </c>
      <c r="D124" s="5">
        <v>1755.5</v>
      </c>
      <c r="E124" s="5"/>
      <c r="G124" s="5">
        <v>520</v>
      </c>
      <c r="H124" s="5"/>
      <c r="I124" s="5"/>
      <c r="J124" s="5"/>
      <c r="K124" s="5">
        <v>11.83</v>
      </c>
      <c r="L124" s="8">
        <v>4</v>
      </c>
      <c r="M124" s="5">
        <f t="shared" si="0"/>
        <v>47.32</v>
      </c>
      <c r="N124" s="5"/>
      <c r="O124" s="5"/>
      <c r="P124" s="5"/>
      <c r="Q124" s="5"/>
    </row>
    <row r="125" spans="1:17">
      <c r="A125" s="7">
        <v>92902161</v>
      </c>
      <c r="B125" s="7" t="s">
        <v>1198</v>
      </c>
      <c r="C125" s="61">
        <v>3667</v>
      </c>
      <c r="D125" s="5">
        <v>1833.5</v>
      </c>
      <c r="E125" s="5"/>
      <c r="G125" s="5">
        <v>520</v>
      </c>
      <c r="H125" s="5"/>
      <c r="I125" s="5"/>
      <c r="J125" s="5"/>
      <c r="K125" s="5">
        <v>11.83</v>
      </c>
      <c r="L125" s="8">
        <v>4</v>
      </c>
      <c r="M125" s="5">
        <f t="shared" si="0"/>
        <v>47.32</v>
      </c>
      <c r="N125" s="5"/>
      <c r="O125" s="5"/>
      <c r="P125" s="5"/>
      <c r="Q125" s="5"/>
    </row>
    <row r="126" spans="1:17">
      <c r="A126" s="7">
        <v>92902162</v>
      </c>
      <c r="B126" s="7" t="s">
        <v>1199</v>
      </c>
      <c r="C126" s="61">
        <v>3848</v>
      </c>
      <c r="D126" s="5">
        <v>1924</v>
      </c>
      <c r="E126" s="5"/>
      <c r="G126" s="5">
        <v>520</v>
      </c>
      <c r="H126" s="5"/>
      <c r="I126" s="5"/>
      <c r="J126" s="5"/>
      <c r="K126" s="5">
        <v>11.83</v>
      </c>
      <c r="L126" s="8">
        <v>4</v>
      </c>
      <c r="M126" s="5">
        <f t="shared" si="0"/>
        <v>47.32</v>
      </c>
      <c r="N126" s="5"/>
      <c r="O126" s="5"/>
      <c r="P126" s="5"/>
      <c r="Q126" s="5"/>
    </row>
    <row r="127" spans="1:17">
      <c r="A127" s="7">
        <v>92902163</v>
      </c>
      <c r="B127" s="7" t="s">
        <v>1200</v>
      </c>
      <c r="C127" s="61">
        <v>4029</v>
      </c>
      <c r="D127" s="5">
        <v>2014.5</v>
      </c>
      <c r="E127" s="5"/>
      <c r="G127" s="5">
        <v>520</v>
      </c>
      <c r="H127" s="5"/>
      <c r="I127" s="5"/>
      <c r="J127" s="5"/>
      <c r="K127" s="5">
        <v>11.83</v>
      </c>
      <c r="L127" s="8">
        <v>4</v>
      </c>
      <c r="M127" s="5">
        <f t="shared" si="0"/>
        <v>47.32</v>
      </c>
      <c r="N127" s="5"/>
      <c r="O127" s="5"/>
      <c r="P127" s="5"/>
      <c r="Q127" s="5"/>
    </row>
    <row r="128" spans="1:17">
      <c r="A128" s="7">
        <v>92902164</v>
      </c>
      <c r="B128" s="7" t="s">
        <v>1201</v>
      </c>
      <c r="C128" s="61">
        <v>4209</v>
      </c>
      <c r="D128" s="5">
        <v>2104.5</v>
      </c>
      <c r="E128" s="5"/>
      <c r="G128" s="5">
        <v>520</v>
      </c>
      <c r="H128" s="5"/>
      <c r="I128" s="5"/>
      <c r="J128" s="5"/>
      <c r="K128" s="5">
        <v>11.83</v>
      </c>
      <c r="L128" s="8">
        <v>4</v>
      </c>
      <c r="M128" s="5">
        <f t="shared" si="0"/>
        <v>47.32</v>
      </c>
      <c r="N128" s="5"/>
      <c r="O128" s="5"/>
      <c r="P128" s="5"/>
      <c r="Q128" s="5"/>
    </row>
    <row r="129" spans="1:17">
      <c r="A129" s="7">
        <v>92902165</v>
      </c>
      <c r="B129" s="7" t="s">
        <v>1202</v>
      </c>
      <c r="C129" s="61">
        <v>4390</v>
      </c>
      <c r="D129" s="5">
        <v>2195</v>
      </c>
      <c r="E129" s="5"/>
      <c r="G129" s="5">
        <v>520</v>
      </c>
      <c r="H129" s="5"/>
      <c r="I129" s="5"/>
      <c r="J129" s="5"/>
      <c r="K129" s="5">
        <v>11.83</v>
      </c>
      <c r="L129" s="8">
        <v>4</v>
      </c>
      <c r="M129" s="5">
        <f t="shared" si="0"/>
        <v>47.32</v>
      </c>
      <c r="N129" s="5"/>
      <c r="O129" s="5"/>
      <c r="P129" s="5"/>
      <c r="Q129" s="5"/>
    </row>
    <row r="130" spans="1:17">
      <c r="A130" s="7">
        <v>92902425</v>
      </c>
      <c r="B130" s="7" t="s">
        <v>1203</v>
      </c>
      <c r="C130" s="61">
        <v>1674</v>
      </c>
      <c r="D130" s="5">
        <v>837</v>
      </c>
      <c r="E130" s="5"/>
      <c r="G130" s="5">
        <v>520</v>
      </c>
      <c r="H130" s="5"/>
      <c r="I130" s="5"/>
      <c r="J130" s="5"/>
      <c r="K130" s="5">
        <v>11.83</v>
      </c>
      <c r="L130" s="8">
        <v>4</v>
      </c>
      <c r="M130" s="5">
        <f t="shared" si="0"/>
        <v>47.32</v>
      </c>
    </row>
    <row r="131" spans="1:17">
      <c r="A131" s="7">
        <v>92902426</v>
      </c>
      <c r="B131" s="7" t="s">
        <v>1204</v>
      </c>
      <c r="C131" s="61">
        <v>1788</v>
      </c>
      <c r="D131" s="5">
        <v>894</v>
      </c>
      <c r="E131" s="5"/>
      <c r="G131" s="5">
        <v>520</v>
      </c>
      <c r="H131" s="5"/>
      <c r="I131" s="5"/>
      <c r="J131" s="5"/>
      <c r="K131" s="5">
        <v>11.83</v>
      </c>
      <c r="L131" s="8">
        <v>4</v>
      </c>
      <c r="M131" s="5">
        <f t="shared" si="0"/>
        <v>47.32</v>
      </c>
    </row>
    <row r="132" spans="1:17">
      <c r="A132" s="7">
        <v>92902427</v>
      </c>
      <c r="B132" s="7" t="s">
        <v>1205</v>
      </c>
      <c r="C132" s="61">
        <v>1910</v>
      </c>
      <c r="D132" s="5">
        <v>955</v>
      </c>
      <c r="E132" s="5"/>
      <c r="G132" s="5">
        <v>520</v>
      </c>
      <c r="H132" s="5"/>
      <c r="I132" s="5"/>
      <c r="J132" s="5"/>
      <c r="K132" s="5">
        <v>11.83</v>
      </c>
      <c r="L132" s="8">
        <v>4</v>
      </c>
      <c r="M132" s="5">
        <f t="shared" si="0"/>
        <v>47.32</v>
      </c>
    </row>
    <row r="133" spans="1:17">
      <c r="A133" s="7">
        <v>92902428</v>
      </c>
      <c r="B133" s="7" t="s">
        <v>1206</v>
      </c>
      <c r="C133" s="61">
        <v>2146</v>
      </c>
      <c r="D133" s="5">
        <v>1073</v>
      </c>
      <c r="E133" s="5"/>
      <c r="G133" s="5">
        <v>520</v>
      </c>
      <c r="H133" s="5"/>
      <c r="I133" s="5"/>
      <c r="J133" s="5"/>
      <c r="K133" s="5">
        <v>11.83</v>
      </c>
      <c r="L133" s="8">
        <v>4</v>
      </c>
      <c r="M133" s="5">
        <f t="shared" si="0"/>
        <v>47.32</v>
      </c>
    </row>
    <row r="134" spans="1:17">
      <c r="A134" s="7">
        <v>92902429</v>
      </c>
      <c r="B134" s="7" t="s">
        <v>1207</v>
      </c>
      <c r="C134" s="61">
        <v>2328</v>
      </c>
      <c r="D134" s="5">
        <v>1164</v>
      </c>
      <c r="E134" s="5"/>
      <c r="G134" s="5">
        <v>520</v>
      </c>
      <c r="H134" s="5"/>
      <c r="I134" s="5"/>
      <c r="J134" s="5"/>
      <c r="K134" s="5">
        <v>11.83</v>
      </c>
      <c r="L134" s="8">
        <v>4</v>
      </c>
      <c r="M134" s="5">
        <f t="shared" si="0"/>
        <v>47.32</v>
      </c>
    </row>
    <row r="135" spans="1:17">
      <c r="A135" s="7">
        <v>92902430</v>
      </c>
      <c r="B135" s="7" t="s">
        <v>1208</v>
      </c>
      <c r="C135" s="61">
        <v>2402</v>
      </c>
      <c r="D135" s="5">
        <v>1201</v>
      </c>
      <c r="E135" s="5"/>
      <c r="G135" s="5">
        <v>520</v>
      </c>
      <c r="H135" s="5"/>
      <c r="I135" s="5"/>
      <c r="J135" s="5"/>
      <c r="K135" s="5">
        <v>11.83</v>
      </c>
      <c r="L135" s="8">
        <v>4</v>
      </c>
      <c r="M135" s="5">
        <f t="shared" si="0"/>
        <v>47.32</v>
      </c>
    </row>
    <row r="136" spans="1:17">
      <c r="A136" s="7">
        <v>92902431</v>
      </c>
      <c r="B136" s="7" t="s">
        <v>1209</v>
      </c>
      <c r="C136" s="61">
        <v>2478</v>
      </c>
      <c r="D136" s="5">
        <v>1239</v>
      </c>
      <c r="E136" s="5"/>
      <c r="G136" s="5">
        <v>520</v>
      </c>
      <c r="H136" s="5"/>
      <c r="I136" s="5"/>
      <c r="J136" s="5"/>
      <c r="K136" s="5">
        <v>11.83</v>
      </c>
      <c r="L136" s="8">
        <v>4</v>
      </c>
      <c r="M136" s="5">
        <f t="shared" si="0"/>
        <v>47.32</v>
      </c>
    </row>
    <row r="137" spans="1:17">
      <c r="A137" s="7">
        <v>92902432</v>
      </c>
      <c r="B137" s="7" t="s">
        <v>1210</v>
      </c>
      <c r="C137" s="61">
        <v>2875</v>
      </c>
      <c r="D137" s="5">
        <v>1437.5</v>
      </c>
      <c r="E137" s="5"/>
      <c r="G137" s="5">
        <v>520</v>
      </c>
      <c r="H137" s="5"/>
      <c r="I137" s="5"/>
      <c r="J137" s="5"/>
      <c r="K137" s="5">
        <v>11.83</v>
      </c>
      <c r="L137" s="8">
        <v>4</v>
      </c>
      <c r="M137" s="5">
        <f t="shared" si="0"/>
        <v>47.32</v>
      </c>
    </row>
    <row r="138" spans="1:17">
      <c r="A138" s="7">
        <v>92902433</v>
      </c>
      <c r="B138" s="7" t="s">
        <v>1211</v>
      </c>
      <c r="C138" s="61">
        <v>2971</v>
      </c>
      <c r="D138" s="5">
        <v>1485.5</v>
      </c>
      <c r="E138" s="5"/>
      <c r="G138" s="5">
        <v>520</v>
      </c>
      <c r="H138" s="5"/>
      <c r="I138" s="5"/>
      <c r="J138" s="5"/>
      <c r="K138" s="5">
        <v>11.83</v>
      </c>
      <c r="L138" s="8">
        <v>4</v>
      </c>
      <c r="M138" s="5">
        <f t="shared" si="0"/>
        <v>47.32</v>
      </c>
    </row>
    <row r="139" spans="1:17">
      <c r="A139" s="7">
        <v>92902434</v>
      </c>
      <c r="B139" s="7" t="s">
        <v>1212</v>
      </c>
      <c r="C139" s="61">
        <v>3232</v>
      </c>
      <c r="D139" s="5">
        <v>1616</v>
      </c>
      <c r="E139" s="5"/>
      <c r="G139" s="5">
        <v>520</v>
      </c>
      <c r="H139" s="5"/>
      <c r="I139" s="5"/>
      <c r="J139" s="5"/>
      <c r="K139" s="5">
        <v>11.83</v>
      </c>
      <c r="L139" s="8">
        <v>4</v>
      </c>
      <c r="M139" s="5">
        <f t="shared" si="0"/>
        <v>47.32</v>
      </c>
    </row>
    <row r="140" spans="1:17">
      <c r="A140" s="7">
        <v>92902436</v>
      </c>
      <c r="B140" s="7" t="s">
        <v>1213</v>
      </c>
      <c r="C140" s="61">
        <v>3306</v>
      </c>
      <c r="D140" s="5">
        <v>1653</v>
      </c>
      <c r="E140" s="5"/>
      <c r="G140" s="5">
        <v>520</v>
      </c>
      <c r="H140" s="5"/>
      <c r="I140" s="5"/>
      <c r="J140" s="5"/>
      <c r="K140" s="5">
        <v>11.83</v>
      </c>
      <c r="L140" s="8">
        <v>4</v>
      </c>
      <c r="M140" s="5">
        <f t="shared" si="0"/>
        <v>47.32</v>
      </c>
    </row>
    <row r="141" spans="1:17">
      <c r="A141" s="7">
        <v>92902437</v>
      </c>
      <c r="B141" s="7" t="s">
        <v>1214</v>
      </c>
      <c r="C141" s="61">
        <v>3386</v>
      </c>
      <c r="D141" s="5">
        <v>1693</v>
      </c>
      <c r="E141" s="5"/>
      <c r="G141" s="5">
        <v>520</v>
      </c>
      <c r="H141" s="5"/>
      <c r="I141" s="5"/>
      <c r="J141" s="5"/>
      <c r="K141" s="5">
        <v>11.83</v>
      </c>
      <c r="L141" s="8">
        <v>4</v>
      </c>
      <c r="M141" s="5">
        <f t="shared" si="0"/>
        <v>47.32</v>
      </c>
    </row>
    <row r="142" spans="1:17">
      <c r="A142" s="7">
        <v>92902438</v>
      </c>
      <c r="B142" s="7" t="s">
        <v>1215</v>
      </c>
      <c r="C142" s="61">
        <v>3461</v>
      </c>
      <c r="D142" s="5">
        <v>1730.5</v>
      </c>
      <c r="E142" s="5"/>
      <c r="G142" s="5">
        <v>520</v>
      </c>
      <c r="H142" s="5"/>
      <c r="I142" s="5"/>
      <c r="J142" s="5"/>
      <c r="K142" s="5">
        <v>11.83</v>
      </c>
      <c r="L142" s="8">
        <v>4</v>
      </c>
      <c r="M142" s="5">
        <f t="shared" si="0"/>
        <v>47.32</v>
      </c>
    </row>
    <row r="143" spans="1:17">
      <c r="A143" s="7">
        <v>92902439</v>
      </c>
      <c r="B143" s="7" t="s">
        <v>1216</v>
      </c>
      <c r="C143" s="61">
        <v>3535</v>
      </c>
      <c r="D143" s="5">
        <v>1767.5</v>
      </c>
      <c r="E143" s="5"/>
      <c r="G143" s="5">
        <v>520</v>
      </c>
      <c r="H143" s="5"/>
      <c r="I143" s="5"/>
      <c r="J143" s="5"/>
      <c r="K143" s="5">
        <v>11.83</v>
      </c>
      <c r="L143" s="8">
        <v>4</v>
      </c>
      <c r="M143" s="5">
        <f t="shared" si="0"/>
        <v>47.32</v>
      </c>
    </row>
    <row r="144" spans="1:17">
      <c r="A144" s="7">
        <v>92902450</v>
      </c>
      <c r="B144" s="7" t="s">
        <v>1217</v>
      </c>
      <c r="C144" s="61">
        <v>3608</v>
      </c>
      <c r="D144" s="5">
        <v>1804</v>
      </c>
      <c r="E144" s="5"/>
      <c r="G144" s="5">
        <v>520</v>
      </c>
      <c r="H144" s="5"/>
      <c r="I144" s="5"/>
      <c r="J144" s="5"/>
      <c r="K144" s="5">
        <v>11.83</v>
      </c>
      <c r="L144" s="8">
        <v>4</v>
      </c>
      <c r="M144" s="5">
        <f t="shared" si="0"/>
        <v>47.32</v>
      </c>
    </row>
    <row r="145" spans="1:13">
      <c r="A145" s="7">
        <v>92902507</v>
      </c>
      <c r="B145" s="7" t="s">
        <v>1203</v>
      </c>
      <c r="C145" s="61">
        <v>1772</v>
      </c>
      <c r="D145" s="5">
        <v>886</v>
      </c>
      <c r="E145" s="5"/>
      <c r="G145" s="5">
        <v>520</v>
      </c>
      <c r="H145" s="5"/>
      <c r="I145" s="5"/>
      <c r="J145" s="5"/>
      <c r="K145" s="5">
        <v>11.83</v>
      </c>
      <c r="L145" s="8">
        <v>4</v>
      </c>
      <c r="M145" s="5">
        <f t="shared" si="0"/>
        <v>47.32</v>
      </c>
    </row>
    <row r="146" spans="1:13">
      <c r="A146" s="7">
        <v>92902508</v>
      </c>
      <c r="B146" s="7" t="s">
        <v>1204</v>
      </c>
      <c r="C146" s="61">
        <v>1886</v>
      </c>
      <c r="D146" s="5">
        <v>943</v>
      </c>
      <c r="E146" s="5"/>
      <c r="G146" s="5">
        <v>520</v>
      </c>
      <c r="H146" s="5"/>
      <c r="I146" s="5"/>
      <c r="J146" s="5"/>
      <c r="K146" s="5">
        <v>11.83</v>
      </c>
      <c r="L146" s="8">
        <v>4</v>
      </c>
      <c r="M146" s="5">
        <f t="shared" si="0"/>
        <v>47.32</v>
      </c>
    </row>
    <row r="147" spans="1:13">
      <c r="A147" s="7">
        <v>92902509</v>
      </c>
      <c r="B147" s="7" t="s">
        <v>1205</v>
      </c>
      <c r="C147" s="61">
        <v>2008</v>
      </c>
      <c r="D147" s="5">
        <v>1004</v>
      </c>
      <c r="E147" s="5"/>
      <c r="G147" s="5">
        <v>520</v>
      </c>
      <c r="H147" s="5"/>
      <c r="I147" s="5"/>
      <c r="J147" s="5"/>
      <c r="K147" s="5">
        <v>11.83</v>
      </c>
      <c r="L147" s="8">
        <v>4</v>
      </c>
      <c r="M147" s="5">
        <f t="shared" si="0"/>
        <v>47.32</v>
      </c>
    </row>
    <row r="148" spans="1:13">
      <c r="A148" s="7">
        <v>92902510</v>
      </c>
      <c r="B148" s="7" t="s">
        <v>1206</v>
      </c>
      <c r="C148" s="61">
        <v>2245</v>
      </c>
      <c r="D148" s="5">
        <v>1122.5</v>
      </c>
      <c r="E148" s="5"/>
      <c r="G148" s="5">
        <v>520</v>
      </c>
      <c r="H148" s="5"/>
      <c r="I148" s="5"/>
      <c r="J148" s="5"/>
      <c r="K148" s="5">
        <v>11.83</v>
      </c>
      <c r="L148" s="8">
        <v>4</v>
      </c>
      <c r="M148" s="5">
        <f t="shared" si="0"/>
        <v>47.32</v>
      </c>
    </row>
    <row r="149" spans="1:13">
      <c r="A149" s="7">
        <v>92902512</v>
      </c>
      <c r="B149" s="7" t="s">
        <v>1207</v>
      </c>
      <c r="C149" s="61">
        <v>2427</v>
      </c>
      <c r="D149" s="5">
        <v>1213.5</v>
      </c>
      <c r="E149" s="5"/>
      <c r="G149" s="5">
        <v>520</v>
      </c>
      <c r="H149" s="5"/>
      <c r="I149" s="5"/>
      <c r="J149" s="5"/>
      <c r="K149" s="5">
        <v>11.83</v>
      </c>
      <c r="L149" s="8">
        <v>4</v>
      </c>
      <c r="M149" s="5">
        <f t="shared" si="0"/>
        <v>47.32</v>
      </c>
    </row>
    <row r="150" spans="1:13">
      <c r="A150" s="7">
        <v>92902513</v>
      </c>
      <c r="B150" s="7" t="s">
        <v>1208</v>
      </c>
      <c r="C150" s="61">
        <v>2501</v>
      </c>
      <c r="D150" s="5">
        <v>1250.5</v>
      </c>
      <c r="E150" s="5"/>
      <c r="G150" s="5">
        <v>520</v>
      </c>
      <c r="H150" s="5"/>
      <c r="I150" s="5"/>
      <c r="J150" s="5"/>
      <c r="K150" s="5">
        <v>11.83</v>
      </c>
      <c r="L150" s="8">
        <v>4</v>
      </c>
      <c r="M150" s="5">
        <f t="shared" si="0"/>
        <v>47.32</v>
      </c>
    </row>
    <row r="151" spans="1:13">
      <c r="A151" s="7">
        <v>92902514</v>
      </c>
      <c r="B151" s="7" t="s">
        <v>1209</v>
      </c>
      <c r="C151" s="61">
        <v>2576</v>
      </c>
      <c r="D151" s="5">
        <v>1288</v>
      </c>
      <c r="E151" s="5"/>
      <c r="G151" s="5">
        <v>520</v>
      </c>
      <c r="H151" s="5"/>
      <c r="I151" s="5"/>
      <c r="J151" s="5"/>
      <c r="K151" s="5">
        <v>11.83</v>
      </c>
      <c r="L151" s="8">
        <v>4</v>
      </c>
      <c r="M151" s="5">
        <f t="shared" si="0"/>
        <v>47.32</v>
      </c>
    </row>
    <row r="152" spans="1:13">
      <c r="A152" s="7">
        <v>92902515</v>
      </c>
      <c r="B152" s="7" t="s">
        <v>1210</v>
      </c>
      <c r="C152" s="61">
        <v>2974</v>
      </c>
      <c r="D152" s="5">
        <v>1487</v>
      </c>
      <c r="E152" s="5"/>
      <c r="G152" s="5">
        <v>520</v>
      </c>
      <c r="H152" s="5"/>
      <c r="I152" s="5"/>
      <c r="J152" s="5"/>
      <c r="K152" s="5">
        <v>11.83</v>
      </c>
      <c r="L152" s="8">
        <v>4</v>
      </c>
      <c r="M152" s="5">
        <f t="shared" si="0"/>
        <v>47.32</v>
      </c>
    </row>
    <row r="153" spans="1:13">
      <c r="A153" s="7">
        <v>92902516</v>
      </c>
      <c r="B153" s="7" t="s">
        <v>1211</v>
      </c>
      <c r="C153" s="61">
        <v>3069</v>
      </c>
      <c r="D153" s="5">
        <v>1534.5</v>
      </c>
      <c r="E153" s="5"/>
      <c r="G153" s="5">
        <v>520</v>
      </c>
      <c r="H153" s="5"/>
      <c r="I153" s="5"/>
      <c r="J153" s="5"/>
      <c r="K153" s="5">
        <v>11.83</v>
      </c>
      <c r="L153" s="8">
        <v>4</v>
      </c>
      <c r="M153" s="5">
        <f t="shared" si="0"/>
        <v>47.32</v>
      </c>
    </row>
    <row r="154" spans="1:13">
      <c r="A154" s="7">
        <v>92902518</v>
      </c>
      <c r="B154" s="7" t="s">
        <v>1212</v>
      </c>
      <c r="C154" s="61">
        <v>3330</v>
      </c>
      <c r="D154" s="5">
        <v>1665</v>
      </c>
      <c r="E154" s="5"/>
      <c r="G154" s="5">
        <v>520</v>
      </c>
      <c r="H154" s="5"/>
      <c r="I154" s="5"/>
      <c r="J154" s="5"/>
      <c r="K154" s="5">
        <v>11.83</v>
      </c>
      <c r="L154" s="8">
        <v>4</v>
      </c>
      <c r="M154" s="5">
        <f t="shared" si="0"/>
        <v>47.32</v>
      </c>
    </row>
    <row r="155" spans="1:13">
      <c r="A155" s="7">
        <v>92902519</v>
      </c>
      <c r="B155" s="7" t="s">
        <v>1213</v>
      </c>
      <c r="C155" s="61">
        <v>3404</v>
      </c>
      <c r="D155" s="5">
        <v>1702</v>
      </c>
      <c r="E155" s="5"/>
      <c r="G155" s="5">
        <v>520</v>
      </c>
      <c r="H155" s="5"/>
      <c r="I155" s="5"/>
      <c r="J155" s="5"/>
      <c r="K155" s="5">
        <v>11.83</v>
      </c>
      <c r="L155" s="8">
        <v>4</v>
      </c>
      <c r="M155" s="5">
        <f t="shared" si="0"/>
        <v>47.32</v>
      </c>
    </row>
    <row r="156" spans="1:13">
      <c r="A156" s="7">
        <v>92902520</v>
      </c>
      <c r="B156" s="7" t="s">
        <v>1214</v>
      </c>
      <c r="C156" s="61">
        <v>3484</v>
      </c>
      <c r="D156" s="5">
        <v>1742</v>
      </c>
      <c r="E156" s="5"/>
      <c r="G156" s="5">
        <v>520</v>
      </c>
      <c r="H156" s="5"/>
      <c r="I156" s="5"/>
      <c r="J156" s="5"/>
      <c r="K156" s="5">
        <v>11.83</v>
      </c>
      <c r="L156" s="8">
        <v>4</v>
      </c>
      <c r="M156" s="5">
        <f t="shared" si="0"/>
        <v>47.32</v>
      </c>
    </row>
    <row r="157" spans="1:13">
      <c r="A157" s="7">
        <v>92902521</v>
      </c>
      <c r="B157" s="7" t="s">
        <v>1215</v>
      </c>
      <c r="C157" s="61">
        <v>3559</v>
      </c>
      <c r="D157" s="5">
        <v>1779.5</v>
      </c>
      <c r="E157" s="5"/>
      <c r="G157" s="5">
        <v>520</v>
      </c>
      <c r="H157" s="5"/>
      <c r="I157" s="5"/>
      <c r="J157" s="5"/>
      <c r="K157" s="5">
        <v>11.83</v>
      </c>
      <c r="L157" s="8">
        <v>4</v>
      </c>
      <c r="M157" s="5">
        <f t="shared" si="0"/>
        <v>47.32</v>
      </c>
    </row>
    <row r="158" spans="1:13">
      <c r="A158" s="7">
        <v>92902522</v>
      </c>
      <c r="B158" s="7" t="s">
        <v>1216</v>
      </c>
      <c r="C158" s="61">
        <v>3633</v>
      </c>
      <c r="D158" s="5">
        <v>1816.5</v>
      </c>
      <c r="E158" s="5"/>
      <c r="G158" s="5">
        <v>520</v>
      </c>
      <c r="H158" s="5"/>
      <c r="I158" s="5"/>
      <c r="J158" s="5"/>
      <c r="K158" s="5">
        <v>11.83</v>
      </c>
      <c r="L158" s="8">
        <v>4</v>
      </c>
      <c r="M158" s="5">
        <f t="shared" si="0"/>
        <v>47.32</v>
      </c>
    </row>
    <row r="159" spans="1:13">
      <c r="A159" s="7">
        <v>92902523</v>
      </c>
      <c r="B159" s="7" t="s">
        <v>1217</v>
      </c>
      <c r="C159" s="61">
        <v>3706</v>
      </c>
      <c r="D159" s="5">
        <v>1853</v>
      </c>
      <c r="E159" s="5"/>
      <c r="G159" s="5">
        <v>520</v>
      </c>
      <c r="H159" s="5"/>
      <c r="I159" s="5"/>
      <c r="J159" s="5"/>
      <c r="K159" s="5">
        <v>11.83</v>
      </c>
      <c r="L159" s="8">
        <v>4</v>
      </c>
      <c r="M159" s="5">
        <f t="shared" si="0"/>
        <v>47.32</v>
      </c>
    </row>
    <row r="160" spans="1:13">
      <c r="A160" s="7">
        <v>92982745</v>
      </c>
      <c r="B160" s="7" t="s">
        <v>1218</v>
      </c>
      <c r="C160" s="61">
        <v>4049</v>
      </c>
      <c r="D160" s="5">
        <v>2024.5</v>
      </c>
      <c r="E160" s="5"/>
    </row>
    <row r="161" spans="1:13">
      <c r="A161" s="7">
        <v>92982747</v>
      </c>
      <c r="B161" s="7" t="s">
        <v>1219</v>
      </c>
      <c r="C161" s="61">
        <v>3988</v>
      </c>
      <c r="D161" s="5">
        <v>1994</v>
      </c>
      <c r="E161" s="5"/>
      <c r="G161" s="5">
        <v>520</v>
      </c>
      <c r="H161" s="5"/>
      <c r="I161" s="5"/>
      <c r="J161" s="5"/>
      <c r="K161" s="5">
        <v>11.83</v>
      </c>
      <c r="L161" s="8">
        <v>4</v>
      </c>
      <c r="M161" s="5">
        <f t="shared" ref="M161:M168" si="1">K161*L161</f>
        <v>47.32</v>
      </c>
    </row>
    <row r="162" spans="1:13">
      <c r="A162" s="7">
        <v>92982748</v>
      </c>
      <c r="B162" s="7" t="s">
        <v>1220</v>
      </c>
      <c r="C162" s="61">
        <v>3819</v>
      </c>
      <c r="D162" s="5">
        <v>1909.5</v>
      </c>
      <c r="E162" s="5"/>
      <c r="G162" s="5">
        <v>520</v>
      </c>
      <c r="H162" s="5"/>
      <c r="I162" s="5"/>
      <c r="J162" s="5"/>
      <c r="K162" s="5">
        <v>11.83</v>
      </c>
      <c r="L162" s="8">
        <v>4</v>
      </c>
      <c r="M162" s="5">
        <f t="shared" si="1"/>
        <v>47.32</v>
      </c>
    </row>
    <row r="163" spans="1:13">
      <c r="A163" s="7">
        <v>92982760</v>
      </c>
      <c r="B163" s="7" t="s">
        <v>1221</v>
      </c>
      <c r="C163" s="61">
        <v>4133</v>
      </c>
      <c r="D163" s="5">
        <v>2066.5</v>
      </c>
      <c r="E163" s="5"/>
      <c r="G163" s="5">
        <v>520</v>
      </c>
      <c r="H163" s="5"/>
      <c r="I163" s="5"/>
      <c r="J163" s="5"/>
      <c r="K163" s="5">
        <v>11.83</v>
      </c>
      <c r="L163" s="8">
        <v>4</v>
      </c>
      <c r="M163" s="5">
        <f t="shared" si="1"/>
        <v>47.32</v>
      </c>
    </row>
    <row r="164" spans="1:13">
      <c r="A164" s="7">
        <v>92983552</v>
      </c>
      <c r="B164" s="7" t="s">
        <v>1222</v>
      </c>
      <c r="C164" s="61">
        <v>2435</v>
      </c>
      <c r="D164" s="5">
        <v>1217.5</v>
      </c>
      <c r="E164" s="5"/>
      <c r="G164" s="5">
        <v>520</v>
      </c>
      <c r="H164" s="5"/>
      <c r="I164" s="5"/>
      <c r="J164" s="5"/>
      <c r="K164" s="5">
        <v>11.83</v>
      </c>
      <c r="L164" s="8">
        <v>4</v>
      </c>
      <c r="M164" s="5">
        <f t="shared" si="1"/>
        <v>47.32</v>
      </c>
    </row>
    <row r="165" spans="1:13">
      <c r="A165" s="7">
        <v>92983556</v>
      </c>
      <c r="B165" s="7" t="s">
        <v>1223</v>
      </c>
      <c r="C165" s="61">
        <v>2639</v>
      </c>
      <c r="D165" s="5">
        <v>1319.5</v>
      </c>
      <c r="E165" s="5"/>
      <c r="G165" s="5">
        <v>520</v>
      </c>
      <c r="H165" s="5"/>
      <c r="I165" s="5"/>
      <c r="J165" s="5"/>
      <c r="K165" s="5">
        <v>11.83</v>
      </c>
      <c r="L165" s="8">
        <v>4</v>
      </c>
      <c r="M165" s="5">
        <f t="shared" si="1"/>
        <v>47.32</v>
      </c>
    </row>
    <row r="166" spans="1:13">
      <c r="A166" s="7">
        <v>92983561</v>
      </c>
      <c r="B166" s="7" t="s">
        <v>1224</v>
      </c>
      <c r="C166" s="61">
        <v>3121</v>
      </c>
      <c r="D166" s="5">
        <v>1560.5</v>
      </c>
      <c r="E166" s="5"/>
      <c r="G166" s="5">
        <v>520</v>
      </c>
      <c r="H166" s="5"/>
      <c r="I166" s="5"/>
      <c r="J166" s="5"/>
      <c r="K166" s="5">
        <v>11.83</v>
      </c>
      <c r="L166" s="8">
        <v>4</v>
      </c>
      <c r="M166" s="5">
        <f t="shared" si="1"/>
        <v>47.32</v>
      </c>
    </row>
    <row r="167" spans="1:13">
      <c r="A167" s="7">
        <v>92983566</v>
      </c>
      <c r="B167" s="7" t="s">
        <v>1225</v>
      </c>
      <c r="C167" s="61">
        <v>3535</v>
      </c>
      <c r="D167" s="5">
        <v>1767.5</v>
      </c>
      <c r="E167" s="5"/>
      <c r="G167" s="5">
        <v>520</v>
      </c>
      <c r="H167" s="5"/>
      <c r="I167" s="5"/>
      <c r="J167" s="5"/>
      <c r="K167" s="5">
        <v>11.83</v>
      </c>
      <c r="L167" s="8">
        <v>4</v>
      </c>
      <c r="M167" s="5">
        <f t="shared" si="1"/>
        <v>47.32</v>
      </c>
    </row>
    <row r="168" spans="1:13">
      <c r="A168" s="7">
        <v>92983568</v>
      </c>
      <c r="B168" s="7" t="s">
        <v>1226</v>
      </c>
      <c r="C168" s="61">
        <v>3335</v>
      </c>
      <c r="D168" s="5">
        <v>1667.5</v>
      </c>
      <c r="E168" s="5"/>
      <c r="G168" s="5">
        <v>520</v>
      </c>
      <c r="H168" s="5"/>
      <c r="I168" s="5"/>
      <c r="J168" s="5"/>
      <c r="K168" s="5">
        <v>11.83</v>
      </c>
      <c r="L168" s="8">
        <v>4</v>
      </c>
      <c r="M168" s="5">
        <f t="shared" si="1"/>
        <v>47.32</v>
      </c>
    </row>
    <row r="169" spans="1:13">
      <c r="A169" s="7">
        <v>92983569</v>
      </c>
      <c r="B169" s="7" t="s">
        <v>1227</v>
      </c>
      <c r="C169" s="61">
        <v>3255</v>
      </c>
      <c r="D169" s="5">
        <v>1627.5</v>
      </c>
      <c r="E169" s="5"/>
    </row>
    <row r="170" spans="1:13">
      <c r="A170" s="7">
        <v>96500345</v>
      </c>
      <c r="B170" s="7" t="s">
        <v>1227</v>
      </c>
      <c r="C170" s="61">
        <v>2943</v>
      </c>
      <c r="D170" s="5">
        <v>1471.5</v>
      </c>
      <c r="E170" s="5"/>
    </row>
    <row r="171" spans="1:13">
      <c r="A171" s="7">
        <v>96500346</v>
      </c>
      <c r="B171" s="7" t="s">
        <v>1218</v>
      </c>
      <c r="C171" s="61">
        <v>3595</v>
      </c>
      <c r="D171" s="5">
        <v>1797.5</v>
      </c>
      <c r="E171" s="5"/>
    </row>
    <row r="172" spans="1:13">
      <c r="A172" s="7">
        <v>96500526</v>
      </c>
      <c r="B172" s="7" t="s">
        <v>1228</v>
      </c>
      <c r="C172" s="61">
        <v>4830</v>
      </c>
      <c r="D172" s="5">
        <v>2415</v>
      </c>
      <c r="E172" s="5"/>
    </row>
    <row r="173" spans="1:13">
      <c r="A173" s="7">
        <v>96500527</v>
      </c>
      <c r="B173" s="7" t="s">
        <v>1229</v>
      </c>
      <c r="C173" s="61">
        <v>5863</v>
      </c>
      <c r="D173" s="5">
        <v>2931.5</v>
      </c>
      <c r="E173" s="5"/>
    </row>
    <row r="174" spans="1:13">
      <c r="A174" s="7">
        <v>96500528</v>
      </c>
      <c r="B174" s="7" t="s">
        <v>1230</v>
      </c>
      <c r="C174" s="61">
        <v>6088</v>
      </c>
      <c r="D174" s="5">
        <v>3044</v>
      </c>
      <c r="E174" s="5"/>
    </row>
    <row r="175" spans="1:13">
      <c r="A175" s="7">
        <v>96500529</v>
      </c>
      <c r="B175" s="7" t="s">
        <v>1231</v>
      </c>
      <c r="C175" s="61">
        <v>7026</v>
      </c>
      <c r="D175" s="5">
        <v>3513</v>
      </c>
      <c r="E175" s="5"/>
    </row>
    <row r="176" spans="1:13">
      <c r="A176" s="7">
        <v>96500530</v>
      </c>
      <c r="B176" s="7" t="s">
        <v>1232</v>
      </c>
      <c r="C176" s="61">
        <v>7255</v>
      </c>
      <c r="D176" s="5">
        <v>3627.5</v>
      </c>
      <c r="E176" s="5"/>
    </row>
    <row r="177" spans="1:13">
      <c r="A177" s="7">
        <v>96500531</v>
      </c>
      <c r="B177" s="7" t="s">
        <v>1233</v>
      </c>
      <c r="C177" s="61">
        <v>9001</v>
      </c>
      <c r="D177" s="5">
        <v>4500.5</v>
      </c>
      <c r="E177" s="5"/>
    </row>
    <row r="178" spans="1:13">
      <c r="A178" s="7">
        <v>96500532</v>
      </c>
      <c r="B178" s="7" t="s">
        <v>1234</v>
      </c>
      <c r="C178" s="61">
        <v>9456</v>
      </c>
      <c r="D178" s="5">
        <v>4728</v>
      </c>
      <c r="E178" s="5"/>
    </row>
    <row r="179" spans="1:13">
      <c r="A179" s="7">
        <v>96500533</v>
      </c>
      <c r="B179" s="7" t="s">
        <v>1235</v>
      </c>
      <c r="C179" s="61">
        <v>11495</v>
      </c>
      <c r="D179" s="5">
        <v>5747.5</v>
      </c>
      <c r="E179" s="5"/>
    </row>
    <row r="180" spans="1:13">
      <c r="A180" s="7">
        <v>96500534</v>
      </c>
      <c r="B180" s="7" t="s">
        <v>1236</v>
      </c>
      <c r="C180" s="61">
        <v>12045</v>
      </c>
      <c r="D180" s="5">
        <v>6022.5</v>
      </c>
      <c r="E180" s="5"/>
    </row>
    <row r="181" spans="1:13">
      <c r="A181" s="7">
        <v>96500535</v>
      </c>
      <c r="B181" s="7" t="s">
        <v>1237</v>
      </c>
      <c r="C181" s="61">
        <v>14213</v>
      </c>
      <c r="D181" s="5">
        <v>7106.5</v>
      </c>
      <c r="E181" s="5"/>
    </row>
    <row r="182" spans="1:13">
      <c r="A182" s="7">
        <v>96500992</v>
      </c>
      <c r="B182" s="7" t="s">
        <v>1222</v>
      </c>
      <c r="C182" s="61">
        <v>2327</v>
      </c>
      <c r="D182" s="5">
        <v>1163.5</v>
      </c>
      <c r="E182" s="5"/>
      <c r="G182" s="5">
        <v>520</v>
      </c>
      <c r="H182" s="5"/>
      <c r="I182" s="5"/>
      <c r="J182" s="5"/>
      <c r="K182" s="5">
        <v>11.83</v>
      </c>
      <c r="L182" s="8">
        <v>4</v>
      </c>
      <c r="M182" s="5">
        <f t="shared" ref="M182:M390" si="2">K182*L182</f>
        <v>47.32</v>
      </c>
    </row>
    <row r="183" spans="1:13">
      <c r="A183" s="7">
        <v>96500993</v>
      </c>
      <c r="B183" s="7" t="s">
        <v>1223</v>
      </c>
      <c r="C183" s="61">
        <v>2411</v>
      </c>
      <c r="D183" s="5">
        <v>1205.5</v>
      </c>
      <c r="E183" s="5"/>
      <c r="G183" s="5">
        <v>520</v>
      </c>
      <c r="H183" s="5"/>
      <c r="I183" s="5"/>
      <c r="J183" s="5"/>
      <c r="K183" s="5">
        <v>11.83</v>
      </c>
      <c r="L183" s="8">
        <v>4</v>
      </c>
      <c r="M183" s="5">
        <f t="shared" si="2"/>
        <v>47.32</v>
      </c>
    </row>
    <row r="184" spans="1:13">
      <c r="A184" s="7">
        <v>96500994</v>
      </c>
      <c r="B184" s="7" t="s">
        <v>1224</v>
      </c>
      <c r="C184" s="61">
        <v>2762</v>
      </c>
      <c r="D184" s="5">
        <v>1381</v>
      </c>
      <c r="E184" s="5"/>
      <c r="G184" s="5">
        <v>520</v>
      </c>
      <c r="H184" s="5"/>
      <c r="I184" s="5"/>
      <c r="J184" s="5"/>
      <c r="K184" s="5">
        <v>11.83</v>
      </c>
      <c r="L184" s="8">
        <v>4</v>
      </c>
      <c r="M184" s="5">
        <f t="shared" si="2"/>
        <v>47.32</v>
      </c>
    </row>
    <row r="185" spans="1:13">
      <c r="A185" s="7">
        <v>96500995</v>
      </c>
      <c r="B185" s="7" t="s">
        <v>1225</v>
      </c>
      <c r="C185" s="61">
        <v>3063</v>
      </c>
      <c r="D185" s="5">
        <v>1531.5</v>
      </c>
      <c r="E185" s="5"/>
      <c r="G185" s="5">
        <v>520</v>
      </c>
      <c r="H185" s="5"/>
      <c r="I185" s="5"/>
      <c r="J185" s="5"/>
      <c r="K185" s="5">
        <v>11.83</v>
      </c>
      <c r="L185" s="8">
        <v>4</v>
      </c>
      <c r="M185" s="5">
        <f t="shared" si="2"/>
        <v>47.32</v>
      </c>
    </row>
    <row r="186" spans="1:13">
      <c r="A186" s="7">
        <v>96500996</v>
      </c>
      <c r="B186" s="7" t="s">
        <v>1220</v>
      </c>
      <c r="C186" s="61">
        <v>3306</v>
      </c>
      <c r="D186" s="5">
        <v>1653</v>
      </c>
      <c r="E186" s="5"/>
      <c r="G186" s="5">
        <v>520</v>
      </c>
      <c r="H186" s="5"/>
      <c r="I186" s="5"/>
      <c r="J186" s="5"/>
      <c r="K186" s="5">
        <v>11.83</v>
      </c>
      <c r="L186" s="8">
        <v>4</v>
      </c>
      <c r="M186" s="5">
        <f t="shared" si="2"/>
        <v>47.32</v>
      </c>
    </row>
    <row r="187" spans="1:13">
      <c r="A187" s="7">
        <v>96500997</v>
      </c>
      <c r="B187" s="7" t="s">
        <v>1219</v>
      </c>
      <c r="C187" s="61">
        <v>3472</v>
      </c>
      <c r="D187" s="5">
        <v>1736</v>
      </c>
      <c r="E187" s="5"/>
      <c r="G187" s="5">
        <v>520</v>
      </c>
      <c r="H187" s="5"/>
      <c r="I187" s="5"/>
      <c r="J187" s="5"/>
      <c r="K187" s="5">
        <v>11.83</v>
      </c>
      <c r="L187" s="8">
        <v>4</v>
      </c>
      <c r="M187" s="5">
        <f t="shared" si="2"/>
        <v>47.32</v>
      </c>
    </row>
    <row r="188" spans="1:13">
      <c r="A188" s="7">
        <v>96500998</v>
      </c>
      <c r="B188" s="7" t="s">
        <v>1238</v>
      </c>
      <c r="C188" s="61">
        <v>3742</v>
      </c>
      <c r="D188" s="5">
        <v>1871</v>
      </c>
      <c r="E188" s="5"/>
      <c r="G188" s="5">
        <v>520</v>
      </c>
      <c r="H188" s="5"/>
      <c r="I188" s="5"/>
      <c r="J188" s="5"/>
      <c r="K188" s="5">
        <v>11.83</v>
      </c>
      <c r="L188" s="8">
        <v>4</v>
      </c>
      <c r="M188" s="5">
        <f t="shared" si="2"/>
        <v>47.32</v>
      </c>
    </row>
    <row r="189" spans="1:13">
      <c r="A189" s="7">
        <v>96500999</v>
      </c>
      <c r="B189" s="7" t="s">
        <v>1239</v>
      </c>
      <c r="C189" s="61">
        <v>3903</v>
      </c>
      <c r="D189" s="5">
        <v>1951.5</v>
      </c>
      <c r="E189" s="5"/>
      <c r="G189" s="5">
        <v>520</v>
      </c>
      <c r="H189" s="5"/>
      <c r="I189" s="5"/>
      <c r="J189" s="5"/>
      <c r="K189" s="5">
        <v>11.83</v>
      </c>
      <c r="L189" s="8">
        <v>4</v>
      </c>
      <c r="M189" s="5">
        <f t="shared" si="2"/>
        <v>47.32</v>
      </c>
    </row>
    <row r="190" spans="1:13">
      <c r="A190" s="7">
        <v>96501000</v>
      </c>
      <c r="B190" s="7" t="s">
        <v>1240</v>
      </c>
      <c r="C190" s="61">
        <v>4063</v>
      </c>
      <c r="D190" s="5">
        <v>2031.5</v>
      </c>
      <c r="E190" s="5"/>
      <c r="G190" s="5">
        <v>520</v>
      </c>
      <c r="H190" s="5"/>
      <c r="I190" s="5"/>
      <c r="J190" s="5"/>
      <c r="K190" s="5">
        <v>11.83</v>
      </c>
      <c r="L190" s="8">
        <v>4</v>
      </c>
      <c r="M190" s="5">
        <f t="shared" si="2"/>
        <v>47.32</v>
      </c>
    </row>
    <row r="191" spans="1:13">
      <c r="A191" s="7">
        <v>96501242</v>
      </c>
      <c r="B191" s="7" t="s">
        <v>1241</v>
      </c>
      <c r="C191" s="61">
        <v>4624</v>
      </c>
      <c r="D191" s="5">
        <v>2312</v>
      </c>
      <c r="E191" s="5"/>
      <c r="G191" s="5">
        <v>520</v>
      </c>
      <c r="H191" s="5"/>
      <c r="I191" s="5"/>
      <c r="J191" s="5"/>
      <c r="K191" s="5">
        <v>11.83</v>
      </c>
      <c r="L191" s="8">
        <v>4</v>
      </c>
      <c r="M191" s="5">
        <f t="shared" si="2"/>
        <v>47.32</v>
      </c>
    </row>
    <row r="192" spans="1:13">
      <c r="A192" s="7">
        <v>96501243</v>
      </c>
      <c r="B192" s="7" t="s">
        <v>1242</v>
      </c>
      <c r="C192" s="61">
        <v>4944</v>
      </c>
      <c r="D192" s="5">
        <v>2472</v>
      </c>
      <c r="E192" s="5"/>
      <c r="G192" s="5">
        <v>520</v>
      </c>
      <c r="H192" s="5"/>
      <c r="I192" s="5"/>
      <c r="J192" s="5"/>
      <c r="K192" s="5">
        <v>11.83</v>
      </c>
      <c r="L192" s="8">
        <v>4</v>
      </c>
      <c r="M192" s="5">
        <f t="shared" si="2"/>
        <v>47.32</v>
      </c>
    </row>
    <row r="193" spans="1:13">
      <c r="A193" s="7">
        <v>96501244</v>
      </c>
      <c r="B193" s="7" t="s">
        <v>1243</v>
      </c>
      <c r="C193" s="61">
        <v>5747</v>
      </c>
      <c r="D193" s="5">
        <v>2873.5</v>
      </c>
      <c r="E193" s="5"/>
      <c r="G193" s="5">
        <v>520</v>
      </c>
      <c r="H193" s="5"/>
      <c r="I193" s="5"/>
      <c r="J193" s="5"/>
      <c r="K193" s="5">
        <v>11.83</v>
      </c>
      <c r="L193" s="8">
        <v>4</v>
      </c>
      <c r="M193" s="5">
        <f t="shared" si="2"/>
        <v>47.32</v>
      </c>
    </row>
    <row r="194" spans="1:13">
      <c r="A194" s="7">
        <v>96501245</v>
      </c>
      <c r="B194" s="7" t="s">
        <v>1244</v>
      </c>
      <c r="C194" s="61">
        <v>6073</v>
      </c>
      <c r="D194" s="5">
        <v>3036.5</v>
      </c>
      <c r="E194" s="5"/>
      <c r="G194" s="5">
        <v>520</v>
      </c>
      <c r="H194" s="5"/>
      <c r="I194" s="5"/>
      <c r="J194" s="5"/>
      <c r="K194" s="5">
        <v>11.83</v>
      </c>
      <c r="L194" s="8">
        <v>4</v>
      </c>
      <c r="M194" s="5">
        <f t="shared" si="2"/>
        <v>47.32</v>
      </c>
    </row>
    <row r="195" spans="1:13">
      <c r="A195" s="7">
        <v>96501246</v>
      </c>
      <c r="B195" s="7" t="s">
        <v>1245</v>
      </c>
      <c r="C195" s="61">
        <v>6654</v>
      </c>
      <c r="D195" s="5">
        <v>3327</v>
      </c>
      <c r="E195" s="5"/>
      <c r="G195" s="5">
        <v>520</v>
      </c>
      <c r="H195" s="5"/>
      <c r="I195" s="5"/>
      <c r="J195" s="5"/>
      <c r="K195" s="5">
        <v>11.83</v>
      </c>
      <c r="L195" s="8">
        <v>4</v>
      </c>
      <c r="M195" s="5">
        <f t="shared" si="2"/>
        <v>47.32</v>
      </c>
    </row>
    <row r="196" spans="1:13">
      <c r="A196" s="7">
        <v>96501247</v>
      </c>
      <c r="B196" s="7" t="s">
        <v>1246</v>
      </c>
      <c r="C196" s="61">
        <v>6970</v>
      </c>
      <c r="D196" s="5">
        <v>3485</v>
      </c>
      <c r="E196" s="5"/>
      <c r="G196" s="5">
        <v>520</v>
      </c>
      <c r="H196" s="5"/>
      <c r="I196" s="5"/>
      <c r="J196" s="5"/>
      <c r="K196" s="5">
        <v>11.83</v>
      </c>
      <c r="L196" s="8">
        <v>4</v>
      </c>
      <c r="M196" s="5">
        <f t="shared" si="2"/>
        <v>47.32</v>
      </c>
    </row>
    <row r="197" spans="1:13">
      <c r="A197" s="7">
        <v>96501248</v>
      </c>
      <c r="B197" s="7" t="s">
        <v>1247</v>
      </c>
      <c r="C197" s="61">
        <v>7291</v>
      </c>
      <c r="D197" s="5">
        <v>3645.5</v>
      </c>
      <c r="E197" s="5"/>
      <c r="G197" s="5">
        <v>520</v>
      </c>
      <c r="H197" s="5"/>
      <c r="I197" s="5"/>
      <c r="J197" s="5"/>
      <c r="K197" s="5">
        <v>11.83</v>
      </c>
      <c r="L197" s="8">
        <v>4</v>
      </c>
      <c r="M197" s="5">
        <f t="shared" si="2"/>
        <v>47.32</v>
      </c>
    </row>
    <row r="198" spans="1:13">
      <c r="A198" s="7">
        <v>96501717</v>
      </c>
      <c r="B198" s="7" t="s">
        <v>1226</v>
      </c>
      <c r="C198" s="61">
        <v>3018</v>
      </c>
      <c r="D198" s="5">
        <v>1509</v>
      </c>
      <c r="E198" s="5"/>
      <c r="G198" s="5">
        <v>520</v>
      </c>
      <c r="H198" s="5"/>
      <c r="I198" s="5"/>
      <c r="J198" s="5"/>
      <c r="K198" s="5">
        <v>11.83</v>
      </c>
      <c r="L198" s="8">
        <v>4</v>
      </c>
      <c r="M198" s="5">
        <f t="shared" si="2"/>
        <v>47.32</v>
      </c>
    </row>
    <row r="199" spans="1:13">
      <c r="A199" s="7">
        <v>96501718</v>
      </c>
      <c r="B199" s="7" t="s">
        <v>1221</v>
      </c>
      <c r="C199" s="61">
        <v>3672</v>
      </c>
      <c r="D199" s="5">
        <v>1836</v>
      </c>
      <c r="E199" s="5"/>
      <c r="G199" s="5">
        <v>520</v>
      </c>
      <c r="H199" s="5"/>
      <c r="I199" s="5"/>
      <c r="J199" s="5"/>
      <c r="K199" s="5">
        <v>11.83</v>
      </c>
      <c r="L199" s="8">
        <v>4</v>
      </c>
      <c r="M199" s="5">
        <f t="shared" si="2"/>
        <v>47.32</v>
      </c>
    </row>
    <row r="200" spans="1:13">
      <c r="A200" s="7">
        <v>96501719</v>
      </c>
      <c r="B200" s="7" t="s">
        <v>1248</v>
      </c>
      <c r="C200" s="61">
        <v>4187</v>
      </c>
      <c r="D200" s="5">
        <v>2093.5</v>
      </c>
      <c r="E200" s="5"/>
      <c r="G200" s="5">
        <v>520</v>
      </c>
      <c r="H200" s="5"/>
      <c r="I200" s="5"/>
      <c r="J200" s="5"/>
      <c r="K200" s="5">
        <v>11.83</v>
      </c>
      <c r="L200" s="8">
        <v>4</v>
      </c>
      <c r="M200" s="5">
        <f t="shared" si="2"/>
        <v>47.32</v>
      </c>
    </row>
    <row r="201" spans="1:13">
      <c r="A201" s="7">
        <v>96501913</v>
      </c>
      <c r="B201" s="7" t="s">
        <v>1249</v>
      </c>
      <c r="C201" s="61">
        <v>4802</v>
      </c>
      <c r="D201" s="5">
        <v>2401</v>
      </c>
      <c r="E201" s="5"/>
      <c r="G201" s="5">
        <v>520</v>
      </c>
      <c r="H201" s="5"/>
      <c r="I201" s="5"/>
      <c r="J201" s="5"/>
      <c r="K201" s="5">
        <v>11.83</v>
      </c>
      <c r="L201" s="8">
        <v>4</v>
      </c>
      <c r="M201" s="5">
        <f t="shared" si="2"/>
        <v>47.32</v>
      </c>
    </row>
    <row r="202" spans="1:13">
      <c r="A202" s="7">
        <v>96501914</v>
      </c>
      <c r="B202" s="7" t="s">
        <v>1250</v>
      </c>
      <c r="C202" s="61">
        <v>5025</v>
      </c>
      <c r="D202" s="5">
        <v>2512.5</v>
      </c>
      <c r="E202" s="5"/>
      <c r="G202" s="5">
        <v>520</v>
      </c>
      <c r="H202" s="5"/>
      <c r="I202" s="5"/>
      <c r="J202" s="5"/>
      <c r="K202" s="5">
        <v>11.83</v>
      </c>
      <c r="L202" s="8">
        <v>4</v>
      </c>
      <c r="M202" s="5">
        <f t="shared" si="2"/>
        <v>47.32</v>
      </c>
    </row>
    <row r="203" spans="1:13">
      <c r="A203" s="7">
        <v>96501915</v>
      </c>
      <c r="B203" s="7" t="s">
        <v>1251</v>
      </c>
      <c r="C203" s="61">
        <v>5926</v>
      </c>
      <c r="D203" s="5">
        <v>2963</v>
      </c>
      <c r="E203" s="5"/>
      <c r="G203" s="5">
        <v>520</v>
      </c>
      <c r="H203" s="5"/>
      <c r="I203" s="5"/>
      <c r="J203" s="5"/>
      <c r="K203" s="5">
        <v>11.83</v>
      </c>
      <c r="L203" s="8">
        <v>4</v>
      </c>
      <c r="M203" s="5">
        <f t="shared" si="2"/>
        <v>47.32</v>
      </c>
    </row>
    <row r="204" spans="1:13">
      <c r="A204" s="7">
        <v>96501916</v>
      </c>
      <c r="B204" s="7" t="s">
        <v>1252</v>
      </c>
      <c r="C204" s="61">
        <v>6154</v>
      </c>
      <c r="D204" s="5">
        <v>3077</v>
      </c>
      <c r="E204" s="5"/>
      <c r="G204" s="5">
        <v>520</v>
      </c>
      <c r="H204" s="5"/>
      <c r="I204" s="5"/>
      <c r="J204" s="5"/>
      <c r="K204" s="5">
        <v>11.83</v>
      </c>
      <c r="L204" s="8">
        <v>4</v>
      </c>
      <c r="M204" s="5">
        <f t="shared" si="2"/>
        <v>47.32</v>
      </c>
    </row>
    <row r="205" spans="1:13">
      <c r="A205" s="7">
        <v>96501917</v>
      </c>
      <c r="B205" s="7" t="s">
        <v>1253</v>
      </c>
      <c r="C205" s="61">
        <v>7087</v>
      </c>
      <c r="D205" s="5">
        <v>3543.5</v>
      </c>
      <c r="E205" s="5"/>
      <c r="G205" s="5">
        <v>520</v>
      </c>
      <c r="H205" s="5"/>
      <c r="I205" s="5"/>
      <c r="J205" s="5"/>
      <c r="K205" s="5">
        <v>11.83</v>
      </c>
      <c r="L205" s="8">
        <v>4</v>
      </c>
      <c r="M205" s="5">
        <f t="shared" si="2"/>
        <v>47.32</v>
      </c>
    </row>
    <row r="206" spans="1:13">
      <c r="A206" s="7">
        <v>96501918</v>
      </c>
      <c r="B206" s="7" t="s">
        <v>1254</v>
      </c>
      <c r="C206" s="61">
        <v>7312</v>
      </c>
      <c r="D206" s="5">
        <v>3656</v>
      </c>
      <c r="E206" s="5"/>
      <c r="G206" s="5">
        <v>520</v>
      </c>
      <c r="H206" s="5"/>
      <c r="I206" s="5"/>
      <c r="J206" s="5"/>
      <c r="K206" s="5">
        <v>11.83</v>
      </c>
      <c r="L206" s="8">
        <v>4</v>
      </c>
      <c r="M206" s="5">
        <f t="shared" si="2"/>
        <v>47.32</v>
      </c>
    </row>
    <row r="207" spans="1:13">
      <c r="A207" s="7">
        <v>96501919</v>
      </c>
      <c r="B207" s="7" t="s">
        <v>1255</v>
      </c>
      <c r="C207" s="61">
        <v>8603</v>
      </c>
      <c r="D207" s="5">
        <v>4301.5</v>
      </c>
      <c r="E207" s="5"/>
      <c r="G207" s="5">
        <v>520</v>
      </c>
      <c r="H207" s="5"/>
      <c r="I207" s="5"/>
      <c r="J207" s="5"/>
      <c r="K207" s="5">
        <v>11.83</v>
      </c>
      <c r="L207" s="8">
        <v>4</v>
      </c>
      <c r="M207" s="5">
        <f t="shared" si="2"/>
        <v>47.32</v>
      </c>
    </row>
    <row r="208" spans="1:13">
      <c r="A208" s="7">
        <v>96501920</v>
      </c>
      <c r="B208" s="7" t="s">
        <v>1256</v>
      </c>
      <c r="C208" s="61">
        <v>9056</v>
      </c>
      <c r="D208" s="5">
        <v>4528</v>
      </c>
      <c r="E208" s="5"/>
      <c r="G208" s="5">
        <v>520</v>
      </c>
      <c r="H208" s="5"/>
      <c r="I208" s="5"/>
      <c r="J208" s="5"/>
      <c r="K208" s="5">
        <v>11.83</v>
      </c>
      <c r="L208" s="8">
        <v>4</v>
      </c>
      <c r="M208" s="5">
        <f t="shared" si="2"/>
        <v>47.32</v>
      </c>
    </row>
    <row r="209" spans="1:13">
      <c r="A209" s="7">
        <v>96501921</v>
      </c>
      <c r="B209" s="7" t="s">
        <v>1257</v>
      </c>
      <c r="C209" s="61">
        <v>9504</v>
      </c>
      <c r="D209" s="5">
        <v>4752</v>
      </c>
      <c r="E209" s="5"/>
      <c r="G209" s="5">
        <v>520</v>
      </c>
      <c r="H209" s="5"/>
      <c r="I209" s="5"/>
      <c r="J209" s="5"/>
      <c r="K209" s="5">
        <v>11.83</v>
      </c>
      <c r="L209" s="8">
        <v>4</v>
      </c>
      <c r="M209" s="5">
        <f t="shared" si="2"/>
        <v>47.32</v>
      </c>
    </row>
    <row r="210" spans="1:13">
      <c r="A210" s="7">
        <v>96501922</v>
      </c>
      <c r="B210" s="7" t="s">
        <v>1258</v>
      </c>
      <c r="C210" s="61">
        <v>12081</v>
      </c>
      <c r="D210" s="5">
        <v>6040.5</v>
      </c>
      <c r="E210" s="5"/>
      <c r="G210" s="5">
        <v>520</v>
      </c>
      <c r="H210" s="5"/>
      <c r="I210" s="5"/>
      <c r="J210" s="5"/>
      <c r="K210" s="5">
        <v>11.83</v>
      </c>
      <c r="L210" s="8">
        <v>4</v>
      </c>
      <c r="M210" s="5">
        <f t="shared" si="2"/>
        <v>47.32</v>
      </c>
    </row>
    <row r="211" spans="1:13">
      <c r="A211" s="7">
        <v>96515773</v>
      </c>
      <c r="B211" s="7" t="s">
        <v>1139</v>
      </c>
      <c r="C211" s="61">
        <v>1448</v>
      </c>
      <c r="D211" s="5">
        <v>724</v>
      </c>
      <c r="E211" s="5"/>
      <c r="G211" s="5">
        <v>520</v>
      </c>
      <c r="H211" s="5"/>
      <c r="I211" s="5"/>
      <c r="J211" s="5"/>
      <c r="K211" s="5">
        <v>11.83</v>
      </c>
      <c r="L211" s="8">
        <v>4</v>
      </c>
      <c r="M211" s="5">
        <f t="shared" si="2"/>
        <v>47.32</v>
      </c>
    </row>
    <row r="212" spans="1:13">
      <c r="A212" s="7">
        <v>96515775</v>
      </c>
      <c r="B212" s="7" t="s">
        <v>1140</v>
      </c>
      <c r="C212" s="61">
        <v>1496</v>
      </c>
      <c r="D212" s="5">
        <v>748</v>
      </c>
      <c r="E212" s="5"/>
      <c r="G212" s="5">
        <v>520</v>
      </c>
      <c r="H212" s="5"/>
      <c r="I212" s="5"/>
      <c r="J212" s="5"/>
      <c r="K212" s="5">
        <v>11.83</v>
      </c>
      <c r="L212" s="8">
        <v>4</v>
      </c>
      <c r="M212" s="5">
        <f t="shared" si="2"/>
        <v>47.32</v>
      </c>
    </row>
    <row r="213" spans="1:13">
      <c r="A213" s="7">
        <v>96515777</v>
      </c>
      <c r="B213" s="7" t="s">
        <v>1141</v>
      </c>
      <c r="C213" s="61">
        <v>1543</v>
      </c>
      <c r="D213" s="5">
        <v>771.5</v>
      </c>
      <c r="E213" s="5"/>
      <c r="G213" s="5">
        <v>520</v>
      </c>
      <c r="H213" s="5"/>
      <c r="I213" s="5"/>
      <c r="J213" s="5"/>
      <c r="K213" s="5">
        <v>11.83</v>
      </c>
      <c r="L213" s="8">
        <v>4</v>
      </c>
      <c r="M213" s="5">
        <f t="shared" si="2"/>
        <v>47.32</v>
      </c>
    </row>
    <row r="214" spans="1:13">
      <c r="A214" s="7">
        <v>96515778</v>
      </c>
      <c r="B214" s="7" t="s">
        <v>1142</v>
      </c>
      <c r="C214" s="61">
        <v>1589</v>
      </c>
      <c r="D214" s="5">
        <v>794.5</v>
      </c>
      <c r="E214" s="5"/>
      <c r="G214" s="5">
        <v>520</v>
      </c>
      <c r="H214" s="5"/>
      <c r="I214" s="5"/>
      <c r="J214" s="5"/>
      <c r="K214" s="5">
        <v>11.83</v>
      </c>
      <c r="L214" s="8">
        <v>4</v>
      </c>
      <c r="M214" s="5">
        <f t="shared" si="2"/>
        <v>47.32</v>
      </c>
    </row>
    <row r="215" spans="1:13">
      <c r="A215" s="7">
        <v>96515780</v>
      </c>
      <c r="B215" s="7" t="s">
        <v>1143</v>
      </c>
      <c r="C215" s="61">
        <v>1638</v>
      </c>
      <c r="D215" s="5">
        <v>819</v>
      </c>
      <c r="E215" s="5"/>
      <c r="G215" s="5">
        <v>520</v>
      </c>
      <c r="H215" s="5"/>
      <c r="I215" s="5"/>
      <c r="J215" s="5"/>
      <c r="K215" s="5">
        <v>11.83</v>
      </c>
      <c r="L215" s="8">
        <v>4</v>
      </c>
      <c r="M215" s="5">
        <f t="shared" si="2"/>
        <v>47.32</v>
      </c>
    </row>
    <row r="216" spans="1:13">
      <c r="A216" s="7">
        <v>96515782</v>
      </c>
      <c r="B216" s="7" t="s">
        <v>1144</v>
      </c>
      <c r="C216" s="61">
        <v>1685</v>
      </c>
      <c r="D216" s="5">
        <v>842.5</v>
      </c>
      <c r="E216" s="5"/>
      <c r="G216" s="5">
        <v>520</v>
      </c>
      <c r="H216" s="5"/>
      <c r="I216" s="5"/>
      <c r="J216" s="5"/>
      <c r="K216" s="5">
        <v>11.83</v>
      </c>
      <c r="L216" s="8">
        <v>4</v>
      </c>
      <c r="M216" s="5">
        <f t="shared" si="2"/>
        <v>47.32</v>
      </c>
    </row>
    <row r="217" spans="1:13">
      <c r="A217" s="7">
        <v>96515784</v>
      </c>
      <c r="B217" s="7" t="s">
        <v>1145</v>
      </c>
      <c r="C217" s="61">
        <v>1733</v>
      </c>
      <c r="D217" s="5">
        <v>866.5</v>
      </c>
      <c r="E217" s="5"/>
      <c r="G217" s="5">
        <v>520</v>
      </c>
      <c r="H217" s="5"/>
      <c r="I217" s="5"/>
      <c r="J217" s="5"/>
      <c r="K217" s="5">
        <v>11.83</v>
      </c>
      <c r="L217" s="8">
        <v>4</v>
      </c>
      <c r="M217" s="5">
        <f t="shared" si="2"/>
        <v>47.32</v>
      </c>
    </row>
    <row r="218" spans="1:13">
      <c r="A218" s="7">
        <v>96515785</v>
      </c>
      <c r="B218" s="7" t="s">
        <v>1146</v>
      </c>
      <c r="C218" s="61">
        <v>1781</v>
      </c>
      <c r="D218" s="5">
        <v>890.5</v>
      </c>
      <c r="E218" s="5"/>
      <c r="G218" s="5">
        <v>520</v>
      </c>
      <c r="H218" s="5"/>
      <c r="I218" s="5"/>
      <c r="J218" s="5"/>
      <c r="K218" s="5">
        <v>11.83</v>
      </c>
      <c r="L218" s="8">
        <v>4</v>
      </c>
      <c r="M218" s="5">
        <f t="shared" si="2"/>
        <v>47.32</v>
      </c>
    </row>
    <row r="219" spans="1:13">
      <c r="A219" s="7">
        <v>96515787</v>
      </c>
      <c r="B219" s="7" t="s">
        <v>1147</v>
      </c>
      <c r="C219" s="61">
        <v>1826</v>
      </c>
      <c r="D219" s="5">
        <v>913</v>
      </c>
      <c r="E219" s="5"/>
      <c r="G219" s="5">
        <v>520</v>
      </c>
      <c r="H219" s="5"/>
      <c r="I219" s="5"/>
      <c r="J219" s="5"/>
      <c r="K219" s="5">
        <v>11.83</v>
      </c>
      <c r="L219" s="8">
        <v>4</v>
      </c>
      <c r="M219" s="5">
        <f t="shared" si="2"/>
        <v>47.32</v>
      </c>
    </row>
    <row r="220" spans="1:13">
      <c r="A220" s="7">
        <v>96515788</v>
      </c>
      <c r="B220" s="7" t="s">
        <v>1148</v>
      </c>
      <c r="C220" s="61">
        <v>1874</v>
      </c>
      <c r="D220" s="5">
        <v>937</v>
      </c>
      <c r="E220" s="5"/>
      <c r="G220" s="5">
        <v>520</v>
      </c>
      <c r="H220" s="5"/>
      <c r="I220" s="5"/>
      <c r="J220" s="5"/>
      <c r="K220" s="5">
        <v>11.83</v>
      </c>
      <c r="L220" s="8">
        <v>4</v>
      </c>
      <c r="M220" s="5">
        <f t="shared" si="2"/>
        <v>47.32</v>
      </c>
    </row>
    <row r="221" spans="1:13">
      <c r="A221" s="7">
        <v>96515790</v>
      </c>
      <c r="B221" s="7" t="s">
        <v>1149</v>
      </c>
      <c r="C221" s="61">
        <v>1921</v>
      </c>
      <c r="D221" s="5">
        <v>960.5</v>
      </c>
      <c r="E221" s="5"/>
      <c r="G221" s="5">
        <v>520</v>
      </c>
      <c r="H221" s="5"/>
      <c r="I221" s="5"/>
      <c r="J221" s="5"/>
      <c r="K221" s="5">
        <v>11.83</v>
      </c>
      <c r="L221" s="8">
        <v>4</v>
      </c>
      <c r="M221" s="5">
        <f t="shared" si="2"/>
        <v>47.32</v>
      </c>
    </row>
    <row r="222" spans="1:13">
      <c r="A222" s="7">
        <v>96515792</v>
      </c>
      <c r="B222" s="7" t="s">
        <v>1150</v>
      </c>
      <c r="C222" s="61">
        <v>1968</v>
      </c>
      <c r="D222" s="5">
        <v>984</v>
      </c>
      <c r="E222" s="5"/>
      <c r="G222" s="5">
        <v>520</v>
      </c>
      <c r="H222" s="5"/>
      <c r="I222" s="5"/>
      <c r="J222" s="5"/>
      <c r="K222" s="5">
        <v>11.83</v>
      </c>
      <c r="L222" s="8">
        <v>4</v>
      </c>
      <c r="M222" s="5">
        <f t="shared" si="2"/>
        <v>47.32</v>
      </c>
    </row>
    <row r="223" spans="1:13">
      <c r="A223" s="7">
        <v>96515793</v>
      </c>
      <c r="B223" s="7" t="s">
        <v>1151</v>
      </c>
      <c r="C223" s="61">
        <v>2117</v>
      </c>
      <c r="D223" s="5">
        <v>1058.5</v>
      </c>
      <c r="E223" s="5"/>
      <c r="G223" s="5">
        <v>520</v>
      </c>
      <c r="H223" s="5"/>
      <c r="I223" s="5"/>
      <c r="J223" s="5"/>
      <c r="K223" s="5">
        <v>11.83</v>
      </c>
      <c r="L223" s="8">
        <v>4</v>
      </c>
      <c r="M223" s="5">
        <f t="shared" si="2"/>
        <v>47.32</v>
      </c>
    </row>
    <row r="224" spans="1:13">
      <c r="A224" s="7">
        <v>96515795</v>
      </c>
      <c r="B224" s="7" t="s">
        <v>1152</v>
      </c>
      <c r="C224" s="61">
        <v>2191</v>
      </c>
      <c r="D224" s="5">
        <v>1095.5</v>
      </c>
      <c r="E224" s="5"/>
      <c r="G224" s="5">
        <v>520</v>
      </c>
      <c r="H224" s="5"/>
      <c r="I224" s="5"/>
      <c r="J224" s="5"/>
      <c r="K224" s="5">
        <v>11.83</v>
      </c>
      <c r="L224" s="8">
        <v>4</v>
      </c>
      <c r="M224" s="5">
        <f t="shared" si="2"/>
        <v>47.32</v>
      </c>
    </row>
    <row r="225" spans="1:13">
      <c r="A225" s="7">
        <v>96515796</v>
      </c>
      <c r="B225" s="7" t="s">
        <v>1153</v>
      </c>
      <c r="C225" s="61">
        <v>2311</v>
      </c>
      <c r="D225" s="5">
        <v>1155.5</v>
      </c>
      <c r="E225" s="5"/>
      <c r="G225" s="5">
        <v>520</v>
      </c>
      <c r="H225" s="5"/>
      <c r="I225" s="5"/>
      <c r="J225" s="5"/>
      <c r="K225" s="5">
        <v>11.83</v>
      </c>
      <c r="L225" s="8">
        <v>4</v>
      </c>
      <c r="M225" s="5">
        <f t="shared" si="2"/>
        <v>47.32</v>
      </c>
    </row>
    <row r="226" spans="1:13">
      <c r="A226" s="7">
        <v>96515797</v>
      </c>
      <c r="B226" s="7" t="s">
        <v>1154</v>
      </c>
      <c r="C226" s="61">
        <v>2511</v>
      </c>
      <c r="D226" s="5">
        <v>1255.5</v>
      </c>
      <c r="E226" s="5"/>
      <c r="G226" s="5">
        <v>520</v>
      </c>
      <c r="H226" s="5"/>
      <c r="I226" s="5"/>
      <c r="J226" s="5"/>
      <c r="K226" s="5">
        <v>11.83</v>
      </c>
      <c r="L226" s="8">
        <v>4</v>
      </c>
      <c r="M226" s="5">
        <f t="shared" si="2"/>
        <v>47.32</v>
      </c>
    </row>
    <row r="227" spans="1:13">
      <c r="A227" s="7">
        <v>96515799</v>
      </c>
      <c r="B227" s="7" t="s">
        <v>1155</v>
      </c>
      <c r="C227" s="61">
        <v>2633</v>
      </c>
      <c r="D227" s="5">
        <v>1316.5</v>
      </c>
      <c r="E227" s="5"/>
      <c r="G227" s="5">
        <v>520</v>
      </c>
      <c r="H227" s="5"/>
      <c r="I227" s="5"/>
      <c r="J227" s="5"/>
      <c r="K227" s="5">
        <v>11.83</v>
      </c>
      <c r="L227" s="8">
        <v>4</v>
      </c>
      <c r="M227" s="5">
        <f t="shared" si="2"/>
        <v>47.32</v>
      </c>
    </row>
    <row r="228" spans="1:13">
      <c r="A228" s="7">
        <v>96515800</v>
      </c>
      <c r="B228" s="7" t="s">
        <v>1156</v>
      </c>
      <c r="C228" s="61">
        <v>2754</v>
      </c>
      <c r="D228" s="5">
        <v>1377</v>
      </c>
      <c r="E228" s="5"/>
      <c r="G228" s="5">
        <v>520</v>
      </c>
      <c r="H228" s="5"/>
      <c r="I228" s="5"/>
      <c r="J228" s="5"/>
      <c r="K228" s="5">
        <v>11.83</v>
      </c>
      <c r="L228" s="8">
        <v>4</v>
      </c>
      <c r="M228" s="5">
        <f t="shared" si="2"/>
        <v>47.32</v>
      </c>
    </row>
    <row r="229" spans="1:13">
      <c r="A229" s="7">
        <v>96515801</v>
      </c>
      <c r="B229" s="7" t="s">
        <v>1157</v>
      </c>
      <c r="C229" s="61">
        <v>2948</v>
      </c>
      <c r="D229" s="5">
        <v>1474</v>
      </c>
      <c r="E229" s="5"/>
      <c r="G229" s="5">
        <v>520</v>
      </c>
      <c r="H229" s="5"/>
      <c r="I229" s="5"/>
      <c r="J229" s="5"/>
      <c r="K229" s="5">
        <v>11.83</v>
      </c>
      <c r="L229" s="8">
        <v>4</v>
      </c>
      <c r="M229" s="5">
        <f t="shared" si="2"/>
        <v>47.32</v>
      </c>
    </row>
    <row r="230" spans="1:13">
      <c r="A230" s="7">
        <v>96515802</v>
      </c>
      <c r="B230" s="7" t="s">
        <v>1158</v>
      </c>
      <c r="C230" s="61">
        <v>3218</v>
      </c>
      <c r="D230" s="5">
        <v>1609</v>
      </c>
      <c r="E230" s="5"/>
      <c r="G230" s="5">
        <v>520</v>
      </c>
      <c r="H230" s="5"/>
      <c r="I230" s="5"/>
      <c r="J230" s="5"/>
      <c r="K230" s="5">
        <v>11.83</v>
      </c>
      <c r="L230" s="8">
        <v>4</v>
      </c>
      <c r="M230" s="5">
        <f t="shared" si="2"/>
        <v>47.32</v>
      </c>
    </row>
    <row r="231" spans="1:13">
      <c r="A231" s="7">
        <v>96515803</v>
      </c>
      <c r="B231" s="7" t="s">
        <v>1159</v>
      </c>
      <c r="C231" s="61">
        <v>3396</v>
      </c>
      <c r="D231" s="5">
        <v>1698</v>
      </c>
      <c r="E231" s="5"/>
      <c r="G231" s="5">
        <v>520</v>
      </c>
      <c r="H231" s="5"/>
      <c r="I231" s="5"/>
      <c r="J231" s="5"/>
      <c r="K231" s="5">
        <v>11.83</v>
      </c>
      <c r="L231" s="8">
        <v>4</v>
      </c>
      <c r="M231" s="5">
        <f t="shared" si="2"/>
        <v>47.32</v>
      </c>
    </row>
    <row r="232" spans="1:13">
      <c r="A232" s="7">
        <v>96515804</v>
      </c>
      <c r="B232" s="7" t="s">
        <v>1160</v>
      </c>
      <c r="C232" s="61">
        <v>3575</v>
      </c>
      <c r="D232" s="5">
        <v>1787.5</v>
      </c>
      <c r="E232" s="5"/>
      <c r="G232" s="5">
        <v>520</v>
      </c>
      <c r="H232" s="5"/>
      <c r="I232" s="5"/>
      <c r="J232" s="5"/>
      <c r="K232" s="5">
        <v>11.83</v>
      </c>
      <c r="L232" s="8">
        <v>4</v>
      </c>
      <c r="M232" s="5">
        <f t="shared" si="2"/>
        <v>47.32</v>
      </c>
    </row>
    <row r="233" spans="1:13">
      <c r="A233" s="7">
        <v>96516316</v>
      </c>
      <c r="B233" s="7" t="s">
        <v>1161</v>
      </c>
      <c r="C233" s="61">
        <v>1428</v>
      </c>
      <c r="D233" s="5">
        <v>714</v>
      </c>
      <c r="E233" s="5"/>
      <c r="G233" s="5">
        <v>520</v>
      </c>
      <c r="H233" s="5"/>
      <c r="I233" s="5"/>
      <c r="J233" s="5"/>
      <c r="K233" s="5">
        <v>11.83</v>
      </c>
      <c r="L233" s="8">
        <v>4</v>
      </c>
      <c r="M233" s="5">
        <f t="shared" si="2"/>
        <v>47.32</v>
      </c>
    </row>
    <row r="234" spans="1:13">
      <c r="A234" s="7">
        <v>96516317</v>
      </c>
      <c r="B234" s="7" t="s">
        <v>1162</v>
      </c>
      <c r="C234" s="61">
        <v>1475</v>
      </c>
      <c r="D234" s="5">
        <v>737.5</v>
      </c>
      <c r="E234" s="5"/>
      <c r="G234" s="5">
        <v>520</v>
      </c>
      <c r="H234" s="5"/>
      <c r="I234" s="5"/>
      <c r="J234" s="5"/>
      <c r="K234" s="5">
        <v>11.83</v>
      </c>
      <c r="L234" s="8">
        <v>4</v>
      </c>
      <c r="M234" s="5">
        <f t="shared" si="2"/>
        <v>47.32</v>
      </c>
    </row>
    <row r="235" spans="1:13">
      <c r="A235" s="7">
        <v>96516318</v>
      </c>
      <c r="B235" s="7" t="s">
        <v>1163</v>
      </c>
      <c r="C235" s="61">
        <v>1516</v>
      </c>
      <c r="D235" s="5">
        <v>758</v>
      </c>
      <c r="E235" s="5"/>
      <c r="G235" s="5">
        <v>520</v>
      </c>
      <c r="H235" s="5"/>
      <c r="I235" s="5"/>
      <c r="J235" s="5"/>
      <c r="K235" s="5">
        <v>11.83</v>
      </c>
      <c r="L235" s="8">
        <v>4</v>
      </c>
      <c r="M235" s="5">
        <f t="shared" si="2"/>
        <v>47.32</v>
      </c>
    </row>
    <row r="236" spans="1:13">
      <c r="A236" s="7">
        <v>96516319</v>
      </c>
      <c r="B236" s="7" t="s">
        <v>1164</v>
      </c>
      <c r="C236" s="61">
        <v>1571</v>
      </c>
      <c r="D236" s="5">
        <v>785.5</v>
      </c>
      <c r="E236" s="5"/>
      <c r="G236" s="5">
        <v>520</v>
      </c>
      <c r="H236" s="5"/>
      <c r="I236" s="5"/>
      <c r="J236" s="5"/>
      <c r="K236" s="5">
        <v>11.83</v>
      </c>
      <c r="L236" s="8">
        <v>4</v>
      </c>
      <c r="M236" s="5">
        <f t="shared" si="2"/>
        <v>47.32</v>
      </c>
    </row>
    <row r="237" spans="1:13">
      <c r="A237" s="7">
        <v>96516320</v>
      </c>
      <c r="B237" s="7" t="s">
        <v>1165</v>
      </c>
      <c r="C237" s="61">
        <v>1618</v>
      </c>
      <c r="D237" s="5">
        <v>809</v>
      </c>
      <c r="E237" s="5"/>
      <c r="G237" s="5">
        <v>520</v>
      </c>
      <c r="H237" s="5"/>
      <c r="I237" s="5"/>
      <c r="J237" s="5"/>
      <c r="K237" s="5">
        <v>11.83</v>
      </c>
      <c r="L237" s="8">
        <v>4</v>
      </c>
      <c r="M237" s="5">
        <f t="shared" si="2"/>
        <v>47.32</v>
      </c>
    </row>
    <row r="238" spans="1:13">
      <c r="A238" s="7">
        <v>96516321</v>
      </c>
      <c r="B238" s="7" t="s">
        <v>1166</v>
      </c>
      <c r="C238" s="61">
        <v>1666</v>
      </c>
      <c r="D238" s="5">
        <v>833</v>
      </c>
      <c r="E238" s="5"/>
      <c r="G238" s="5">
        <v>520</v>
      </c>
      <c r="H238" s="5"/>
      <c r="I238" s="5"/>
      <c r="J238" s="5"/>
      <c r="K238" s="5">
        <v>11.83</v>
      </c>
      <c r="L238" s="8">
        <v>4</v>
      </c>
      <c r="M238" s="5">
        <f t="shared" si="2"/>
        <v>47.32</v>
      </c>
    </row>
    <row r="239" spans="1:13">
      <c r="A239" s="7">
        <v>96516322</v>
      </c>
      <c r="B239" s="7" t="s">
        <v>1167</v>
      </c>
      <c r="C239" s="61">
        <v>1671</v>
      </c>
      <c r="D239" s="5">
        <v>835.5</v>
      </c>
      <c r="E239" s="5"/>
      <c r="G239" s="5">
        <v>520</v>
      </c>
      <c r="H239" s="5"/>
      <c r="I239" s="5"/>
      <c r="J239" s="5"/>
      <c r="K239" s="5">
        <v>11.83</v>
      </c>
      <c r="L239" s="8">
        <v>4</v>
      </c>
      <c r="M239" s="5">
        <f t="shared" si="2"/>
        <v>47.32</v>
      </c>
    </row>
    <row r="240" spans="1:13">
      <c r="A240" s="7">
        <v>96516323</v>
      </c>
      <c r="B240" s="7" t="s">
        <v>1168</v>
      </c>
      <c r="C240" s="61">
        <v>1730</v>
      </c>
      <c r="D240" s="5">
        <v>865</v>
      </c>
      <c r="E240" s="5"/>
      <c r="G240" s="5">
        <v>520</v>
      </c>
      <c r="H240" s="5"/>
      <c r="I240" s="5"/>
      <c r="J240" s="5"/>
      <c r="K240" s="5">
        <v>11.83</v>
      </c>
      <c r="L240" s="8">
        <v>4</v>
      </c>
      <c r="M240" s="5">
        <f t="shared" si="2"/>
        <v>47.32</v>
      </c>
    </row>
    <row r="241" spans="1:13">
      <c r="A241" s="7">
        <v>96516324</v>
      </c>
      <c r="B241" s="7" t="s">
        <v>1169</v>
      </c>
      <c r="C241" s="61">
        <v>1813</v>
      </c>
      <c r="D241" s="5">
        <v>906.5</v>
      </c>
      <c r="E241" s="5"/>
      <c r="G241" s="5">
        <v>520</v>
      </c>
      <c r="H241" s="5"/>
      <c r="I241" s="5"/>
      <c r="J241" s="5"/>
      <c r="K241" s="5">
        <v>11.83</v>
      </c>
      <c r="L241" s="8">
        <v>4</v>
      </c>
      <c r="M241" s="5">
        <f t="shared" si="2"/>
        <v>47.32</v>
      </c>
    </row>
    <row r="242" spans="1:13">
      <c r="A242" s="7">
        <v>96516325</v>
      </c>
      <c r="B242" s="7" t="s">
        <v>1170</v>
      </c>
      <c r="C242" s="61">
        <v>1886</v>
      </c>
      <c r="D242" s="5">
        <v>943</v>
      </c>
      <c r="E242" s="5"/>
      <c r="G242" s="5">
        <v>520</v>
      </c>
      <c r="H242" s="5"/>
      <c r="I242" s="5"/>
      <c r="J242" s="5"/>
      <c r="K242" s="5">
        <v>11.83</v>
      </c>
      <c r="L242" s="8">
        <v>4</v>
      </c>
      <c r="M242" s="5">
        <f t="shared" si="2"/>
        <v>47.32</v>
      </c>
    </row>
    <row r="243" spans="1:13">
      <c r="A243" s="7">
        <v>96516326</v>
      </c>
      <c r="B243" s="7" t="s">
        <v>1171</v>
      </c>
      <c r="C243" s="61">
        <v>1945</v>
      </c>
      <c r="D243" s="5">
        <v>972.5</v>
      </c>
      <c r="E243" s="5"/>
      <c r="G243" s="5">
        <v>520</v>
      </c>
      <c r="H243" s="5"/>
      <c r="I243" s="5"/>
      <c r="J243" s="5"/>
      <c r="K243" s="5">
        <v>11.83</v>
      </c>
      <c r="L243" s="8">
        <v>4</v>
      </c>
      <c r="M243" s="5">
        <f t="shared" si="2"/>
        <v>47.32</v>
      </c>
    </row>
    <row r="244" spans="1:13">
      <c r="A244" s="7">
        <v>96516327</v>
      </c>
      <c r="B244" s="7" t="s">
        <v>1172</v>
      </c>
      <c r="C244" s="61">
        <v>2035</v>
      </c>
      <c r="D244" s="5">
        <v>1017.5</v>
      </c>
      <c r="E244" s="5"/>
      <c r="G244" s="5">
        <v>520</v>
      </c>
      <c r="H244" s="5"/>
      <c r="I244" s="5"/>
      <c r="J244" s="5"/>
      <c r="K244" s="5">
        <v>11.83</v>
      </c>
      <c r="L244" s="8">
        <v>4</v>
      </c>
      <c r="M244" s="5">
        <f t="shared" si="2"/>
        <v>47.32</v>
      </c>
    </row>
    <row r="245" spans="1:13">
      <c r="A245" s="7">
        <v>96516328</v>
      </c>
      <c r="B245" s="7" t="s">
        <v>1173</v>
      </c>
      <c r="C245" s="61">
        <v>2185</v>
      </c>
      <c r="D245" s="5">
        <v>1092.5</v>
      </c>
      <c r="E245" s="5"/>
      <c r="G245" s="5">
        <v>520</v>
      </c>
      <c r="H245" s="5"/>
      <c r="I245" s="5"/>
      <c r="J245" s="5"/>
      <c r="K245" s="5">
        <v>11.83</v>
      </c>
      <c r="L245" s="8">
        <v>4</v>
      </c>
      <c r="M245" s="5">
        <f t="shared" si="2"/>
        <v>47.32</v>
      </c>
    </row>
    <row r="246" spans="1:13">
      <c r="A246" s="7">
        <v>96516329</v>
      </c>
      <c r="B246" s="7" t="s">
        <v>1179</v>
      </c>
      <c r="C246" s="61">
        <v>2332</v>
      </c>
      <c r="D246" s="5">
        <v>1166</v>
      </c>
      <c r="E246" s="5"/>
      <c r="G246" s="5">
        <v>520</v>
      </c>
      <c r="H246" s="5"/>
      <c r="I246" s="5"/>
      <c r="J246" s="5"/>
      <c r="K246" s="5">
        <v>11.83</v>
      </c>
      <c r="L246" s="8">
        <v>4</v>
      </c>
      <c r="M246" s="5">
        <f t="shared" si="2"/>
        <v>47.32</v>
      </c>
    </row>
    <row r="247" spans="1:13">
      <c r="A247" s="7">
        <v>96516330</v>
      </c>
      <c r="B247" s="7" t="s">
        <v>1180</v>
      </c>
      <c r="C247" s="61">
        <v>2484</v>
      </c>
      <c r="D247" s="5">
        <v>1242</v>
      </c>
      <c r="E247" s="5"/>
      <c r="G247" s="5">
        <v>520</v>
      </c>
      <c r="H247" s="5"/>
      <c r="I247" s="5"/>
      <c r="J247" s="5"/>
      <c r="K247" s="5">
        <v>11.83</v>
      </c>
      <c r="L247" s="8">
        <v>4</v>
      </c>
      <c r="M247" s="5">
        <f t="shared" si="2"/>
        <v>47.32</v>
      </c>
    </row>
    <row r="248" spans="1:13">
      <c r="A248" s="7">
        <v>96516331</v>
      </c>
      <c r="B248" s="7" t="s">
        <v>1181</v>
      </c>
      <c r="C248" s="61">
        <v>2631</v>
      </c>
      <c r="D248" s="5">
        <v>1315.5</v>
      </c>
      <c r="E248" s="5"/>
      <c r="G248" s="5">
        <v>520</v>
      </c>
      <c r="H248" s="5"/>
      <c r="I248" s="5"/>
      <c r="J248" s="5"/>
      <c r="K248" s="5">
        <v>11.83</v>
      </c>
      <c r="L248" s="8">
        <v>4</v>
      </c>
      <c r="M248" s="5">
        <f t="shared" si="2"/>
        <v>47.32</v>
      </c>
    </row>
    <row r="249" spans="1:13">
      <c r="A249" s="7">
        <v>96516332</v>
      </c>
      <c r="B249" s="7" t="s">
        <v>1182</v>
      </c>
      <c r="C249" s="61">
        <v>2751</v>
      </c>
      <c r="D249" s="5">
        <v>1375.5</v>
      </c>
      <c r="E249" s="5"/>
      <c r="G249" s="5">
        <v>520</v>
      </c>
      <c r="H249" s="5"/>
      <c r="I249" s="5"/>
      <c r="J249" s="5"/>
      <c r="K249" s="5">
        <v>11.83</v>
      </c>
      <c r="L249" s="8">
        <v>4</v>
      </c>
      <c r="M249" s="5">
        <f t="shared" si="2"/>
        <v>47.32</v>
      </c>
    </row>
    <row r="250" spans="1:13">
      <c r="A250" s="7">
        <v>96516333</v>
      </c>
      <c r="B250" s="7" t="s">
        <v>1174</v>
      </c>
      <c r="C250" s="61">
        <v>3149</v>
      </c>
      <c r="D250" s="5">
        <v>1574.5</v>
      </c>
      <c r="E250" s="5"/>
      <c r="G250" s="5">
        <v>520</v>
      </c>
      <c r="H250" s="5"/>
      <c r="I250" s="5"/>
      <c r="J250" s="5"/>
      <c r="K250" s="5">
        <v>11.83</v>
      </c>
      <c r="L250" s="8">
        <v>4</v>
      </c>
      <c r="M250" s="5">
        <f t="shared" si="2"/>
        <v>47.32</v>
      </c>
    </row>
    <row r="251" spans="1:13">
      <c r="A251" s="7">
        <v>96516334</v>
      </c>
      <c r="B251" s="7" t="s">
        <v>1175</v>
      </c>
      <c r="C251" s="61">
        <v>3355</v>
      </c>
      <c r="D251" s="5">
        <v>1677.5</v>
      </c>
      <c r="E251" s="5"/>
      <c r="G251" s="5">
        <v>520</v>
      </c>
      <c r="H251" s="5"/>
      <c r="I251" s="5"/>
      <c r="J251" s="5"/>
      <c r="K251" s="5">
        <v>11.83</v>
      </c>
      <c r="L251" s="8">
        <v>4</v>
      </c>
      <c r="M251" s="5">
        <f t="shared" si="2"/>
        <v>47.32</v>
      </c>
    </row>
    <row r="252" spans="1:13">
      <c r="A252" s="7">
        <v>96516335</v>
      </c>
      <c r="B252" s="7" t="s">
        <v>1176</v>
      </c>
      <c r="C252" s="61">
        <v>3574</v>
      </c>
      <c r="D252" s="5">
        <v>1787</v>
      </c>
      <c r="E252" s="5"/>
      <c r="G252" s="5">
        <v>520</v>
      </c>
      <c r="H252" s="5"/>
      <c r="I252" s="5"/>
      <c r="J252" s="5"/>
      <c r="K252" s="5">
        <v>11.83</v>
      </c>
      <c r="L252" s="8">
        <v>4</v>
      </c>
      <c r="M252" s="5">
        <f t="shared" si="2"/>
        <v>47.32</v>
      </c>
    </row>
    <row r="253" spans="1:13">
      <c r="A253" s="7">
        <v>96516336</v>
      </c>
      <c r="B253" s="7" t="s">
        <v>1177</v>
      </c>
      <c r="C253" s="61">
        <v>4035</v>
      </c>
      <c r="D253" s="5">
        <v>2017.5</v>
      </c>
      <c r="E253" s="5"/>
      <c r="G253" s="5">
        <v>520</v>
      </c>
      <c r="H253" s="5"/>
      <c r="I253" s="5"/>
      <c r="J253" s="5"/>
      <c r="K253" s="5">
        <v>11.83</v>
      </c>
      <c r="L253" s="8">
        <v>4</v>
      </c>
      <c r="M253" s="5">
        <f t="shared" si="2"/>
        <v>47.32</v>
      </c>
    </row>
    <row r="254" spans="1:13">
      <c r="A254" s="7">
        <v>96516337</v>
      </c>
      <c r="B254" s="7" t="s">
        <v>1178</v>
      </c>
      <c r="C254" s="61">
        <v>4255</v>
      </c>
      <c r="D254" s="5">
        <v>2127.5</v>
      </c>
      <c r="E254" s="5"/>
      <c r="G254" s="5">
        <v>520</v>
      </c>
      <c r="H254" s="5"/>
      <c r="I254" s="5"/>
      <c r="J254" s="5"/>
      <c r="K254" s="5">
        <v>11.83</v>
      </c>
      <c r="L254" s="8">
        <v>4</v>
      </c>
      <c r="M254" s="5">
        <f t="shared" si="2"/>
        <v>47.32</v>
      </c>
    </row>
    <row r="255" spans="1:13">
      <c r="A255" s="7">
        <v>96516720</v>
      </c>
      <c r="B255" s="7" t="s">
        <v>1183</v>
      </c>
      <c r="C255" s="61">
        <v>1389</v>
      </c>
      <c r="D255" s="5">
        <v>694.5</v>
      </c>
      <c r="E255" s="5"/>
      <c r="G255" s="5">
        <v>520</v>
      </c>
      <c r="H255" s="5"/>
      <c r="I255" s="5"/>
      <c r="J255" s="5"/>
      <c r="K255" s="5">
        <v>11.83</v>
      </c>
      <c r="L255" s="8">
        <v>4</v>
      </c>
      <c r="M255" s="5">
        <f t="shared" si="2"/>
        <v>47.32</v>
      </c>
    </row>
    <row r="256" spans="1:13">
      <c r="A256" s="7">
        <v>96516721</v>
      </c>
      <c r="B256" s="7" t="s">
        <v>1184</v>
      </c>
      <c r="C256" s="61">
        <v>1458</v>
      </c>
      <c r="D256" s="5">
        <v>729</v>
      </c>
      <c r="E256" s="5"/>
      <c r="G256" s="5">
        <v>520</v>
      </c>
      <c r="H256" s="5"/>
      <c r="I256" s="5"/>
      <c r="J256" s="5"/>
      <c r="K256" s="5">
        <v>11.83</v>
      </c>
      <c r="L256" s="8">
        <v>4</v>
      </c>
      <c r="M256" s="5">
        <f t="shared" si="2"/>
        <v>47.32</v>
      </c>
    </row>
    <row r="257" spans="1:13">
      <c r="A257" s="7">
        <v>96516722</v>
      </c>
      <c r="B257" s="7" t="s">
        <v>1185</v>
      </c>
      <c r="C257" s="61">
        <v>1533</v>
      </c>
      <c r="D257" s="5">
        <v>766.5</v>
      </c>
      <c r="E257" s="5"/>
      <c r="G257" s="5">
        <v>520</v>
      </c>
      <c r="H257" s="5"/>
      <c r="I257" s="5"/>
      <c r="J257" s="5"/>
      <c r="K257" s="5">
        <v>11.83</v>
      </c>
      <c r="L257" s="8">
        <v>4</v>
      </c>
      <c r="M257" s="5">
        <f t="shared" si="2"/>
        <v>47.32</v>
      </c>
    </row>
    <row r="258" spans="1:13">
      <c r="A258" s="7">
        <v>96516723</v>
      </c>
      <c r="B258" s="7" t="s">
        <v>1186</v>
      </c>
      <c r="C258" s="61">
        <v>1601</v>
      </c>
      <c r="D258" s="5">
        <v>800.5</v>
      </c>
      <c r="E258" s="5"/>
      <c r="G258" s="5">
        <v>520</v>
      </c>
      <c r="H258" s="5"/>
      <c r="I258" s="5"/>
      <c r="J258" s="5"/>
      <c r="K258" s="5">
        <v>11.83</v>
      </c>
      <c r="L258" s="8">
        <v>4</v>
      </c>
      <c r="M258" s="5">
        <f t="shared" si="2"/>
        <v>47.32</v>
      </c>
    </row>
    <row r="259" spans="1:13">
      <c r="A259" s="7">
        <v>96516724</v>
      </c>
      <c r="B259" s="7" t="s">
        <v>1187</v>
      </c>
      <c r="C259" s="61">
        <v>1622</v>
      </c>
      <c r="D259" s="5">
        <v>811</v>
      </c>
      <c r="E259" s="5"/>
      <c r="G259" s="5">
        <v>520</v>
      </c>
      <c r="H259" s="5"/>
      <c r="I259" s="5"/>
      <c r="J259" s="5"/>
      <c r="K259" s="5">
        <v>11.83</v>
      </c>
      <c r="L259" s="8">
        <v>4</v>
      </c>
      <c r="M259" s="5">
        <f t="shared" si="2"/>
        <v>47.32</v>
      </c>
    </row>
    <row r="260" spans="1:13">
      <c r="A260" s="7">
        <v>96516725</v>
      </c>
      <c r="B260" s="7" t="s">
        <v>1188</v>
      </c>
      <c r="C260" s="61">
        <v>1706</v>
      </c>
      <c r="D260" s="5">
        <v>853</v>
      </c>
      <c r="E260" s="5"/>
      <c r="G260" s="5">
        <v>520</v>
      </c>
      <c r="H260" s="5"/>
      <c r="I260" s="5"/>
      <c r="J260" s="5"/>
      <c r="K260" s="5">
        <v>11.83</v>
      </c>
      <c r="L260" s="8">
        <v>4</v>
      </c>
      <c r="M260" s="5">
        <f t="shared" si="2"/>
        <v>47.32</v>
      </c>
    </row>
    <row r="261" spans="1:13">
      <c r="A261" s="7">
        <v>96516726</v>
      </c>
      <c r="B261" s="7" t="s">
        <v>1189</v>
      </c>
      <c r="C261" s="61">
        <v>1795</v>
      </c>
      <c r="D261" s="5">
        <v>897.5</v>
      </c>
      <c r="E261" s="5"/>
      <c r="G261" s="5">
        <v>520</v>
      </c>
      <c r="H261" s="5"/>
      <c r="I261" s="5"/>
      <c r="J261" s="5"/>
      <c r="K261" s="5">
        <v>11.83</v>
      </c>
      <c r="L261" s="8">
        <v>4</v>
      </c>
      <c r="M261" s="5">
        <f t="shared" si="2"/>
        <v>47.32</v>
      </c>
    </row>
    <row r="262" spans="1:13">
      <c r="A262" s="7">
        <v>96516727</v>
      </c>
      <c r="B262" s="7" t="s">
        <v>1190</v>
      </c>
      <c r="C262" s="61">
        <v>1874</v>
      </c>
      <c r="D262" s="5">
        <v>937</v>
      </c>
      <c r="E262" s="5"/>
      <c r="G262" s="5">
        <v>520</v>
      </c>
      <c r="H262" s="5"/>
      <c r="I262" s="5"/>
      <c r="J262" s="5"/>
      <c r="K262" s="5">
        <v>11.83</v>
      </c>
      <c r="L262" s="8">
        <v>4</v>
      </c>
      <c r="M262" s="5">
        <f t="shared" si="2"/>
        <v>47.32</v>
      </c>
    </row>
    <row r="263" spans="1:13">
      <c r="A263" s="7">
        <v>96516728</v>
      </c>
      <c r="B263" s="7" t="s">
        <v>1191</v>
      </c>
      <c r="C263" s="61">
        <v>1954</v>
      </c>
      <c r="D263" s="5">
        <v>977</v>
      </c>
      <c r="E263" s="5"/>
      <c r="G263" s="5">
        <v>520</v>
      </c>
      <c r="H263" s="5"/>
      <c r="I263" s="5"/>
      <c r="J263" s="5"/>
      <c r="K263" s="5">
        <v>11.83</v>
      </c>
      <c r="L263" s="8">
        <v>4</v>
      </c>
      <c r="M263" s="5">
        <f t="shared" si="2"/>
        <v>47.32</v>
      </c>
    </row>
    <row r="264" spans="1:13">
      <c r="A264" s="7">
        <v>96516729</v>
      </c>
      <c r="B264" s="7" t="s">
        <v>1192</v>
      </c>
      <c r="C264" s="61">
        <v>2075</v>
      </c>
      <c r="D264" s="5">
        <v>1037.5</v>
      </c>
      <c r="E264" s="5"/>
      <c r="G264" s="5">
        <v>520</v>
      </c>
      <c r="H264" s="5"/>
      <c r="I264" s="5"/>
      <c r="J264" s="5"/>
      <c r="K264" s="5">
        <v>11.83</v>
      </c>
      <c r="L264" s="8">
        <v>4</v>
      </c>
      <c r="M264" s="5">
        <f t="shared" si="2"/>
        <v>47.32</v>
      </c>
    </row>
    <row r="265" spans="1:13">
      <c r="A265" s="7">
        <v>96516730</v>
      </c>
      <c r="B265" s="7" t="s">
        <v>1193</v>
      </c>
      <c r="C265" s="61">
        <v>2164</v>
      </c>
      <c r="D265" s="5">
        <v>1082</v>
      </c>
      <c r="E265" s="5"/>
      <c r="G265" s="5">
        <v>520</v>
      </c>
      <c r="H265" s="5"/>
      <c r="I265" s="5"/>
      <c r="J265" s="5"/>
      <c r="K265" s="5">
        <v>11.83</v>
      </c>
      <c r="L265" s="8">
        <v>4</v>
      </c>
      <c r="M265" s="5">
        <f t="shared" si="2"/>
        <v>47.32</v>
      </c>
    </row>
    <row r="266" spans="1:13">
      <c r="A266" s="7">
        <v>96516731</v>
      </c>
      <c r="B266" s="7" t="s">
        <v>1194</v>
      </c>
      <c r="C266" s="61">
        <v>2254</v>
      </c>
      <c r="D266" s="5">
        <v>1127</v>
      </c>
      <c r="E266" s="5"/>
      <c r="G266" s="5">
        <v>520</v>
      </c>
      <c r="H266" s="5"/>
      <c r="I266" s="5"/>
      <c r="J266" s="5"/>
      <c r="K266" s="5">
        <v>11.83</v>
      </c>
      <c r="L266" s="8">
        <v>4</v>
      </c>
      <c r="M266" s="5">
        <f t="shared" si="2"/>
        <v>47.32</v>
      </c>
    </row>
    <row r="267" spans="1:13">
      <c r="A267" s="7">
        <v>96516732</v>
      </c>
      <c r="B267" s="7" t="s">
        <v>1195</v>
      </c>
      <c r="C267" s="61">
        <v>2433</v>
      </c>
      <c r="D267" s="5">
        <v>1216.5</v>
      </c>
      <c r="E267" s="5"/>
      <c r="G267" s="5">
        <v>520</v>
      </c>
      <c r="H267" s="5"/>
      <c r="I267" s="5"/>
      <c r="J267" s="5"/>
      <c r="K267" s="5">
        <v>11.83</v>
      </c>
      <c r="L267" s="8">
        <v>4</v>
      </c>
      <c r="M267" s="5">
        <f t="shared" si="2"/>
        <v>47.32</v>
      </c>
    </row>
    <row r="268" spans="1:13">
      <c r="A268" s="7">
        <v>96516733</v>
      </c>
      <c r="B268" s="7" t="s">
        <v>1196</v>
      </c>
      <c r="C268" s="61">
        <v>2770</v>
      </c>
      <c r="D268" s="5">
        <v>1385</v>
      </c>
      <c r="E268" s="5"/>
      <c r="G268" s="5">
        <v>520</v>
      </c>
      <c r="H268" s="5"/>
      <c r="I268" s="5"/>
      <c r="J268" s="5"/>
      <c r="K268" s="5">
        <v>11.83</v>
      </c>
      <c r="L268" s="8">
        <v>4</v>
      </c>
      <c r="M268" s="5">
        <f t="shared" si="2"/>
        <v>47.32</v>
      </c>
    </row>
    <row r="269" spans="1:13">
      <c r="A269" s="7">
        <v>96516734</v>
      </c>
      <c r="B269" s="7" t="s">
        <v>1197</v>
      </c>
      <c r="C269" s="61">
        <v>2943</v>
      </c>
      <c r="D269" s="5">
        <v>1471.5</v>
      </c>
      <c r="E269" s="5"/>
      <c r="G269" s="5">
        <v>520</v>
      </c>
      <c r="H269" s="5"/>
      <c r="I269" s="5"/>
      <c r="J269" s="5"/>
      <c r="K269" s="5">
        <v>11.83</v>
      </c>
      <c r="L269" s="8">
        <v>4</v>
      </c>
      <c r="M269" s="5">
        <f t="shared" si="2"/>
        <v>47.32</v>
      </c>
    </row>
    <row r="270" spans="1:13">
      <c r="A270" s="7">
        <v>96516735</v>
      </c>
      <c r="B270" s="7" t="s">
        <v>1198</v>
      </c>
      <c r="C270" s="61">
        <v>3058</v>
      </c>
      <c r="D270" s="5">
        <v>1529</v>
      </c>
      <c r="E270" s="5"/>
      <c r="G270" s="5">
        <v>520</v>
      </c>
      <c r="H270" s="5"/>
      <c r="I270" s="5"/>
      <c r="J270" s="5"/>
      <c r="K270" s="5">
        <v>11.83</v>
      </c>
      <c r="L270" s="8">
        <v>4</v>
      </c>
      <c r="M270" s="5">
        <f t="shared" si="2"/>
        <v>47.32</v>
      </c>
    </row>
    <row r="271" spans="1:13">
      <c r="A271" s="7">
        <v>96516736</v>
      </c>
      <c r="B271" s="7" t="s">
        <v>1199</v>
      </c>
      <c r="C271" s="61">
        <v>3238</v>
      </c>
      <c r="D271" s="5">
        <v>1619</v>
      </c>
      <c r="E271" s="5"/>
      <c r="G271" s="5">
        <v>520</v>
      </c>
      <c r="H271" s="5"/>
      <c r="I271" s="5"/>
      <c r="J271" s="5"/>
      <c r="K271" s="5">
        <v>11.83</v>
      </c>
      <c r="L271" s="8">
        <v>4</v>
      </c>
      <c r="M271" s="5">
        <f t="shared" si="2"/>
        <v>47.32</v>
      </c>
    </row>
    <row r="272" spans="1:13">
      <c r="A272" s="7">
        <v>96516737</v>
      </c>
      <c r="B272" s="7" t="s">
        <v>1200</v>
      </c>
      <c r="C272" s="61">
        <v>3418</v>
      </c>
      <c r="D272" s="5">
        <v>1709</v>
      </c>
      <c r="E272" s="5"/>
      <c r="G272" s="5">
        <v>520</v>
      </c>
      <c r="H272" s="5"/>
      <c r="I272" s="5"/>
      <c r="J272" s="5"/>
      <c r="K272" s="5">
        <v>11.83</v>
      </c>
      <c r="L272" s="8">
        <v>4</v>
      </c>
      <c r="M272" s="5">
        <f t="shared" si="2"/>
        <v>47.32</v>
      </c>
    </row>
    <row r="273" spans="1:13">
      <c r="A273" s="7">
        <v>96516738</v>
      </c>
      <c r="B273" s="7" t="s">
        <v>1201</v>
      </c>
      <c r="C273" s="61">
        <v>3598</v>
      </c>
      <c r="D273" s="5">
        <v>1799</v>
      </c>
      <c r="E273" s="5"/>
      <c r="G273" s="5">
        <v>520</v>
      </c>
      <c r="H273" s="5"/>
      <c r="I273" s="5"/>
      <c r="J273" s="5"/>
      <c r="K273" s="5">
        <v>11.83</v>
      </c>
      <c r="L273" s="8">
        <v>4</v>
      </c>
      <c r="M273" s="5">
        <f t="shared" si="2"/>
        <v>47.32</v>
      </c>
    </row>
    <row r="274" spans="1:13">
      <c r="A274" s="7">
        <v>96516739</v>
      </c>
      <c r="B274" s="7" t="s">
        <v>1202</v>
      </c>
      <c r="C274" s="61">
        <v>3775</v>
      </c>
      <c r="D274" s="5">
        <v>1887.5</v>
      </c>
      <c r="E274" s="5"/>
      <c r="G274" s="5">
        <v>520</v>
      </c>
      <c r="H274" s="5"/>
      <c r="I274" s="5"/>
      <c r="J274" s="5"/>
      <c r="K274" s="5">
        <v>11.83</v>
      </c>
      <c r="L274" s="8">
        <v>4</v>
      </c>
      <c r="M274" s="5">
        <f t="shared" si="2"/>
        <v>47.32</v>
      </c>
    </row>
    <row r="275" spans="1:13">
      <c r="A275" s="7">
        <v>96516740</v>
      </c>
      <c r="B275" s="7" t="s">
        <v>1259</v>
      </c>
      <c r="C275" s="61">
        <v>3859</v>
      </c>
      <c r="D275" s="5">
        <v>1929.5</v>
      </c>
      <c r="E275" s="5"/>
      <c r="G275" s="5">
        <v>520</v>
      </c>
      <c r="H275" s="5"/>
      <c r="I275" s="5"/>
      <c r="J275" s="5"/>
      <c r="K275" s="5">
        <v>11.83</v>
      </c>
      <c r="L275" s="8">
        <v>4</v>
      </c>
      <c r="M275" s="5">
        <f t="shared" si="2"/>
        <v>47.32</v>
      </c>
    </row>
    <row r="276" spans="1:13">
      <c r="A276" s="7">
        <v>96516741</v>
      </c>
      <c r="B276" s="7" t="s">
        <v>1260</v>
      </c>
      <c r="C276" s="61">
        <v>4076</v>
      </c>
      <c r="D276" s="5">
        <v>2038</v>
      </c>
      <c r="E276" s="5"/>
      <c r="G276" s="5">
        <v>520</v>
      </c>
      <c r="H276" s="5"/>
      <c r="I276" s="5"/>
      <c r="J276" s="5"/>
      <c r="K276" s="5">
        <v>11.83</v>
      </c>
      <c r="L276" s="8">
        <v>4</v>
      </c>
      <c r="M276" s="5">
        <f t="shared" si="2"/>
        <v>47.32</v>
      </c>
    </row>
    <row r="277" spans="1:13">
      <c r="A277" s="7">
        <v>96516742</v>
      </c>
      <c r="B277" s="7" t="s">
        <v>1261</v>
      </c>
      <c r="C277" s="61">
        <v>4298</v>
      </c>
      <c r="D277" s="5">
        <v>2149</v>
      </c>
      <c r="E277" s="5"/>
      <c r="G277" s="5">
        <v>520</v>
      </c>
      <c r="H277" s="5"/>
      <c r="I277" s="5"/>
      <c r="J277" s="5"/>
      <c r="K277" s="5">
        <v>11.83</v>
      </c>
      <c r="L277" s="8">
        <v>4</v>
      </c>
      <c r="M277" s="5">
        <f t="shared" si="2"/>
        <v>47.32</v>
      </c>
    </row>
    <row r="278" spans="1:13">
      <c r="A278" s="7">
        <v>96517098</v>
      </c>
      <c r="B278" s="7" t="s">
        <v>1203</v>
      </c>
      <c r="C278" s="61">
        <v>1584</v>
      </c>
      <c r="D278" s="5">
        <v>792</v>
      </c>
      <c r="E278" s="5"/>
      <c r="G278" s="5">
        <v>520</v>
      </c>
      <c r="H278" s="5"/>
      <c r="I278" s="5"/>
      <c r="J278" s="5"/>
      <c r="K278" s="5">
        <v>11.83</v>
      </c>
      <c r="L278" s="8">
        <v>4</v>
      </c>
      <c r="M278" s="5">
        <f t="shared" si="2"/>
        <v>47.32</v>
      </c>
    </row>
    <row r="279" spans="1:13">
      <c r="A279" s="7">
        <v>96517099</v>
      </c>
      <c r="B279" s="7" t="s">
        <v>1204</v>
      </c>
      <c r="C279" s="61">
        <v>1664</v>
      </c>
      <c r="D279" s="5">
        <v>832</v>
      </c>
      <c r="E279" s="5"/>
      <c r="G279" s="5">
        <v>520</v>
      </c>
      <c r="H279" s="5"/>
      <c r="I279" s="5"/>
      <c r="J279" s="5"/>
      <c r="K279" s="5">
        <v>11.83</v>
      </c>
      <c r="L279" s="8">
        <v>4</v>
      </c>
      <c r="M279" s="5">
        <f t="shared" si="2"/>
        <v>47.32</v>
      </c>
    </row>
    <row r="280" spans="1:13">
      <c r="A280" s="7">
        <v>96517100</v>
      </c>
      <c r="B280" s="7" t="s">
        <v>1205</v>
      </c>
      <c r="C280" s="61">
        <v>1784</v>
      </c>
      <c r="D280" s="5">
        <v>892</v>
      </c>
      <c r="E280" s="5"/>
      <c r="G280" s="5">
        <v>520</v>
      </c>
      <c r="H280" s="5"/>
      <c r="I280" s="5"/>
      <c r="J280" s="5"/>
      <c r="K280" s="5">
        <v>11.83</v>
      </c>
      <c r="L280" s="8">
        <v>4</v>
      </c>
      <c r="M280" s="5">
        <f t="shared" si="2"/>
        <v>47.32</v>
      </c>
    </row>
    <row r="281" spans="1:13">
      <c r="A281" s="7">
        <v>96517101</v>
      </c>
      <c r="B281" s="7" t="s">
        <v>1207</v>
      </c>
      <c r="C281" s="61">
        <v>1985</v>
      </c>
      <c r="D281" s="5">
        <v>992.5</v>
      </c>
      <c r="E281" s="5"/>
      <c r="G281" s="5">
        <v>520</v>
      </c>
      <c r="H281" s="5"/>
      <c r="I281" s="5"/>
      <c r="J281" s="5"/>
      <c r="K281" s="5">
        <v>11.83</v>
      </c>
      <c r="L281" s="8">
        <v>4</v>
      </c>
      <c r="M281" s="5">
        <f t="shared" si="2"/>
        <v>47.32</v>
      </c>
    </row>
    <row r="282" spans="1:13">
      <c r="A282" s="7">
        <v>96517102</v>
      </c>
      <c r="B282" s="7" t="s">
        <v>1208</v>
      </c>
      <c r="C282" s="61">
        <v>2058</v>
      </c>
      <c r="D282" s="5">
        <v>1029</v>
      </c>
      <c r="E282" s="5"/>
      <c r="G282" s="5">
        <v>520</v>
      </c>
      <c r="H282" s="5"/>
      <c r="I282" s="5"/>
      <c r="J282" s="5"/>
      <c r="K282" s="5">
        <v>11.83</v>
      </c>
      <c r="L282" s="8">
        <v>4</v>
      </c>
      <c r="M282" s="5">
        <f t="shared" si="2"/>
        <v>47.32</v>
      </c>
    </row>
    <row r="283" spans="1:13">
      <c r="A283" s="7">
        <v>96517103</v>
      </c>
      <c r="B283" s="7" t="s">
        <v>1209</v>
      </c>
      <c r="C283" s="61">
        <v>2133</v>
      </c>
      <c r="D283" s="5">
        <v>1066.5</v>
      </c>
      <c r="E283" s="5"/>
      <c r="G283" s="5">
        <v>520</v>
      </c>
      <c r="H283" s="5"/>
      <c r="I283" s="5"/>
      <c r="J283" s="5"/>
      <c r="K283" s="5">
        <v>11.83</v>
      </c>
      <c r="L283" s="8">
        <v>4</v>
      </c>
      <c r="M283" s="5">
        <f t="shared" si="2"/>
        <v>47.32</v>
      </c>
    </row>
    <row r="284" spans="1:13">
      <c r="A284" s="7">
        <v>96517104</v>
      </c>
      <c r="B284" s="7" t="s">
        <v>1210</v>
      </c>
      <c r="C284" s="61">
        <v>2415</v>
      </c>
      <c r="D284" s="5">
        <v>1207.5</v>
      </c>
      <c r="E284" s="5"/>
      <c r="G284" s="5">
        <v>520</v>
      </c>
      <c r="H284" s="5"/>
      <c r="I284" s="5"/>
      <c r="J284" s="5"/>
      <c r="K284" s="5">
        <v>11.83</v>
      </c>
      <c r="L284" s="8">
        <v>4</v>
      </c>
      <c r="M284" s="5">
        <f t="shared" si="2"/>
        <v>47.32</v>
      </c>
    </row>
    <row r="285" spans="1:13">
      <c r="A285" s="7">
        <v>96517105</v>
      </c>
      <c r="B285" s="7" t="s">
        <v>1211</v>
      </c>
      <c r="C285" s="61">
        <v>2511</v>
      </c>
      <c r="D285" s="5">
        <v>1255.5</v>
      </c>
      <c r="E285" s="5"/>
      <c r="G285" s="5">
        <v>520</v>
      </c>
      <c r="H285" s="5"/>
      <c r="I285" s="5"/>
      <c r="J285" s="5"/>
      <c r="K285" s="5">
        <v>11.83</v>
      </c>
      <c r="L285" s="8">
        <v>4</v>
      </c>
      <c r="M285" s="5">
        <f t="shared" si="2"/>
        <v>47.32</v>
      </c>
    </row>
    <row r="286" spans="1:13">
      <c r="A286" s="7">
        <v>96517106</v>
      </c>
      <c r="B286" s="7" t="s">
        <v>1212</v>
      </c>
      <c r="C286" s="61">
        <v>2732</v>
      </c>
      <c r="D286" s="5">
        <v>1366</v>
      </c>
      <c r="E286" s="5"/>
      <c r="G286" s="5">
        <v>520</v>
      </c>
      <c r="H286" s="5"/>
      <c r="I286" s="5"/>
      <c r="J286" s="5"/>
      <c r="K286" s="5">
        <v>11.83</v>
      </c>
      <c r="L286" s="8">
        <v>4</v>
      </c>
      <c r="M286" s="5">
        <f t="shared" si="2"/>
        <v>47.32</v>
      </c>
    </row>
    <row r="287" spans="1:13">
      <c r="A287" s="7">
        <v>96517107</v>
      </c>
      <c r="B287" s="7" t="s">
        <v>1213</v>
      </c>
      <c r="C287" s="61">
        <v>2806</v>
      </c>
      <c r="D287" s="5">
        <v>1403</v>
      </c>
      <c r="E287" s="5"/>
      <c r="G287" s="5">
        <v>520</v>
      </c>
      <c r="H287" s="5"/>
      <c r="I287" s="5"/>
      <c r="J287" s="5"/>
      <c r="K287" s="5">
        <v>11.83</v>
      </c>
      <c r="L287" s="8">
        <v>4</v>
      </c>
      <c r="M287" s="5">
        <f t="shared" si="2"/>
        <v>47.32</v>
      </c>
    </row>
    <row r="288" spans="1:13">
      <c r="A288" s="7">
        <v>96517108</v>
      </c>
      <c r="B288" s="7" t="s">
        <v>1214</v>
      </c>
      <c r="C288" s="61">
        <v>2886</v>
      </c>
      <c r="D288" s="5">
        <v>1443</v>
      </c>
      <c r="E288" s="5"/>
      <c r="G288" s="5">
        <v>520</v>
      </c>
      <c r="H288" s="5"/>
      <c r="I288" s="5"/>
      <c r="J288" s="5"/>
      <c r="K288" s="5">
        <v>11.83</v>
      </c>
      <c r="L288" s="8">
        <v>4</v>
      </c>
      <c r="M288" s="5">
        <f t="shared" si="2"/>
        <v>47.32</v>
      </c>
    </row>
    <row r="289" spans="1:13">
      <c r="A289" s="7">
        <v>96517109</v>
      </c>
      <c r="B289" s="7" t="s">
        <v>1215</v>
      </c>
      <c r="C289" s="61">
        <v>2959</v>
      </c>
      <c r="D289" s="5">
        <v>1479.5</v>
      </c>
      <c r="E289" s="5"/>
      <c r="G289" s="5">
        <v>520</v>
      </c>
      <c r="H289" s="5"/>
      <c r="I289" s="5"/>
      <c r="J289" s="5"/>
      <c r="K289" s="5">
        <v>11.83</v>
      </c>
      <c r="L289" s="8">
        <v>4</v>
      </c>
      <c r="M289" s="5">
        <f t="shared" si="2"/>
        <v>47.32</v>
      </c>
    </row>
    <row r="290" spans="1:13">
      <c r="A290" s="7">
        <v>96517110</v>
      </c>
      <c r="B290" s="7" t="s">
        <v>1216</v>
      </c>
      <c r="C290" s="61">
        <v>3033</v>
      </c>
      <c r="D290" s="5">
        <v>1516.5</v>
      </c>
      <c r="E290" s="5"/>
      <c r="G290" s="5">
        <v>520</v>
      </c>
      <c r="H290" s="5"/>
      <c r="I290" s="5"/>
      <c r="J290" s="5"/>
      <c r="K290" s="5">
        <v>11.83</v>
      </c>
      <c r="L290" s="8">
        <v>4</v>
      </c>
      <c r="M290" s="5">
        <f t="shared" si="2"/>
        <v>47.32</v>
      </c>
    </row>
    <row r="291" spans="1:13">
      <c r="A291" s="7">
        <v>96517111</v>
      </c>
      <c r="B291" s="7" t="s">
        <v>1217</v>
      </c>
      <c r="C291" s="61">
        <v>3105</v>
      </c>
      <c r="D291" s="5">
        <v>1552.5</v>
      </c>
      <c r="E291" s="5"/>
      <c r="G291" s="5">
        <v>520</v>
      </c>
      <c r="H291" s="5"/>
      <c r="I291" s="5"/>
      <c r="J291" s="5"/>
      <c r="K291" s="5">
        <v>11.83</v>
      </c>
      <c r="L291" s="8">
        <v>4</v>
      </c>
      <c r="M291" s="5">
        <f t="shared" si="2"/>
        <v>47.32</v>
      </c>
    </row>
    <row r="292" spans="1:13">
      <c r="A292" s="7">
        <v>96517112</v>
      </c>
      <c r="B292" s="7" t="s">
        <v>1262</v>
      </c>
      <c r="C292" s="61">
        <v>3473</v>
      </c>
      <c r="D292" s="5">
        <v>1736.5</v>
      </c>
      <c r="E292" s="5"/>
      <c r="G292" s="5">
        <v>520</v>
      </c>
      <c r="H292" s="5"/>
      <c r="I292" s="5"/>
      <c r="J292" s="5"/>
      <c r="K292" s="5">
        <v>11.83</v>
      </c>
      <c r="L292" s="8">
        <v>4</v>
      </c>
      <c r="M292" s="5">
        <f t="shared" si="2"/>
        <v>47.32</v>
      </c>
    </row>
    <row r="293" spans="1:13">
      <c r="A293" s="7">
        <v>96517113</v>
      </c>
      <c r="B293" s="7" t="s">
        <v>1263</v>
      </c>
      <c r="C293" s="61">
        <v>3628</v>
      </c>
      <c r="D293" s="5">
        <v>1814</v>
      </c>
      <c r="E293" s="5"/>
      <c r="G293" s="5">
        <v>520</v>
      </c>
      <c r="H293" s="5"/>
      <c r="I293" s="5"/>
      <c r="J293" s="5"/>
      <c r="K293" s="5">
        <v>11.83</v>
      </c>
      <c r="L293" s="8">
        <v>4</v>
      </c>
      <c r="M293" s="5">
        <f t="shared" si="2"/>
        <v>47.32</v>
      </c>
    </row>
    <row r="294" spans="1:13">
      <c r="A294" s="7">
        <v>96517162</v>
      </c>
      <c r="B294" s="7" t="s">
        <v>1264</v>
      </c>
      <c r="C294" s="61">
        <v>3817</v>
      </c>
      <c r="D294" s="5">
        <v>1908.5</v>
      </c>
      <c r="E294" s="5"/>
      <c r="G294" s="5">
        <v>520</v>
      </c>
      <c r="H294" s="5"/>
      <c r="I294" s="5"/>
      <c r="J294" s="5"/>
      <c r="K294" s="5">
        <v>11.83</v>
      </c>
      <c r="L294" s="8">
        <v>4</v>
      </c>
      <c r="M294" s="5">
        <f t="shared" si="2"/>
        <v>47.32</v>
      </c>
    </row>
    <row r="295" spans="1:13">
      <c r="A295" s="7">
        <v>96517163</v>
      </c>
      <c r="B295" s="7" t="s">
        <v>1265</v>
      </c>
      <c r="C295" s="61">
        <v>3966</v>
      </c>
      <c r="D295" s="5">
        <v>1983</v>
      </c>
      <c r="E295" s="5"/>
      <c r="G295" s="5">
        <v>520</v>
      </c>
      <c r="H295" s="5"/>
      <c r="I295" s="5"/>
      <c r="J295" s="5"/>
      <c r="K295" s="5">
        <v>11.83</v>
      </c>
      <c r="L295" s="8">
        <v>4</v>
      </c>
      <c r="M295" s="5">
        <f t="shared" si="2"/>
        <v>47.32</v>
      </c>
    </row>
    <row r="296" spans="1:13">
      <c r="A296" s="7">
        <v>96517164</v>
      </c>
      <c r="B296" s="7" t="s">
        <v>1266</v>
      </c>
      <c r="C296" s="61">
        <v>4133</v>
      </c>
      <c r="D296" s="5">
        <v>2066.5</v>
      </c>
      <c r="E296" s="5"/>
      <c r="G296" s="5">
        <v>520</v>
      </c>
      <c r="H296" s="5"/>
      <c r="I296" s="5"/>
      <c r="J296" s="5"/>
      <c r="K296" s="5">
        <v>11.83</v>
      </c>
      <c r="L296" s="8">
        <v>4</v>
      </c>
      <c r="M296" s="5">
        <f t="shared" si="2"/>
        <v>47.32</v>
      </c>
    </row>
    <row r="297" spans="1:13">
      <c r="A297" s="7">
        <v>96517165</v>
      </c>
      <c r="B297" s="7" t="s">
        <v>1267</v>
      </c>
      <c r="C297" s="61">
        <v>4360</v>
      </c>
      <c r="D297" s="5">
        <v>2180</v>
      </c>
      <c r="E297" s="5"/>
      <c r="G297" s="5">
        <v>520</v>
      </c>
      <c r="H297" s="5"/>
      <c r="I297" s="5"/>
      <c r="J297" s="5"/>
      <c r="K297" s="5">
        <v>11.83</v>
      </c>
      <c r="L297" s="8">
        <v>4</v>
      </c>
      <c r="M297" s="5">
        <f t="shared" si="2"/>
        <v>47.32</v>
      </c>
    </row>
    <row r="298" spans="1:13">
      <c r="A298" s="7">
        <v>96517166</v>
      </c>
      <c r="B298" s="7" t="s">
        <v>1268</v>
      </c>
      <c r="C298" s="61">
        <v>4949</v>
      </c>
      <c r="D298" s="5">
        <v>2474.5</v>
      </c>
      <c r="E298" s="5"/>
      <c r="G298" s="5">
        <v>520</v>
      </c>
      <c r="H298" s="5"/>
      <c r="I298" s="5"/>
      <c r="J298" s="5"/>
      <c r="K298" s="5">
        <v>11.83</v>
      </c>
      <c r="L298" s="8">
        <v>4</v>
      </c>
      <c r="M298" s="5">
        <f t="shared" si="2"/>
        <v>47.32</v>
      </c>
    </row>
    <row r="299" spans="1:13">
      <c r="A299" s="7">
        <v>96517167</v>
      </c>
      <c r="B299" s="7" t="s">
        <v>1269</v>
      </c>
      <c r="C299" s="61">
        <v>5244</v>
      </c>
      <c r="D299" s="5">
        <v>2622</v>
      </c>
      <c r="E299" s="5"/>
      <c r="G299" s="5">
        <v>520</v>
      </c>
      <c r="H299" s="5"/>
      <c r="I299" s="5"/>
      <c r="J299" s="5"/>
      <c r="K299" s="5">
        <v>11.83</v>
      </c>
      <c r="L299" s="8">
        <v>4</v>
      </c>
      <c r="M299" s="5">
        <f t="shared" si="2"/>
        <v>47.32</v>
      </c>
    </row>
    <row r="300" spans="1:13">
      <c r="A300" s="7">
        <v>96522055</v>
      </c>
      <c r="B300" s="7" t="s">
        <v>1206</v>
      </c>
      <c r="C300" s="61">
        <v>1931</v>
      </c>
      <c r="D300" s="5">
        <v>965.5</v>
      </c>
      <c r="E300" s="5"/>
      <c r="G300" s="5">
        <v>520</v>
      </c>
      <c r="H300" s="5"/>
      <c r="I300" s="5"/>
      <c r="J300" s="5"/>
      <c r="K300" s="5">
        <v>11.83</v>
      </c>
      <c r="L300" s="8">
        <v>4</v>
      </c>
      <c r="M300" s="5">
        <f t="shared" si="2"/>
        <v>47.32</v>
      </c>
    </row>
    <row r="301" spans="1:13">
      <c r="A301" s="7">
        <v>96527513</v>
      </c>
      <c r="B301" s="7" t="s">
        <v>1139</v>
      </c>
      <c r="C301" s="61">
        <v>1546</v>
      </c>
      <c r="D301" s="5">
        <v>773</v>
      </c>
      <c r="E301" s="5"/>
      <c r="G301" s="5">
        <v>520</v>
      </c>
      <c r="H301" s="5"/>
      <c r="I301" s="5"/>
      <c r="J301" s="5"/>
      <c r="K301" s="5">
        <v>11.83</v>
      </c>
      <c r="L301" s="8">
        <v>4</v>
      </c>
      <c r="M301" s="5">
        <f t="shared" si="2"/>
        <v>47.32</v>
      </c>
    </row>
    <row r="302" spans="1:13">
      <c r="A302" s="7">
        <v>96527515</v>
      </c>
      <c r="B302" s="7" t="s">
        <v>1140</v>
      </c>
      <c r="C302" s="61">
        <v>1593</v>
      </c>
      <c r="D302" s="5">
        <v>796.5</v>
      </c>
      <c r="E302" s="5"/>
      <c r="G302" s="5">
        <v>520</v>
      </c>
      <c r="H302" s="5"/>
      <c r="I302" s="5"/>
      <c r="J302" s="5"/>
      <c r="K302" s="5">
        <v>11.83</v>
      </c>
      <c r="L302" s="8">
        <v>4</v>
      </c>
      <c r="M302" s="5">
        <f t="shared" si="2"/>
        <v>47.32</v>
      </c>
    </row>
    <row r="303" spans="1:13">
      <c r="A303" s="7">
        <v>96527516</v>
      </c>
      <c r="B303" s="7" t="s">
        <v>1141</v>
      </c>
      <c r="C303" s="61">
        <v>1641</v>
      </c>
      <c r="D303" s="5">
        <v>820.5</v>
      </c>
      <c r="E303" s="5"/>
      <c r="G303" s="5">
        <v>520</v>
      </c>
      <c r="H303" s="5"/>
      <c r="I303" s="5"/>
      <c r="J303" s="5"/>
      <c r="K303" s="5">
        <v>11.83</v>
      </c>
      <c r="L303" s="8">
        <v>4</v>
      </c>
      <c r="M303" s="5">
        <f t="shared" si="2"/>
        <v>47.32</v>
      </c>
    </row>
    <row r="304" spans="1:13">
      <c r="A304" s="7">
        <v>96527553</v>
      </c>
      <c r="B304" s="7" t="s">
        <v>1142</v>
      </c>
      <c r="C304" s="61">
        <v>1687</v>
      </c>
      <c r="D304" s="5">
        <v>843.5</v>
      </c>
      <c r="E304" s="5"/>
      <c r="G304" s="5">
        <v>520</v>
      </c>
      <c r="H304" s="5"/>
      <c r="I304" s="5"/>
      <c r="J304" s="5"/>
      <c r="K304" s="5">
        <v>11.83</v>
      </c>
      <c r="L304" s="8">
        <v>4</v>
      </c>
      <c r="M304" s="5">
        <f t="shared" si="2"/>
        <v>47.32</v>
      </c>
    </row>
    <row r="305" spans="1:13">
      <c r="A305" s="7">
        <v>96527554</v>
      </c>
      <c r="B305" s="7" t="s">
        <v>1143</v>
      </c>
      <c r="C305" s="61">
        <v>1736</v>
      </c>
      <c r="D305" s="5">
        <v>868</v>
      </c>
      <c r="E305" s="5"/>
      <c r="G305" s="5">
        <v>520</v>
      </c>
      <c r="H305" s="5"/>
      <c r="I305" s="5"/>
      <c r="J305" s="5"/>
      <c r="K305" s="5">
        <v>11.83</v>
      </c>
      <c r="L305" s="8">
        <v>4</v>
      </c>
      <c r="M305" s="5">
        <f t="shared" si="2"/>
        <v>47.32</v>
      </c>
    </row>
    <row r="306" spans="1:13">
      <c r="A306" s="7">
        <v>96527555</v>
      </c>
      <c r="B306" s="7" t="s">
        <v>1144</v>
      </c>
      <c r="C306" s="61">
        <v>1783</v>
      </c>
      <c r="D306" s="5">
        <v>891.5</v>
      </c>
      <c r="E306" s="5"/>
      <c r="G306" s="5">
        <v>520</v>
      </c>
      <c r="H306" s="5"/>
      <c r="I306" s="5"/>
      <c r="J306" s="5"/>
      <c r="K306" s="5">
        <v>11.83</v>
      </c>
      <c r="L306" s="8">
        <v>4</v>
      </c>
      <c r="M306" s="5">
        <f t="shared" si="2"/>
        <v>47.32</v>
      </c>
    </row>
    <row r="307" spans="1:13">
      <c r="A307" s="7">
        <v>96527556</v>
      </c>
      <c r="B307" s="7" t="s">
        <v>1145</v>
      </c>
      <c r="C307" s="61">
        <v>1830</v>
      </c>
      <c r="D307" s="5">
        <v>915</v>
      </c>
      <c r="E307" s="5"/>
      <c r="G307" s="5">
        <v>520</v>
      </c>
      <c r="H307" s="5"/>
      <c r="I307" s="5"/>
      <c r="J307" s="5"/>
      <c r="K307" s="5">
        <v>11.83</v>
      </c>
      <c r="L307" s="8">
        <v>4</v>
      </c>
      <c r="M307" s="5">
        <f t="shared" si="2"/>
        <v>47.32</v>
      </c>
    </row>
    <row r="308" spans="1:13">
      <c r="A308" s="7">
        <v>96527557</v>
      </c>
      <c r="B308" s="7" t="s">
        <v>1146</v>
      </c>
      <c r="C308" s="61">
        <v>1878</v>
      </c>
      <c r="D308" s="5">
        <v>939</v>
      </c>
      <c r="E308" s="5"/>
      <c r="G308" s="5">
        <v>520</v>
      </c>
      <c r="H308" s="5"/>
      <c r="I308" s="5"/>
      <c r="J308" s="5"/>
      <c r="K308" s="5">
        <v>11.83</v>
      </c>
      <c r="L308" s="8">
        <v>4</v>
      </c>
      <c r="M308" s="5">
        <f t="shared" si="2"/>
        <v>47.32</v>
      </c>
    </row>
    <row r="309" spans="1:13">
      <c r="A309" s="7">
        <v>96527558</v>
      </c>
      <c r="B309" s="7" t="s">
        <v>1147</v>
      </c>
      <c r="C309" s="61">
        <v>1924</v>
      </c>
      <c r="D309" s="5">
        <v>962</v>
      </c>
      <c r="E309" s="5"/>
      <c r="G309" s="5">
        <v>520</v>
      </c>
      <c r="H309" s="5"/>
      <c r="I309" s="5"/>
      <c r="J309" s="5"/>
      <c r="K309" s="5">
        <v>11.83</v>
      </c>
      <c r="L309" s="8">
        <v>4</v>
      </c>
      <c r="M309" s="5">
        <f t="shared" si="2"/>
        <v>47.32</v>
      </c>
    </row>
    <row r="310" spans="1:13">
      <c r="A310" s="7">
        <v>96527559</v>
      </c>
      <c r="B310" s="7" t="s">
        <v>1148</v>
      </c>
      <c r="C310" s="61">
        <v>1971</v>
      </c>
      <c r="D310" s="5">
        <v>985.5</v>
      </c>
      <c r="E310" s="5"/>
      <c r="G310" s="5">
        <v>520</v>
      </c>
      <c r="H310" s="5"/>
      <c r="I310" s="5"/>
      <c r="J310" s="5"/>
      <c r="K310" s="5">
        <v>11.83</v>
      </c>
      <c r="L310" s="8">
        <v>4</v>
      </c>
      <c r="M310" s="5">
        <f t="shared" si="2"/>
        <v>47.32</v>
      </c>
    </row>
    <row r="311" spans="1:13">
      <c r="A311" s="7">
        <v>96527570</v>
      </c>
      <c r="B311" s="7" t="s">
        <v>1149</v>
      </c>
      <c r="C311" s="61">
        <v>2019</v>
      </c>
      <c r="D311" s="5">
        <v>1009.5</v>
      </c>
      <c r="E311" s="5"/>
      <c r="G311" s="5">
        <v>520</v>
      </c>
      <c r="H311" s="5"/>
      <c r="I311" s="5"/>
      <c r="J311" s="5"/>
      <c r="K311" s="5">
        <v>11.83</v>
      </c>
      <c r="L311" s="8">
        <v>4</v>
      </c>
      <c r="M311" s="5">
        <f t="shared" si="2"/>
        <v>47.32</v>
      </c>
    </row>
    <row r="312" spans="1:13">
      <c r="A312" s="7">
        <v>96527572</v>
      </c>
      <c r="B312" s="7" t="s">
        <v>1150</v>
      </c>
      <c r="C312" s="61">
        <v>2066</v>
      </c>
      <c r="D312" s="5">
        <v>1033</v>
      </c>
      <c r="E312" s="5"/>
      <c r="G312" s="5">
        <v>520</v>
      </c>
      <c r="H312" s="5"/>
      <c r="I312" s="5"/>
      <c r="J312" s="5"/>
      <c r="K312" s="5">
        <v>11.83</v>
      </c>
      <c r="L312" s="8">
        <v>4</v>
      </c>
      <c r="M312" s="5">
        <f t="shared" si="2"/>
        <v>47.32</v>
      </c>
    </row>
    <row r="313" spans="1:13">
      <c r="A313" s="7">
        <v>96527573</v>
      </c>
      <c r="B313" s="7" t="s">
        <v>1151</v>
      </c>
      <c r="C313" s="61">
        <v>2215</v>
      </c>
      <c r="D313" s="5">
        <v>1107.5</v>
      </c>
      <c r="E313" s="5"/>
      <c r="G313" s="5">
        <v>520</v>
      </c>
      <c r="H313" s="5"/>
      <c r="I313" s="5"/>
      <c r="J313" s="5"/>
      <c r="K313" s="5">
        <v>11.83</v>
      </c>
      <c r="L313" s="8">
        <v>4</v>
      </c>
      <c r="M313" s="5">
        <f t="shared" si="2"/>
        <v>47.32</v>
      </c>
    </row>
    <row r="314" spans="1:13">
      <c r="A314" s="7">
        <v>96527574</v>
      </c>
      <c r="B314" s="7" t="s">
        <v>1152</v>
      </c>
      <c r="C314" s="61">
        <v>2289</v>
      </c>
      <c r="D314" s="5">
        <v>1144.5</v>
      </c>
      <c r="E314" s="5"/>
      <c r="G314" s="5">
        <v>520</v>
      </c>
      <c r="H314" s="5"/>
      <c r="I314" s="5"/>
      <c r="J314" s="5"/>
      <c r="K314" s="5">
        <v>11.83</v>
      </c>
      <c r="L314" s="8">
        <v>4</v>
      </c>
      <c r="M314" s="5">
        <f t="shared" si="2"/>
        <v>47.32</v>
      </c>
    </row>
    <row r="315" spans="1:13">
      <c r="A315" s="7">
        <v>96527575</v>
      </c>
      <c r="B315" s="7" t="s">
        <v>1153</v>
      </c>
      <c r="C315" s="61">
        <v>2409</v>
      </c>
      <c r="D315" s="5">
        <v>1204.5</v>
      </c>
      <c r="E315" s="5"/>
      <c r="G315" s="5">
        <v>520</v>
      </c>
      <c r="H315" s="5"/>
      <c r="I315" s="5"/>
      <c r="J315" s="5"/>
      <c r="K315" s="5">
        <v>11.83</v>
      </c>
      <c r="L315" s="8">
        <v>4</v>
      </c>
      <c r="M315" s="5">
        <f t="shared" si="2"/>
        <v>47.32</v>
      </c>
    </row>
    <row r="316" spans="1:13">
      <c r="A316" s="7">
        <v>96527576</v>
      </c>
      <c r="B316" s="7" t="s">
        <v>1154</v>
      </c>
      <c r="C316" s="61">
        <v>2609</v>
      </c>
      <c r="D316" s="5">
        <v>1304.5</v>
      </c>
      <c r="E316" s="5"/>
      <c r="G316" s="5">
        <v>520</v>
      </c>
      <c r="H316" s="5"/>
      <c r="I316" s="5"/>
      <c r="J316" s="5"/>
      <c r="K316" s="5">
        <v>11.83</v>
      </c>
      <c r="L316" s="8">
        <v>4</v>
      </c>
      <c r="M316" s="5">
        <f t="shared" si="2"/>
        <v>47.32</v>
      </c>
    </row>
    <row r="317" spans="1:13">
      <c r="A317" s="7">
        <v>96527578</v>
      </c>
      <c r="B317" s="7" t="s">
        <v>1155</v>
      </c>
      <c r="C317" s="61">
        <v>2730</v>
      </c>
      <c r="D317" s="5">
        <v>1365</v>
      </c>
      <c r="E317" s="5"/>
      <c r="G317" s="5">
        <v>520</v>
      </c>
      <c r="H317" s="5"/>
      <c r="I317" s="5"/>
      <c r="J317" s="5"/>
      <c r="K317" s="5">
        <v>11.83</v>
      </c>
      <c r="L317" s="8">
        <v>4</v>
      </c>
      <c r="M317" s="5">
        <f t="shared" si="2"/>
        <v>47.32</v>
      </c>
    </row>
    <row r="318" spans="1:13">
      <c r="A318" s="7">
        <v>96527579</v>
      </c>
      <c r="B318" s="7" t="s">
        <v>1156</v>
      </c>
      <c r="C318" s="61">
        <v>2852</v>
      </c>
      <c r="D318" s="5">
        <v>1426</v>
      </c>
      <c r="E318" s="5"/>
      <c r="G318" s="5">
        <v>520</v>
      </c>
      <c r="H318" s="5"/>
      <c r="I318" s="5"/>
      <c r="J318" s="5"/>
      <c r="K318" s="5">
        <v>11.83</v>
      </c>
      <c r="L318" s="8">
        <v>4</v>
      </c>
      <c r="M318" s="5">
        <f t="shared" si="2"/>
        <v>47.32</v>
      </c>
    </row>
    <row r="319" spans="1:13">
      <c r="A319" s="7">
        <v>96527590</v>
      </c>
      <c r="B319" s="7" t="s">
        <v>1157</v>
      </c>
      <c r="C319" s="61">
        <v>3046</v>
      </c>
      <c r="D319" s="5">
        <v>1523</v>
      </c>
      <c r="E319" s="5"/>
      <c r="G319" s="5">
        <v>520</v>
      </c>
      <c r="H319" s="5"/>
      <c r="I319" s="5"/>
      <c r="J319" s="5"/>
      <c r="K319" s="5">
        <v>11.83</v>
      </c>
      <c r="L319" s="8">
        <v>4</v>
      </c>
      <c r="M319" s="5">
        <f t="shared" si="2"/>
        <v>47.32</v>
      </c>
    </row>
    <row r="320" spans="1:13">
      <c r="A320" s="7">
        <v>96527591</v>
      </c>
      <c r="B320" s="7" t="s">
        <v>1158</v>
      </c>
      <c r="C320" s="61">
        <v>3315</v>
      </c>
      <c r="D320" s="5">
        <v>1657.5</v>
      </c>
      <c r="E320" s="5"/>
      <c r="G320" s="5">
        <v>520</v>
      </c>
      <c r="H320" s="5"/>
      <c r="I320" s="5"/>
      <c r="J320" s="5"/>
      <c r="K320" s="5">
        <v>11.83</v>
      </c>
      <c r="L320" s="8">
        <v>4</v>
      </c>
      <c r="M320" s="5">
        <f t="shared" si="2"/>
        <v>47.32</v>
      </c>
    </row>
    <row r="321" spans="1:13">
      <c r="A321" s="7">
        <v>96527594</v>
      </c>
      <c r="B321" s="7" t="s">
        <v>1159</v>
      </c>
      <c r="C321" s="61">
        <v>3493</v>
      </c>
      <c r="D321" s="5">
        <v>1746.5</v>
      </c>
      <c r="E321" s="5"/>
      <c r="G321" s="5">
        <v>520</v>
      </c>
      <c r="H321" s="5"/>
      <c r="I321" s="5"/>
      <c r="J321" s="5"/>
      <c r="K321" s="5">
        <v>11.83</v>
      </c>
      <c r="L321" s="8">
        <v>4</v>
      </c>
      <c r="M321" s="5">
        <f t="shared" si="2"/>
        <v>47.32</v>
      </c>
    </row>
    <row r="322" spans="1:13">
      <c r="A322" s="7">
        <v>96527595</v>
      </c>
      <c r="B322" s="7" t="s">
        <v>1160</v>
      </c>
      <c r="C322" s="61">
        <v>3672</v>
      </c>
      <c r="D322" s="5">
        <v>1836</v>
      </c>
      <c r="E322" s="5"/>
      <c r="G322" s="5">
        <v>520</v>
      </c>
      <c r="H322" s="5"/>
      <c r="I322" s="5"/>
      <c r="J322" s="5"/>
      <c r="K322" s="5">
        <v>11.83</v>
      </c>
      <c r="L322" s="8">
        <v>4</v>
      </c>
      <c r="M322" s="5">
        <f t="shared" si="2"/>
        <v>47.32</v>
      </c>
    </row>
    <row r="323" spans="1:13">
      <c r="A323" s="7">
        <v>96527683</v>
      </c>
      <c r="B323" s="7" t="s">
        <v>1162</v>
      </c>
      <c r="C323" s="61">
        <v>1565</v>
      </c>
      <c r="D323" s="5">
        <v>782.5</v>
      </c>
      <c r="E323" s="5"/>
      <c r="G323" s="5">
        <v>520</v>
      </c>
      <c r="H323" s="5"/>
      <c r="I323" s="5"/>
      <c r="J323" s="5"/>
      <c r="K323" s="5">
        <v>11.83</v>
      </c>
      <c r="L323" s="8">
        <v>4</v>
      </c>
      <c r="M323" s="5">
        <f t="shared" si="2"/>
        <v>47.32</v>
      </c>
    </row>
    <row r="324" spans="1:13">
      <c r="A324" s="7">
        <v>96527684</v>
      </c>
      <c r="B324" s="7" t="s">
        <v>1163</v>
      </c>
      <c r="C324" s="61">
        <v>1613</v>
      </c>
      <c r="D324" s="5">
        <v>806.5</v>
      </c>
      <c r="E324" s="5"/>
      <c r="G324" s="5">
        <v>520</v>
      </c>
      <c r="H324" s="5"/>
      <c r="I324" s="5"/>
      <c r="J324" s="5"/>
      <c r="K324" s="5">
        <v>11.83</v>
      </c>
      <c r="L324" s="8">
        <v>4</v>
      </c>
      <c r="M324" s="5">
        <f t="shared" si="2"/>
        <v>47.32</v>
      </c>
    </row>
    <row r="325" spans="1:13">
      <c r="A325" s="7">
        <v>96527685</v>
      </c>
      <c r="B325" s="7" t="s">
        <v>1164</v>
      </c>
      <c r="C325" s="61">
        <v>1668</v>
      </c>
      <c r="D325" s="5">
        <v>834</v>
      </c>
      <c r="E325" s="5"/>
      <c r="G325" s="5">
        <v>520</v>
      </c>
      <c r="H325" s="5"/>
      <c r="I325" s="5"/>
      <c r="J325" s="5"/>
      <c r="K325" s="5">
        <v>11.83</v>
      </c>
      <c r="L325" s="8">
        <v>4</v>
      </c>
      <c r="M325" s="5">
        <f t="shared" si="2"/>
        <v>47.32</v>
      </c>
    </row>
    <row r="326" spans="1:13">
      <c r="A326" s="7">
        <v>96527690</v>
      </c>
      <c r="B326" s="7" t="s">
        <v>1166</v>
      </c>
      <c r="C326" s="61">
        <v>1762</v>
      </c>
      <c r="D326" s="5">
        <v>881</v>
      </c>
      <c r="E326" s="5"/>
      <c r="G326" s="5">
        <v>520</v>
      </c>
      <c r="H326" s="5"/>
      <c r="I326" s="5"/>
      <c r="J326" s="5"/>
      <c r="K326" s="5">
        <v>11.83</v>
      </c>
      <c r="L326" s="8">
        <v>4</v>
      </c>
      <c r="M326" s="5">
        <f t="shared" si="2"/>
        <v>47.32</v>
      </c>
    </row>
    <row r="327" spans="1:13">
      <c r="A327" s="7">
        <v>96527691</v>
      </c>
      <c r="B327" s="7" t="s">
        <v>1167</v>
      </c>
      <c r="C327" s="61">
        <v>1768</v>
      </c>
      <c r="D327" s="5">
        <v>884</v>
      </c>
      <c r="E327" s="5"/>
      <c r="G327" s="5">
        <v>520</v>
      </c>
      <c r="H327" s="5"/>
      <c r="I327" s="5"/>
      <c r="J327" s="5"/>
      <c r="K327" s="5">
        <v>11.83</v>
      </c>
      <c r="L327" s="8">
        <v>4</v>
      </c>
      <c r="M327" s="5">
        <f t="shared" si="2"/>
        <v>47.32</v>
      </c>
    </row>
    <row r="328" spans="1:13">
      <c r="A328" s="7">
        <v>96527692</v>
      </c>
      <c r="B328" s="7" t="s">
        <v>1168</v>
      </c>
      <c r="C328" s="61">
        <v>1827</v>
      </c>
      <c r="D328" s="5">
        <v>913.5</v>
      </c>
      <c r="E328" s="5"/>
      <c r="G328" s="5">
        <v>520</v>
      </c>
      <c r="H328" s="5"/>
      <c r="I328" s="5"/>
      <c r="J328" s="5"/>
      <c r="K328" s="5">
        <v>11.83</v>
      </c>
      <c r="L328" s="8">
        <v>4</v>
      </c>
      <c r="M328" s="5">
        <f t="shared" si="2"/>
        <v>47.32</v>
      </c>
    </row>
    <row r="329" spans="1:13">
      <c r="A329" s="7">
        <v>96527701</v>
      </c>
      <c r="B329" s="7" t="s">
        <v>1170</v>
      </c>
      <c r="C329" s="61">
        <v>1974</v>
      </c>
      <c r="D329" s="5">
        <v>987</v>
      </c>
      <c r="E329" s="5"/>
      <c r="G329" s="5">
        <v>520</v>
      </c>
      <c r="H329" s="5"/>
      <c r="I329" s="5"/>
      <c r="J329" s="5"/>
      <c r="K329" s="5">
        <v>11.83</v>
      </c>
      <c r="L329" s="8">
        <v>4</v>
      </c>
      <c r="M329" s="5">
        <f t="shared" si="2"/>
        <v>47.32</v>
      </c>
    </row>
    <row r="330" spans="1:13">
      <c r="A330" s="7">
        <v>96527704</v>
      </c>
      <c r="B330" s="7" t="s">
        <v>1171</v>
      </c>
      <c r="C330" s="61">
        <v>2053</v>
      </c>
      <c r="D330" s="5">
        <v>1026.5</v>
      </c>
      <c r="E330" s="5"/>
      <c r="G330" s="5">
        <v>520</v>
      </c>
      <c r="H330" s="5"/>
      <c r="I330" s="5"/>
      <c r="J330" s="5"/>
      <c r="K330" s="5">
        <v>11.83</v>
      </c>
      <c r="L330" s="8">
        <v>4</v>
      </c>
      <c r="M330" s="5">
        <f t="shared" si="2"/>
        <v>47.32</v>
      </c>
    </row>
    <row r="331" spans="1:13">
      <c r="A331" s="7">
        <v>96527705</v>
      </c>
      <c r="B331" s="7" t="s">
        <v>1172</v>
      </c>
      <c r="C331" s="61">
        <v>2132</v>
      </c>
      <c r="D331" s="5">
        <v>1066</v>
      </c>
      <c r="E331" s="5"/>
      <c r="G331" s="5">
        <v>520</v>
      </c>
      <c r="H331" s="5"/>
      <c r="I331" s="5"/>
      <c r="J331" s="5"/>
      <c r="K331" s="5">
        <v>11.83</v>
      </c>
      <c r="L331" s="8">
        <v>4</v>
      </c>
      <c r="M331" s="5">
        <f t="shared" si="2"/>
        <v>47.32</v>
      </c>
    </row>
    <row r="332" spans="1:13">
      <c r="A332" s="7">
        <v>96527706</v>
      </c>
      <c r="B332" s="7" t="s">
        <v>1173</v>
      </c>
      <c r="C332" s="61">
        <v>2294</v>
      </c>
      <c r="D332" s="5">
        <v>1147</v>
      </c>
      <c r="E332" s="5"/>
      <c r="G332" s="5">
        <v>520</v>
      </c>
      <c r="H332" s="5"/>
      <c r="I332" s="5"/>
      <c r="J332" s="5"/>
      <c r="K332" s="5">
        <v>11.83</v>
      </c>
      <c r="L332" s="8">
        <v>4</v>
      </c>
      <c r="M332" s="5">
        <f t="shared" si="2"/>
        <v>47.32</v>
      </c>
    </row>
    <row r="333" spans="1:13">
      <c r="A333" s="7">
        <v>96527707</v>
      </c>
      <c r="B333" s="7" t="s">
        <v>1179</v>
      </c>
      <c r="C333" s="61">
        <v>2429</v>
      </c>
      <c r="D333" s="5">
        <v>1214.5</v>
      </c>
      <c r="E333" s="5"/>
      <c r="G333" s="5">
        <v>520</v>
      </c>
      <c r="H333" s="5"/>
      <c r="I333" s="5"/>
      <c r="J333" s="5"/>
      <c r="K333" s="5">
        <v>11.83</v>
      </c>
      <c r="L333" s="8">
        <v>4</v>
      </c>
      <c r="M333" s="5">
        <f t="shared" si="2"/>
        <v>47.32</v>
      </c>
    </row>
    <row r="334" spans="1:13">
      <c r="A334" s="7">
        <v>96527708</v>
      </c>
      <c r="B334" s="7" t="s">
        <v>1180</v>
      </c>
      <c r="C334" s="61">
        <v>2581</v>
      </c>
      <c r="D334" s="5">
        <v>1290.5</v>
      </c>
      <c r="E334" s="5"/>
      <c r="G334" s="5">
        <v>520</v>
      </c>
      <c r="H334" s="5"/>
      <c r="I334" s="5"/>
      <c r="J334" s="5"/>
      <c r="K334" s="5">
        <v>11.83</v>
      </c>
      <c r="L334" s="8">
        <v>4</v>
      </c>
      <c r="M334" s="5">
        <f t="shared" si="2"/>
        <v>47.32</v>
      </c>
    </row>
    <row r="335" spans="1:13">
      <c r="A335" s="7">
        <v>96527709</v>
      </c>
      <c r="B335" s="7" t="s">
        <v>1181</v>
      </c>
      <c r="C335" s="61">
        <v>2728</v>
      </c>
      <c r="D335" s="5">
        <v>1364</v>
      </c>
      <c r="E335" s="5"/>
      <c r="G335" s="5">
        <v>520</v>
      </c>
      <c r="H335" s="5"/>
      <c r="I335" s="5"/>
      <c r="J335" s="5"/>
      <c r="K335" s="5">
        <v>11.83</v>
      </c>
      <c r="L335" s="8">
        <v>4</v>
      </c>
      <c r="M335" s="5">
        <f t="shared" si="2"/>
        <v>47.32</v>
      </c>
    </row>
    <row r="336" spans="1:13">
      <c r="A336" s="7">
        <v>96527710</v>
      </c>
      <c r="B336" s="7" t="s">
        <v>1182</v>
      </c>
      <c r="C336" s="61">
        <v>2848</v>
      </c>
      <c r="D336" s="5">
        <v>1424</v>
      </c>
      <c r="E336" s="5"/>
      <c r="G336" s="5">
        <v>520</v>
      </c>
      <c r="H336" s="5"/>
      <c r="I336" s="5"/>
      <c r="J336" s="5"/>
      <c r="K336" s="5">
        <v>11.83</v>
      </c>
      <c r="L336" s="8">
        <v>4</v>
      </c>
      <c r="M336" s="5">
        <f t="shared" si="2"/>
        <v>47.32</v>
      </c>
    </row>
    <row r="337" spans="1:13">
      <c r="A337" s="7">
        <v>96527711</v>
      </c>
      <c r="B337" s="7" t="s">
        <v>1174</v>
      </c>
      <c r="C337" s="61">
        <v>3246</v>
      </c>
      <c r="D337" s="5">
        <v>1623</v>
      </c>
      <c r="E337" s="5"/>
      <c r="G337" s="5">
        <v>520</v>
      </c>
      <c r="H337" s="5"/>
      <c r="I337" s="5"/>
      <c r="J337" s="5"/>
      <c r="K337" s="5">
        <v>11.83</v>
      </c>
      <c r="L337" s="8">
        <v>4</v>
      </c>
      <c r="M337" s="5">
        <f t="shared" si="2"/>
        <v>47.32</v>
      </c>
    </row>
    <row r="338" spans="1:13">
      <c r="A338" s="7">
        <v>96527712</v>
      </c>
      <c r="B338" s="7" t="s">
        <v>1175</v>
      </c>
      <c r="C338" s="61">
        <v>3450</v>
      </c>
      <c r="D338" s="5">
        <v>1725</v>
      </c>
      <c r="E338" s="5"/>
      <c r="G338" s="5">
        <v>520</v>
      </c>
      <c r="H338" s="5"/>
      <c r="I338" s="5"/>
      <c r="J338" s="5"/>
      <c r="K338" s="5">
        <v>11.83</v>
      </c>
      <c r="L338" s="8">
        <v>4</v>
      </c>
      <c r="M338" s="5">
        <f t="shared" si="2"/>
        <v>47.32</v>
      </c>
    </row>
    <row r="339" spans="1:13">
      <c r="A339" s="7">
        <v>96527713</v>
      </c>
      <c r="B339" s="7" t="s">
        <v>1176</v>
      </c>
      <c r="C339" s="61">
        <v>3690</v>
      </c>
      <c r="D339" s="5">
        <v>1845</v>
      </c>
      <c r="E339" s="5"/>
      <c r="G339" s="5">
        <v>520</v>
      </c>
      <c r="H339" s="5"/>
      <c r="I339" s="5"/>
      <c r="J339" s="5"/>
      <c r="K339" s="5">
        <v>11.83</v>
      </c>
      <c r="L339" s="8">
        <v>4</v>
      </c>
      <c r="M339" s="5">
        <f t="shared" si="2"/>
        <v>47.32</v>
      </c>
    </row>
    <row r="340" spans="1:13">
      <c r="A340" s="7">
        <v>96527714</v>
      </c>
      <c r="B340" s="7" t="s">
        <v>1177</v>
      </c>
      <c r="C340" s="61">
        <v>4134</v>
      </c>
      <c r="D340" s="5">
        <v>2067</v>
      </c>
      <c r="E340" s="5"/>
      <c r="G340" s="5">
        <v>520</v>
      </c>
      <c r="H340" s="5"/>
      <c r="I340" s="5"/>
      <c r="J340" s="5"/>
      <c r="K340" s="5">
        <v>11.83</v>
      </c>
      <c r="L340" s="8">
        <v>4</v>
      </c>
      <c r="M340" s="5">
        <f t="shared" si="2"/>
        <v>47.32</v>
      </c>
    </row>
    <row r="341" spans="1:13">
      <c r="A341" s="7">
        <v>96527715</v>
      </c>
      <c r="B341" s="7" t="s">
        <v>1178</v>
      </c>
      <c r="C341" s="61">
        <v>4352</v>
      </c>
      <c r="D341" s="5">
        <v>2176</v>
      </c>
      <c r="E341" s="5"/>
      <c r="G341" s="5">
        <v>520</v>
      </c>
      <c r="H341" s="5"/>
      <c r="I341" s="5"/>
      <c r="J341" s="5"/>
      <c r="K341" s="5">
        <v>11.83</v>
      </c>
      <c r="L341" s="8">
        <v>4</v>
      </c>
      <c r="M341" s="5">
        <f t="shared" si="2"/>
        <v>47.32</v>
      </c>
    </row>
    <row r="342" spans="1:13">
      <c r="A342" s="7">
        <v>96527716</v>
      </c>
      <c r="B342" s="7" t="s">
        <v>1161</v>
      </c>
      <c r="C342" s="61">
        <v>1524</v>
      </c>
      <c r="D342" s="5">
        <v>762</v>
      </c>
      <c r="E342" s="5"/>
      <c r="G342" s="5">
        <v>520</v>
      </c>
      <c r="H342" s="5"/>
      <c r="I342" s="5"/>
      <c r="J342" s="5"/>
      <c r="K342" s="5">
        <v>11.83</v>
      </c>
      <c r="L342" s="8">
        <v>4</v>
      </c>
      <c r="M342" s="5">
        <f t="shared" si="2"/>
        <v>47.32</v>
      </c>
    </row>
    <row r="343" spans="1:13">
      <c r="A343" s="7">
        <v>96527888</v>
      </c>
      <c r="B343" s="7" t="s">
        <v>1183</v>
      </c>
      <c r="C343" s="61">
        <v>1487</v>
      </c>
      <c r="D343" s="5">
        <v>743.5</v>
      </c>
      <c r="E343" s="5"/>
      <c r="G343" s="5">
        <v>520</v>
      </c>
      <c r="H343" s="5"/>
      <c r="I343" s="5"/>
      <c r="J343" s="5"/>
      <c r="K343" s="5">
        <v>11.83</v>
      </c>
      <c r="L343" s="8">
        <v>4</v>
      </c>
      <c r="M343" s="5">
        <f t="shared" si="2"/>
        <v>47.32</v>
      </c>
    </row>
    <row r="344" spans="1:13">
      <c r="A344" s="7">
        <v>96527889</v>
      </c>
      <c r="B344" s="7" t="s">
        <v>1184</v>
      </c>
      <c r="C344" s="61">
        <v>1556</v>
      </c>
      <c r="D344" s="5">
        <v>778</v>
      </c>
      <c r="E344" s="5"/>
      <c r="G344" s="5">
        <v>520</v>
      </c>
      <c r="H344" s="5"/>
      <c r="I344" s="5"/>
      <c r="J344" s="5"/>
      <c r="K344" s="5">
        <v>11.83</v>
      </c>
      <c r="L344" s="8">
        <v>4</v>
      </c>
      <c r="M344" s="5">
        <f t="shared" si="2"/>
        <v>47.32</v>
      </c>
    </row>
    <row r="345" spans="1:13">
      <c r="A345" s="7">
        <v>96527890</v>
      </c>
      <c r="B345" s="7" t="s">
        <v>1185</v>
      </c>
      <c r="C345" s="61">
        <v>1629</v>
      </c>
      <c r="D345" s="5">
        <v>814.5</v>
      </c>
      <c r="E345" s="5"/>
      <c r="G345" s="5">
        <v>520</v>
      </c>
      <c r="H345" s="5"/>
      <c r="I345" s="5"/>
      <c r="J345" s="5"/>
      <c r="K345" s="5">
        <v>11.83</v>
      </c>
      <c r="L345" s="8">
        <v>4</v>
      </c>
      <c r="M345" s="5">
        <f t="shared" si="2"/>
        <v>47.32</v>
      </c>
    </row>
    <row r="346" spans="1:13">
      <c r="A346" s="7">
        <v>96527891</v>
      </c>
      <c r="B346" s="7" t="s">
        <v>1186</v>
      </c>
      <c r="C346" s="61">
        <v>1698</v>
      </c>
      <c r="D346" s="5">
        <v>849</v>
      </c>
      <c r="E346" s="5"/>
      <c r="G346" s="5">
        <v>520</v>
      </c>
      <c r="H346" s="5"/>
      <c r="I346" s="5"/>
      <c r="J346" s="5"/>
      <c r="K346" s="5">
        <v>11.83</v>
      </c>
      <c r="L346" s="8">
        <v>4</v>
      </c>
      <c r="M346" s="5">
        <f t="shared" si="2"/>
        <v>47.32</v>
      </c>
    </row>
    <row r="347" spans="1:13">
      <c r="A347" s="7">
        <v>96527892</v>
      </c>
      <c r="B347" s="7" t="s">
        <v>1187</v>
      </c>
      <c r="C347" s="61">
        <v>1720</v>
      </c>
      <c r="D347" s="5">
        <v>860</v>
      </c>
      <c r="E347" s="5"/>
      <c r="G347" s="5">
        <v>520</v>
      </c>
      <c r="H347" s="5"/>
      <c r="I347" s="5"/>
      <c r="J347" s="5"/>
      <c r="K347" s="5">
        <v>11.83</v>
      </c>
      <c r="L347" s="8">
        <v>4</v>
      </c>
      <c r="M347" s="5">
        <f t="shared" si="2"/>
        <v>47.32</v>
      </c>
    </row>
    <row r="348" spans="1:13">
      <c r="A348" s="7">
        <v>96527893</v>
      </c>
      <c r="B348" s="7" t="s">
        <v>1188</v>
      </c>
      <c r="C348" s="61">
        <v>1804</v>
      </c>
      <c r="D348" s="5">
        <v>902</v>
      </c>
      <c r="E348" s="5"/>
      <c r="G348" s="5">
        <v>520</v>
      </c>
      <c r="H348" s="5"/>
      <c r="I348" s="5"/>
      <c r="J348" s="5"/>
      <c r="K348" s="5">
        <v>11.83</v>
      </c>
      <c r="L348" s="8">
        <v>4</v>
      </c>
      <c r="M348" s="5">
        <f t="shared" si="2"/>
        <v>47.32</v>
      </c>
    </row>
    <row r="349" spans="1:13">
      <c r="A349" s="7">
        <v>96527894</v>
      </c>
      <c r="B349" s="7" t="s">
        <v>1189</v>
      </c>
      <c r="C349" s="61">
        <v>1892</v>
      </c>
      <c r="D349" s="5">
        <v>946</v>
      </c>
      <c r="E349" s="5"/>
      <c r="G349" s="5">
        <v>520</v>
      </c>
      <c r="H349" s="5"/>
      <c r="I349" s="5"/>
      <c r="J349" s="5"/>
      <c r="K349" s="5">
        <v>11.83</v>
      </c>
      <c r="L349" s="8">
        <v>4</v>
      </c>
      <c r="M349" s="5">
        <f t="shared" si="2"/>
        <v>47.32</v>
      </c>
    </row>
    <row r="350" spans="1:13">
      <c r="A350" s="7">
        <v>96527896</v>
      </c>
      <c r="B350" s="7" t="s">
        <v>1191</v>
      </c>
      <c r="C350" s="61">
        <v>2052</v>
      </c>
      <c r="D350" s="5">
        <v>1026</v>
      </c>
      <c r="E350" s="5"/>
      <c r="G350" s="5">
        <v>520</v>
      </c>
      <c r="H350" s="5"/>
      <c r="I350" s="5"/>
      <c r="J350" s="5"/>
      <c r="K350" s="5">
        <v>11.83</v>
      </c>
      <c r="L350" s="8">
        <v>4</v>
      </c>
      <c r="M350" s="5">
        <f t="shared" si="2"/>
        <v>47.32</v>
      </c>
    </row>
    <row r="351" spans="1:13">
      <c r="A351" s="7">
        <v>96527897</v>
      </c>
      <c r="B351" s="7" t="s">
        <v>1192</v>
      </c>
      <c r="C351" s="61">
        <v>2172</v>
      </c>
      <c r="D351" s="5">
        <v>1086</v>
      </c>
      <c r="E351" s="5"/>
      <c r="G351" s="5">
        <v>520</v>
      </c>
      <c r="H351" s="5"/>
      <c r="I351" s="5"/>
      <c r="J351" s="5"/>
      <c r="K351" s="5">
        <v>11.83</v>
      </c>
      <c r="L351" s="8">
        <v>4</v>
      </c>
      <c r="M351" s="5">
        <f t="shared" si="2"/>
        <v>47.32</v>
      </c>
    </row>
    <row r="352" spans="1:13">
      <c r="A352" s="7">
        <v>96527898</v>
      </c>
      <c r="B352" s="7" t="s">
        <v>1193</v>
      </c>
      <c r="C352" s="61">
        <v>2262</v>
      </c>
      <c r="D352" s="5">
        <v>1131</v>
      </c>
      <c r="E352" s="5"/>
      <c r="G352" s="5">
        <v>520</v>
      </c>
      <c r="H352" s="5"/>
      <c r="I352" s="5"/>
      <c r="J352" s="5"/>
      <c r="K352" s="5">
        <v>11.83</v>
      </c>
      <c r="L352" s="8">
        <v>4</v>
      </c>
      <c r="M352" s="5">
        <f t="shared" si="2"/>
        <v>47.32</v>
      </c>
    </row>
    <row r="353" spans="1:13">
      <c r="A353" s="7">
        <v>96527899</v>
      </c>
      <c r="B353" s="7" t="s">
        <v>1190</v>
      </c>
      <c r="C353" s="61">
        <v>1971</v>
      </c>
      <c r="D353" s="5">
        <v>985.5</v>
      </c>
      <c r="E353" s="5"/>
      <c r="G353" s="5">
        <v>520</v>
      </c>
      <c r="H353" s="5"/>
      <c r="I353" s="5"/>
      <c r="J353" s="5"/>
      <c r="K353" s="5">
        <v>11.83</v>
      </c>
      <c r="L353" s="8">
        <v>4</v>
      </c>
      <c r="M353" s="5">
        <f t="shared" si="2"/>
        <v>47.32</v>
      </c>
    </row>
    <row r="354" spans="1:13">
      <c r="A354" s="7">
        <v>96527900</v>
      </c>
      <c r="B354" s="7" t="s">
        <v>1194</v>
      </c>
      <c r="C354" s="61">
        <v>2350</v>
      </c>
      <c r="D354" s="5">
        <v>1175</v>
      </c>
      <c r="E354" s="5"/>
      <c r="G354" s="5">
        <v>520</v>
      </c>
      <c r="H354" s="5"/>
      <c r="I354" s="5"/>
      <c r="J354" s="5"/>
      <c r="K354" s="5">
        <v>11.83</v>
      </c>
      <c r="L354" s="8">
        <v>4</v>
      </c>
      <c r="M354" s="5">
        <f t="shared" si="2"/>
        <v>47.32</v>
      </c>
    </row>
    <row r="355" spans="1:13">
      <c r="A355" s="7">
        <v>96527901</v>
      </c>
      <c r="B355" s="7" t="s">
        <v>1195</v>
      </c>
      <c r="C355" s="61">
        <v>2531</v>
      </c>
      <c r="D355" s="5">
        <v>1265.5</v>
      </c>
      <c r="E355" s="5"/>
      <c r="G355" s="5">
        <v>520</v>
      </c>
      <c r="H355" s="5"/>
      <c r="I355" s="5"/>
      <c r="J355" s="5"/>
      <c r="K355" s="5">
        <v>11.83</v>
      </c>
      <c r="L355" s="8">
        <v>4</v>
      </c>
      <c r="M355" s="5">
        <f t="shared" si="2"/>
        <v>47.32</v>
      </c>
    </row>
    <row r="356" spans="1:13">
      <c r="A356" s="7">
        <v>96527902</v>
      </c>
      <c r="B356" s="7" t="s">
        <v>1196</v>
      </c>
      <c r="C356" s="61">
        <v>2866</v>
      </c>
      <c r="D356" s="5">
        <v>1433</v>
      </c>
      <c r="E356" s="5"/>
      <c r="G356" s="5">
        <v>520</v>
      </c>
      <c r="H356" s="5"/>
      <c r="I356" s="5"/>
      <c r="J356" s="5"/>
      <c r="K356" s="5">
        <v>11.83</v>
      </c>
      <c r="L356" s="8">
        <v>4</v>
      </c>
      <c r="M356" s="5">
        <f t="shared" si="2"/>
        <v>47.32</v>
      </c>
    </row>
    <row r="357" spans="1:13">
      <c r="A357" s="7">
        <v>96527903</v>
      </c>
      <c r="B357" s="7" t="s">
        <v>1197</v>
      </c>
      <c r="C357" s="61">
        <v>3042</v>
      </c>
      <c r="D357" s="5">
        <v>1521</v>
      </c>
      <c r="E357" s="5"/>
      <c r="G357" s="5">
        <v>520</v>
      </c>
      <c r="H357" s="5"/>
      <c r="I357" s="5"/>
      <c r="J357" s="5"/>
      <c r="K357" s="5">
        <v>11.83</v>
      </c>
      <c r="L357" s="8">
        <v>4</v>
      </c>
      <c r="M357" s="5">
        <f t="shared" si="2"/>
        <v>47.32</v>
      </c>
    </row>
    <row r="358" spans="1:13">
      <c r="A358" s="7">
        <v>96527904</v>
      </c>
      <c r="B358" s="7" t="s">
        <v>1198</v>
      </c>
      <c r="C358" s="61">
        <v>3156</v>
      </c>
      <c r="D358" s="5">
        <v>1578</v>
      </c>
      <c r="E358" s="5"/>
      <c r="G358" s="5">
        <v>520</v>
      </c>
      <c r="H358" s="5"/>
      <c r="I358" s="5"/>
      <c r="J358" s="5"/>
      <c r="K358" s="5">
        <v>11.83</v>
      </c>
      <c r="L358" s="8">
        <v>4</v>
      </c>
      <c r="M358" s="5">
        <f t="shared" si="2"/>
        <v>47.32</v>
      </c>
    </row>
    <row r="359" spans="1:13">
      <c r="A359" s="7">
        <v>96527905</v>
      </c>
      <c r="B359" s="7" t="s">
        <v>1199</v>
      </c>
      <c r="C359" s="61">
        <v>3336</v>
      </c>
      <c r="D359" s="5">
        <v>1668</v>
      </c>
      <c r="E359" s="5"/>
      <c r="G359" s="5">
        <v>520</v>
      </c>
      <c r="H359" s="5"/>
      <c r="I359" s="5"/>
      <c r="J359" s="5"/>
      <c r="K359" s="5">
        <v>11.83</v>
      </c>
      <c r="L359" s="8">
        <v>4</v>
      </c>
      <c r="M359" s="5">
        <f t="shared" si="2"/>
        <v>47.32</v>
      </c>
    </row>
    <row r="360" spans="1:13">
      <c r="A360" s="7">
        <v>96527906</v>
      </c>
      <c r="B360" s="7" t="s">
        <v>1200</v>
      </c>
      <c r="C360" s="61">
        <v>3515</v>
      </c>
      <c r="D360" s="5">
        <v>1757.5</v>
      </c>
      <c r="E360" s="5"/>
      <c r="G360" s="5">
        <v>520</v>
      </c>
      <c r="H360" s="5"/>
      <c r="I360" s="5"/>
      <c r="J360" s="5"/>
      <c r="K360" s="5">
        <v>11.83</v>
      </c>
      <c r="L360" s="8">
        <v>4</v>
      </c>
      <c r="M360" s="5">
        <f t="shared" si="2"/>
        <v>47.32</v>
      </c>
    </row>
    <row r="361" spans="1:13">
      <c r="A361" s="7">
        <v>96527907</v>
      </c>
      <c r="B361" s="7" t="s">
        <v>1201</v>
      </c>
      <c r="C361" s="61">
        <v>3694</v>
      </c>
      <c r="D361" s="5">
        <v>1847</v>
      </c>
      <c r="E361" s="5"/>
      <c r="G361" s="5">
        <v>520</v>
      </c>
      <c r="H361" s="5"/>
      <c r="I361" s="5"/>
      <c r="J361" s="5"/>
      <c r="K361" s="5">
        <v>11.83</v>
      </c>
      <c r="L361" s="8">
        <v>4</v>
      </c>
      <c r="M361" s="5">
        <f t="shared" si="2"/>
        <v>47.32</v>
      </c>
    </row>
    <row r="362" spans="1:13">
      <c r="A362" s="7">
        <v>96527908</v>
      </c>
      <c r="B362" s="7" t="s">
        <v>1202</v>
      </c>
      <c r="C362" s="61">
        <v>3873</v>
      </c>
      <c r="D362" s="5">
        <v>1936.5</v>
      </c>
      <c r="E362" s="5"/>
      <c r="G362" s="5">
        <v>520</v>
      </c>
      <c r="H362" s="5"/>
      <c r="I362" s="5"/>
      <c r="J362" s="5"/>
      <c r="K362" s="5">
        <v>11.83</v>
      </c>
      <c r="L362" s="8">
        <v>4</v>
      </c>
      <c r="M362" s="5">
        <f t="shared" si="2"/>
        <v>47.32</v>
      </c>
    </row>
    <row r="363" spans="1:13">
      <c r="A363" s="7">
        <v>96527912</v>
      </c>
      <c r="B363" s="7" t="s">
        <v>1259</v>
      </c>
      <c r="C363" s="61">
        <v>3956</v>
      </c>
      <c r="D363" s="5">
        <v>1978</v>
      </c>
      <c r="E363" s="5"/>
      <c r="G363" s="5">
        <v>520</v>
      </c>
      <c r="H363" s="5"/>
      <c r="I363" s="5"/>
      <c r="J363" s="5"/>
      <c r="K363" s="5">
        <v>11.83</v>
      </c>
      <c r="L363" s="8">
        <v>4</v>
      </c>
      <c r="M363" s="5">
        <f t="shared" si="2"/>
        <v>47.32</v>
      </c>
    </row>
    <row r="364" spans="1:13">
      <c r="A364" s="7">
        <v>96527913</v>
      </c>
      <c r="B364" s="7" t="s">
        <v>1260</v>
      </c>
      <c r="C364" s="61">
        <v>4176</v>
      </c>
      <c r="D364" s="5">
        <v>2088</v>
      </c>
      <c r="E364" s="5"/>
      <c r="G364" s="5">
        <v>520</v>
      </c>
      <c r="H364" s="5"/>
      <c r="I364" s="5"/>
      <c r="J364" s="5"/>
      <c r="K364" s="5">
        <v>11.83</v>
      </c>
      <c r="L364" s="8">
        <v>4</v>
      </c>
      <c r="M364" s="5">
        <f t="shared" si="2"/>
        <v>47.32</v>
      </c>
    </row>
    <row r="365" spans="1:13">
      <c r="A365" s="7">
        <v>96527914</v>
      </c>
      <c r="B365" s="7" t="s">
        <v>1261</v>
      </c>
      <c r="C365" s="61">
        <v>4394</v>
      </c>
      <c r="D365" s="5">
        <v>2197</v>
      </c>
      <c r="E365" s="5"/>
      <c r="G365" s="5">
        <v>520</v>
      </c>
      <c r="H365" s="5"/>
      <c r="I365" s="5"/>
      <c r="J365" s="5"/>
      <c r="K365" s="5">
        <v>11.83</v>
      </c>
      <c r="L365" s="8">
        <v>4</v>
      </c>
      <c r="M365" s="5">
        <f t="shared" si="2"/>
        <v>47.32</v>
      </c>
    </row>
    <row r="366" spans="1:13">
      <c r="A366" s="7">
        <v>96527998</v>
      </c>
      <c r="B366" s="7" t="s">
        <v>1203</v>
      </c>
      <c r="C366" s="61">
        <v>1682</v>
      </c>
      <c r="D366" s="5">
        <v>841</v>
      </c>
      <c r="E366" s="5"/>
      <c r="G366" s="5">
        <v>520</v>
      </c>
      <c r="H366" s="5"/>
      <c r="I366" s="5"/>
      <c r="J366" s="5"/>
      <c r="K366" s="5">
        <v>11.83</v>
      </c>
      <c r="L366" s="8">
        <v>4</v>
      </c>
      <c r="M366" s="5">
        <f t="shared" si="2"/>
        <v>47.32</v>
      </c>
    </row>
    <row r="367" spans="1:13">
      <c r="A367" s="7">
        <v>96527999</v>
      </c>
      <c r="B367" s="7" t="s">
        <v>1204</v>
      </c>
      <c r="C367" s="61">
        <v>1762</v>
      </c>
      <c r="D367" s="5">
        <v>881</v>
      </c>
      <c r="E367" s="5"/>
      <c r="G367" s="5">
        <v>520</v>
      </c>
      <c r="H367" s="5"/>
      <c r="I367" s="5"/>
      <c r="J367" s="5"/>
      <c r="K367" s="5">
        <v>11.83</v>
      </c>
      <c r="L367" s="8">
        <v>4</v>
      </c>
      <c r="M367" s="5">
        <f t="shared" si="2"/>
        <v>47.32</v>
      </c>
    </row>
    <row r="368" spans="1:13">
      <c r="A368" s="7">
        <v>96528000</v>
      </c>
      <c r="B368" s="7" t="s">
        <v>1205</v>
      </c>
      <c r="C368" s="61">
        <v>1883</v>
      </c>
      <c r="D368" s="5">
        <v>941.5</v>
      </c>
      <c r="E368" s="5"/>
      <c r="G368" s="5">
        <v>520</v>
      </c>
      <c r="H368" s="5"/>
      <c r="I368" s="5"/>
      <c r="J368" s="5"/>
      <c r="K368" s="5">
        <v>11.83</v>
      </c>
      <c r="L368" s="8">
        <v>4</v>
      </c>
      <c r="M368" s="5">
        <f t="shared" si="2"/>
        <v>47.32</v>
      </c>
    </row>
    <row r="369" spans="1:13">
      <c r="A369" s="7">
        <v>96528001</v>
      </c>
      <c r="B369" s="7" t="s">
        <v>1206</v>
      </c>
      <c r="C369" s="61">
        <v>2029</v>
      </c>
      <c r="D369" s="5">
        <v>1014.5</v>
      </c>
      <c r="E369" s="5"/>
      <c r="G369" s="5">
        <v>520</v>
      </c>
      <c r="H369" s="5"/>
      <c r="I369" s="5"/>
      <c r="J369" s="5"/>
      <c r="K369" s="5">
        <v>11.83</v>
      </c>
      <c r="L369" s="8">
        <v>4</v>
      </c>
      <c r="M369" s="5">
        <f t="shared" si="2"/>
        <v>47.32</v>
      </c>
    </row>
    <row r="370" spans="1:13">
      <c r="A370" s="7">
        <v>96528002</v>
      </c>
      <c r="B370" s="7" t="s">
        <v>1207</v>
      </c>
      <c r="C370" s="61">
        <v>2083</v>
      </c>
      <c r="D370" s="5">
        <v>1041.5</v>
      </c>
      <c r="E370" s="5"/>
      <c r="G370" s="5">
        <v>520</v>
      </c>
      <c r="H370" s="5"/>
      <c r="I370" s="5"/>
      <c r="J370" s="5"/>
      <c r="K370" s="5">
        <v>11.83</v>
      </c>
      <c r="L370" s="8">
        <v>4</v>
      </c>
      <c r="M370" s="5">
        <f t="shared" si="2"/>
        <v>47.32</v>
      </c>
    </row>
    <row r="371" spans="1:13">
      <c r="A371" s="7">
        <v>96528003</v>
      </c>
      <c r="B371" s="7" t="s">
        <v>1208</v>
      </c>
      <c r="C371" s="61">
        <v>2156</v>
      </c>
      <c r="D371" s="5">
        <v>1078</v>
      </c>
      <c r="E371" s="5"/>
      <c r="G371" s="5">
        <v>520</v>
      </c>
      <c r="H371" s="5"/>
      <c r="I371" s="5"/>
      <c r="J371" s="5"/>
      <c r="K371" s="5">
        <v>11.83</v>
      </c>
      <c r="L371" s="8">
        <v>4</v>
      </c>
      <c r="M371" s="5">
        <f t="shared" si="2"/>
        <v>47.32</v>
      </c>
    </row>
    <row r="372" spans="1:13">
      <c r="A372" s="7">
        <v>96528004</v>
      </c>
      <c r="B372" s="7" t="s">
        <v>1209</v>
      </c>
      <c r="C372" s="61">
        <v>2230</v>
      </c>
      <c r="D372" s="5">
        <v>1115</v>
      </c>
      <c r="E372" s="5"/>
      <c r="G372" s="5">
        <v>520</v>
      </c>
      <c r="H372" s="5"/>
      <c r="I372" s="5"/>
      <c r="J372" s="5"/>
      <c r="K372" s="5">
        <v>11.83</v>
      </c>
      <c r="L372" s="8">
        <v>4</v>
      </c>
      <c r="M372" s="5">
        <f t="shared" si="2"/>
        <v>47.32</v>
      </c>
    </row>
    <row r="373" spans="1:13">
      <c r="A373" s="7">
        <v>96528005</v>
      </c>
      <c r="B373" s="7" t="s">
        <v>1210</v>
      </c>
      <c r="C373" s="61">
        <v>2513</v>
      </c>
      <c r="D373" s="5">
        <v>1256.5</v>
      </c>
      <c r="E373" s="5"/>
      <c r="G373" s="5">
        <v>520</v>
      </c>
      <c r="H373" s="5"/>
      <c r="I373" s="5"/>
      <c r="J373" s="5"/>
      <c r="K373" s="5">
        <v>11.83</v>
      </c>
      <c r="L373" s="8">
        <v>4</v>
      </c>
      <c r="M373" s="5">
        <f t="shared" si="2"/>
        <v>47.32</v>
      </c>
    </row>
    <row r="374" spans="1:13">
      <c r="A374" s="7">
        <v>96528006</v>
      </c>
      <c r="B374" s="7" t="s">
        <v>1211</v>
      </c>
      <c r="C374" s="61">
        <v>2608</v>
      </c>
      <c r="D374" s="5">
        <v>1304</v>
      </c>
      <c r="E374" s="5"/>
      <c r="G374" s="5">
        <v>520</v>
      </c>
      <c r="H374" s="5"/>
      <c r="I374" s="5"/>
      <c r="J374" s="5"/>
      <c r="K374" s="5">
        <v>11.83</v>
      </c>
      <c r="L374" s="8">
        <v>4</v>
      </c>
      <c r="M374" s="5">
        <f t="shared" si="2"/>
        <v>47.32</v>
      </c>
    </row>
    <row r="375" spans="1:13">
      <c r="A375" s="7">
        <v>96528007</v>
      </c>
      <c r="B375" s="7" t="s">
        <v>1212</v>
      </c>
      <c r="C375" s="61">
        <v>2828</v>
      </c>
      <c r="D375" s="5">
        <v>1414</v>
      </c>
      <c r="E375" s="5"/>
      <c r="G375" s="5">
        <v>520</v>
      </c>
      <c r="H375" s="5"/>
      <c r="I375" s="5"/>
      <c r="J375" s="5"/>
      <c r="K375" s="5">
        <v>11.83</v>
      </c>
      <c r="L375" s="8">
        <v>4</v>
      </c>
      <c r="M375" s="5">
        <f t="shared" si="2"/>
        <v>47.32</v>
      </c>
    </row>
    <row r="376" spans="1:13">
      <c r="A376" s="7">
        <v>96528008</v>
      </c>
      <c r="B376" s="7" t="s">
        <v>1213</v>
      </c>
      <c r="C376" s="61">
        <v>2903</v>
      </c>
      <c r="D376" s="5">
        <v>1451.5</v>
      </c>
      <c r="E376" s="5"/>
      <c r="G376" s="5">
        <v>520</v>
      </c>
      <c r="H376" s="5"/>
      <c r="I376" s="5"/>
      <c r="J376" s="5"/>
      <c r="K376" s="5">
        <v>11.83</v>
      </c>
      <c r="L376" s="8">
        <v>4</v>
      </c>
      <c r="M376" s="5">
        <f t="shared" si="2"/>
        <v>47.32</v>
      </c>
    </row>
    <row r="377" spans="1:13">
      <c r="A377" s="7">
        <v>96528009</v>
      </c>
      <c r="B377" s="7" t="s">
        <v>1214</v>
      </c>
      <c r="C377" s="61">
        <v>2983</v>
      </c>
      <c r="D377" s="5">
        <v>1491.5</v>
      </c>
      <c r="E377" s="5"/>
      <c r="G377" s="5">
        <v>520</v>
      </c>
      <c r="H377" s="5"/>
      <c r="I377" s="5"/>
      <c r="J377" s="5"/>
      <c r="K377" s="5">
        <v>11.83</v>
      </c>
      <c r="L377" s="8">
        <v>4</v>
      </c>
      <c r="M377" s="5">
        <f t="shared" si="2"/>
        <v>47.32</v>
      </c>
    </row>
    <row r="378" spans="1:13">
      <c r="A378" s="7">
        <v>96528010</v>
      </c>
      <c r="B378" s="7" t="s">
        <v>1215</v>
      </c>
      <c r="C378" s="61">
        <v>3056</v>
      </c>
      <c r="D378" s="5">
        <v>1528</v>
      </c>
      <c r="E378" s="5"/>
      <c r="G378" s="5">
        <v>520</v>
      </c>
      <c r="H378" s="5"/>
      <c r="I378" s="5"/>
      <c r="J378" s="5"/>
      <c r="K378" s="5">
        <v>11.83</v>
      </c>
      <c r="L378" s="8">
        <v>4</v>
      </c>
      <c r="M378" s="5">
        <f t="shared" si="2"/>
        <v>47.32</v>
      </c>
    </row>
    <row r="379" spans="1:13">
      <c r="A379" s="7">
        <v>96528011</v>
      </c>
      <c r="B379" s="7" t="s">
        <v>1216</v>
      </c>
      <c r="C379" s="61">
        <v>3130</v>
      </c>
      <c r="D379" s="5">
        <v>1565</v>
      </c>
      <c r="E379" s="5"/>
      <c r="G379" s="5">
        <v>520</v>
      </c>
      <c r="H379" s="5"/>
      <c r="I379" s="5"/>
      <c r="J379" s="5"/>
      <c r="K379" s="5">
        <v>11.83</v>
      </c>
      <c r="L379" s="8">
        <v>4</v>
      </c>
      <c r="M379" s="5">
        <f t="shared" si="2"/>
        <v>47.32</v>
      </c>
    </row>
    <row r="380" spans="1:13">
      <c r="A380" s="7">
        <v>96528012</v>
      </c>
      <c r="B380" s="7" t="s">
        <v>1217</v>
      </c>
      <c r="C380" s="61">
        <v>3201</v>
      </c>
      <c r="D380" s="5">
        <v>1600.5</v>
      </c>
      <c r="E380" s="5"/>
      <c r="G380" s="5">
        <v>520</v>
      </c>
      <c r="H380" s="5"/>
      <c r="I380" s="5"/>
      <c r="J380" s="5"/>
      <c r="K380" s="5">
        <v>11.83</v>
      </c>
      <c r="L380" s="8">
        <v>4</v>
      </c>
      <c r="M380" s="5">
        <f t="shared" si="2"/>
        <v>47.32</v>
      </c>
    </row>
    <row r="381" spans="1:13">
      <c r="A381" s="7">
        <v>96528013</v>
      </c>
      <c r="B381" s="7" t="s">
        <v>1262</v>
      </c>
      <c r="C381" s="61">
        <v>3571</v>
      </c>
      <c r="D381" s="5">
        <v>1785.5</v>
      </c>
      <c r="E381" s="5"/>
      <c r="G381" s="5">
        <v>520</v>
      </c>
      <c r="H381" s="5"/>
      <c r="I381" s="5"/>
      <c r="J381" s="5"/>
      <c r="K381" s="5">
        <v>11.83</v>
      </c>
      <c r="L381" s="8">
        <v>4</v>
      </c>
      <c r="M381" s="5">
        <f t="shared" si="2"/>
        <v>47.32</v>
      </c>
    </row>
    <row r="382" spans="1:13">
      <c r="A382" s="7">
        <v>96528014</v>
      </c>
      <c r="B382" s="7" t="s">
        <v>1263</v>
      </c>
      <c r="C382" s="61">
        <v>3726</v>
      </c>
      <c r="D382" s="5">
        <v>1863</v>
      </c>
      <c r="E382" s="5"/>
      <c r="G382" s="5">
        <v>520</v>
      </c>
      <c r="H382" s="5"/>
      <c r="I382" s="5"/>
      <c r="J382" s="5"/>
      <c r="K382" s="5">
        <v>11.83</v>
      </c>
      <c r="L382" s="8">
        <v>4</v>
      </c>
      <c r="M382" s="5">
        <f t="shared" si="2"/>
        <v>47.32</v>
      </c>
    </row>
    <row r="383" spans="1:13">
      <c r="A383" s="7">
        <v>96528015</v>
      </c>
      <c r="B383" s="7" t="s">
        <v>1264</v>
      </c>
      <c r="C383" s="61">
        <v>3915</v>
      </c>
      <c r="D383" s="5">
        <v>1957.5</v>
      </c>
      <c r="E383" s="5"/>
      <c r="G383" s="5">
        <v>520</v>
      </c>
      <c r="H383" s="5"/>
      <c r="I383" s="5"/>
      <c r="J383" s="5"/>
      <c r="K383" s="5">
        <v>11.83</v>
      </c>
      <c r="L383" s="8">
        <v>4</v>
      </c>
      <c r="M383" s="5">
        <f t="shared" si="2"/>
        <v>47.32</v>
      </c>
    </row>
    <row r="384" spans="1:13">
      <c r="A384" s="7">
        <v>96528016</v>
      </c>
      <c r="B384" s="7" t="s">
        <v>1265</v>
      </c>
      <c r="C384" s="61">
        <v>4063</v>
      </c>
      <c r="D384" s="5">
        <v>2031.5</v>
      </c>
      <c r="E384" s="5"/>
      <c r="G384" s="5">
        <v>520</v>
      </c>
      <c r="H384" s="5"/>
      <c r="I384" s="5"/>
      <c r="J384" s="5"/>
      <c r="K384" s="5">
        <v>11.83</v>
      </c>
      <c r="L384" s="8">
        <v>4</v>
      </c>
      <c r="M384" s="5">
        <f t="shared" si="2"/>
        <v>47.32</v>
      </c>
    </row>
    <row r="385" spans="1:13">
      <c r="A385" s="7">
        <v>96528017</v>
      </c>
      <c r="B385" s="7" t="s">
        <v>1266</v>
      </c>
      <c r="C385" s="61">
        <v>4229</v>
      </c>
      <c r="D385" s="5">
        <v>2114.5</v>
      </c>
      <c r="E385" s="5"/>
      <c r="G385" s="5">
        <v>520</v>
      </c>
      <c r="H385" s="5"/>
      <c r="I385" s="5"/>
      <c r="J385" s="5"/>
      <c r="K385" s="5">
        <v>11.83</v>
      </c>
      <c r="L385" s="8">
        <v>4</v>
      </c>
      <c r="M385" s="5">
        <f t="shared" si="2"/>
        <v>47.32</v>
      </c>
    </row>
    <row r="386" spans="1:13">
      <c r="A386" s="7">
        <v>96528018</v>
      </c>
      <c r="B386" s="7" t="s">
        <v>1267</v>
      </c>
      <c r="C386" s="61">
        <v>4458</v>
      </c>
      <c r="D386" s="5">
        <v>2229</v>
      </c>
      <c r="E386" s="5"/>
      <c r="G386" s="5">
        <v>520</v>
      </c>
      <c r="H386" s="5"/>
      <c r="I386" s="5"/>
      <c r="J386" s="5"/>
      <c r="K386" s="5">
        <v>11.83</v>
      </c>
      <c r="L386" s="8">
        <v>4</v>
      </c>
      <c r="M386" s="5">
        <f t="shared" si="2"/>
        <v>47.32</v>
      </c>
    </row>
    <row r="387" spans="1:13">
      <c r="A387" s="7">
        <v>96528019</v>
      </c>
      <c r="B387" s="7" t="s">
        <v>1268</v>
      </c>
      <c r="C387" s="61">
        <v>5047</v>
      </c>
      <c r="D387" s="5">
        <v>2523.5</v>
      </c>
      <c r="E387" s="5"/>
      <c r="G387" s="5">
        <v>520</v>
      </c>
      <c r="H387" s="5"/>
      <c r="I387" s="5"/>
      <c r="J387" s="5"/>
      <c r="K387" s="5">
        <v>11.83</v>
      </c>
      <c r="L387" s="8">
        <v>4</v>
      </c>
      <c r="M387" s="5">
        <f t="shared" si="2"/>
        <v>47.32</v>
      </c>
    </row>
    <row r="388" spans="1:13">
      <c r="A388" s="7">
        <v>96528020</v>
      </c>
      <c r="B388" s="7" t="s">
        <v>1269</v>
      </c>
      <c r="C388" s="61">
        <v>5342</v>
      </c>
      <c r="D388" s="5">
        <v>2671</v>
      </c>
      <c r="E388" s="5"/>
      <c r="G388" s="5">
        <v>520</v>
      </c>
      <c r="H388" s="5"/>
      <c r="I388" s="5"/>
      <c r="J388" s="5"/>
      <c r="K388" s="5">
        <v>11.83</v>
      </c>
      <c r="L388" s="8">
        <v>4</v>
      </c>
      <c r="M388" s="5">
        <f t="shared" si="2"/>
        <v>47.32</v>
      </c>
    </row>
    <row r="389" spans="1:13">
      <c r="A389" s="7">
        <v>96528154</v>
      </c>
      <c r="B389" s="7" t="s">
        <v>1169</v>
      </c>
      <c r="C389" s="61">
        <v>1901</v>
      </c>
      <c r="D389" s="5">
        <v>950.5</v>
      </c>
      <c r="E389" s="5"/>
      <c r="G389" s="5">
        <v>520</v>
      </c>
      <c r="H389" s="5"/>
      <c r="I389" s="5"/>
      <c r="J389" s="5"/>
      <c r="K389" s="5">
        <v>11.83</v>
      </c>
      <c r="L389" s="8">
        <v>4</v>
      </c>
      <c r="M389" s="5">
        <f t="shared" si="2"/>
        <v>47.32</v>
      </c>
    </row>
    <row r="390" spans="1:13">
      <c r="A390" s="7">
        <v>96528156</v>
      </c>
      <c r="B390" s="7" t="s">
        <v>1165</v>
      </c>
      <c r="C390" s="61">
        <v>1707</v>
      </c>
      <c r="D390" s="5">
        <v>853.5</v>
      </c>
      <c r="E390" s="5"/>
      <c r="G390" s="5">
        <v>520</v>
      </c>
      <c r="H390" s="5"/>
      <c r="I390" s="5"/>
      <c r="J390" s="5"/>
      <c r="K390" s="5">
        <v>11.83</v>
      </c>
      <c r="L390" s="8">
        <v>4</v>
      </c>
      <c r="M390" s="5">
        <f t="shared" si="2"/>
        <v>47.32</v>
      </c>
    </row>
    <row r="391" spans="1:13">
      <c r="A391" s="7">
        <v>96905389</v>
      </c>
      <c r="B391" s="7" t="s">
        <v>1270</v>
      </c>
      <c r="C391" s="61">
        <v>7112</v>
      </c>
      <c r="D391" s="5">
        <v>3556</v>
      </c>
      <c r="E391" s="5"/>
    </row>
    <row r="392" spans="1:13">
      <c r="A392" s="7">
        <v>97513866</v>
      </c>
      <c r="B392" s="7" t="s">
        <v>1271</v>
      </c>
      <c r="C392" s="61">
        <v>5787</v>
      </c>
      <c r="D392" s="5">
        <v>2893.5</v>
      </c>
      <c r="E392" s="5"/>
    </row>
    <row r="393" spans="1:13">
      <c r="A393" s="7">
        <v>97725468</v>
      </c>
      <c r="B393" s="7" t="s">
        <v>1272</v>
      </c>
      <c r="C393" s="61">
        <v>4003</v>
      </c>
      <c r="D393" s="5">
        <v>2001.5</v>
      </c>
      <c r="E393" s="5"/>
    </row>
    <row r="394" spans="1:13">
      <c r="A394" s="7">
        <v>97725469</v>
      </c>
      <c r="B394" s="7" t="s">
        <v>1273</v>
      </c>
      <c r="C394" s="61">
        <v>4276</v>
      </c>
      <c r="D394" s="5">
        <v>2138</v>
      </c>
      <c r="E394" s="5"/>
    </row>
    <row r="395" spans="1:13">
      <c r="A395" s="7">
        <v>97725470</v>
      </c>
      <c r="B395" s="7" t="s">
        <v>1274</v>
      </c>
      <c r="C395" s="61">
        <v>4941</v>
      </c>
      <c r="D395" s="5">
        <v>2470.5</v>
      </c>
      <c r="E395" s="5"/>
    </row>
    <row r="396" spans="1:13">
      <c r="A396" s="7">
        <v>97725501</v>
      </c>
      <c r="B396" s="7" t="s">
        <v>1275</v>
      </c>
      <c r="C396" s="61">
        <v>7275</v>
      </c>
      <c r="D396" s="5">
        <v>3637.5</v>
      </c>
      <c r="E396" s="5"/>
    </row>
    <row r="397" spans="1:13">
      <c r="A397" s="7">
        <v>97725502</v>
      </c>
      <c r="B397" s="7" t="s">
        <v>1276</v>
      </c>
      <c r="C397" s="61">
        <v>7275</v>
      </c>
      <c r="D397" s="5">
        <v>3637.5</v>
      </c>
      <c r="E397" s="5"/>
    </row>
    <row r="398" spans="1:13">
      <c r="A398" s="7">
        <v>97725503</v>
      </c>
      <c r="B398" s="7" t="s">
        <v>1277</v>
      </c>
      <c r="C398" s="61">
        <v>9030</v>
      </c>
      <c r="D398" s="5">
        <v>4515</v>
      </c>
      <c r="E398" s="5"/>
    </row>
    <row r="399" spans="1:13">
      <c r="A399" s="7">
        <v>97725504</v>
      </c>
      <c r="B399" s="7" t="s">
        <v>1278</v>
      </c>
      <c r="C399" s="61">
        <v>9030</v>
      </c>
      <c r="D399" s="5">
        <v>4515</v>
      </c>
      <c r="E399" s="5"/>
    </row>
    <row r="400" spans="1:13">
      <c r="A400" s="7">
        <v>97725505</v>
      </c>
      <c r="B400" s="7" t="s">
        <v>1279</v>
      </c>
      <c r="C400" s="61">
        <v>11354</v>
      </c>
      <c r="D400" s="5">
        <v>5677</v>
      </c>
      <c r="E400" s="5"/>
    </row>
    <row r="401" spans="1:5">
      <c r="A401" s="7">
        <v>97725506</v>
      </c>
      <c r="B401" s="7" t="s">
        <v>1280</v>
      </c>
      <c r="C401" s="61">
        <v>11354</v>
      </c>
      <c r="D401" s="5">
        <v>5677</v>
      </c>
      <c r="E401" s="5"/>
    </row>
    <row r="402" spans="1:5">
      <c r="A402" s="7">
        <v>97725507</v>
      </c>
      <c r="B402" s="7" t="s">
        <v>1281</v>
      </c>
      <c r="C402" s="61">
        <v>11972</v>
      </c>
      <c r="D402" s="5">
        <v>5986</v>
      </c>
      <c r="E402" s="5"/>
    </row>
    <row r="403" spans="1:5">
      <c r="A403" s="7">
        <v>97725508</v>
      </c>
      <c r="B403" s="7" t="s">
        <v>1282</v>
      </c>
      <c r="C403" s="61">
        <v>11972</v>
      </c>
      <c r="D403" s="5">
        <v>5986</v>
      </c>
      <c r="E403" s="5"/>
    </row>
    <row r="404" spans="1:5">
      <c r="A404" s="7">
        <v>97725510</v>
      </c>
      <c r="B404" s="7" t="s">
        <v>1283</v>
      </c>
      <c r="C404" s="61">
        <v>14100</v>
      </c>
      <c r="D404" s="5">
        <v>7050</v>
      </c>
      <c r="E404" s="5"/>
    </row>
    <row r="405" spans="1:5">
      <c r="A405" s="7">
        <v>97725511</v>
      </c>
      <c r="B405" s="7" t="s">
        <v>1284</v>
      </c>
      <c r="C405" s="61">
        <v>14718</v>
      </c>
      <c r="D405" s="5">
        <v>7359</v>
      </c>
      <c r="E405" s="5"/>
    </row>
    <row r="406" spans="1:5">
      <c r="A406" s="7">
        <v>97725512</v>
      </c>
      <c r="B406" s="7" t="s">
        <v>1285</v>
      </c>
      <c r="C406" s="61">
        <v>14718</v>
      </c>
      <c r="D406" s="5">
        <v>7359</v>
      </c>
      <c r="E406" s="5"/>
    </row>
    <row r="407" spans="1:5">
      <c r="A407" s="7">
        <v>97725513</v>
      </c>
      <c r="B407" s="7" t="s">
        <v>1286</v>
      </c>
      <c r="C407" s="61">
        <v>16703</v>
      </c>
      <c r="D407" s="5">
        <v>8351.5</v>
      </c>
      <c r="E407" s="5"/>
    </row>
    <row r="408" spans="1:5">
      <c r="A408" s="7">
        <v>97725514</v>
      </c>
      <c r="B408" s="7" t="s">
        <v>1287</v>
      </c>
      <c r="C408" s="61">
        <v>16703</v>
      </c>
      <c r="D408" s="5">
        <v>8351.5</v>
      </c>
      <c r="E408" s="5"/>
    </row>
    <row r="409" spans="1:5">
      <c r="A409" s="7">
        <v>97725515</v>
      </c>
      <c r="B409" s="7" t="s">
        <v>1288</v>
      </c>
      <c r="C409" s="61">
        <v>17321</v>
      </c>
      <c r="D409" s="5">
        <v>8660.5</v>
      </c>
      <c r="E409" s="5"/>
    </row>
    <row r="410" spans="1:5">
      <c r="A410" s="7">
        <v>97725516</v>
      </c>
      <c r="B410" s="7" t="s">
        <v>1289</v>
      </c>
      <c r="C410" s="61">
        <v>17321</v>
      </c>
      <c r="D410" s="5">
        <v>8660.5</v>
      </c>
      <c r="E410" s="5"/>
    </row>
    <row r="411" spans="1:5">
      <c r="A411" s="7">
        <v>97725518</v>
      </c>
      <c r="B411" s="7" t="s">
        <v>1290</v>
      </c>
      <c r="C411" s="61">
        <v>19409</v>
      </c>
      <c r="D411" s="5">
        <v>9704.5</v>
      </c>
      <c r="E411" s="5"/>
    </row>
    <row r="412" spans="1:5">
      <c r="A412" s="7">
        <v>97725520</v>
      </c>
      <c r="B412" s="7" t="s">
        <v>1291</v>
      </c>
      <c r="C412" s="61">
        <v>20053</v>
      </c>
      <c r="D412" s="5">
        <v>10026.5</v>
      </c>
      <c r="E412" s="5"/>
    </row>
    <row r="413" spans="1:5">
      <c r="A413" s="7">
        <v>97725522</v>
      </c>
      <c r="B413" s="7" t="s">
        <v>1292</v>
      </c>
      <c r="C413" s="61">
        <v>22591</v>
      </c>
      <c r="D413" s="5">
        <v>11295.5</v>
      </c>
      <c r="E413" s="5"/>
    </row>
    <row r="414" spans="1:5">
      <c r="A414" s="7">
        <v>97725524</v>
      </c>
      <c r="B414" s="7" t="s">
        <v>1293</v>
      </c>
      <c r="C414" s="61">
        <v>23218</v>
      </c>
      <c r="D414" s="5">
        <v>11609</v>
      </c>
      <c r="E414" s="5"/>
    </row>
    <row r="415" spans="1:5">
      <c r="A415" s="7">
        <v>97725530</v>
      </c>
      <c r="B415" s="7" t="s">
        <v>1294</v>
      </c>
      <c r="C415" s="61">
        <v>4688</v>
      </c>
      <c r="D415" s="5">
        <v>2344</v>
      </c>
      <c r="E415" s="5"/>
    </row>
    <row r="416" spans="1:5">
      <c r="A416" s="7">
        <v>97725541</v>
      </c>
      <c r="B416" s="7" t="s">
        <v>1295</v>
      </c>
      <c r="C416" s="61">
        <v>5626</v>
      </c>
      <c r="D416" s="5">
        <v>2813</v>
      </c>
      <c r="E416" s="5"/>
    </row>
    <row r="417" spans="1:5">
      <c r="A417" s="7">
        <v>97725542</v>
      </c>
      <c r="B417" s="7" t="s">
        <v>1296</v>
      </c>
      <c r="C417" s="61">
        <v>8990</v>
      </c>
      <c r="D417" s="5">
        <v>4495</v>
      </c>
      <c r="E417" s="5"/>
    </row>
    <row r="418" spans="1:5">
      <c r="A418" s="7">
        <v>97725543</v>
      </c>
      <c r="B418" s="7" t="s">
        <v>1297</v>
      </c>
      <c r="C418" s="61">
        <v>11367</v>
      </c>
      <c r="D418" s="5">
        <v>5683.5</v>
      </c>
      <c r="E418" s="5"/>
    </row>
    <row r="419" spans="1:5">
      <c r="A419" s="7">
        <v>97725544</v>
      </c>
      <c r="B419" s="7" t="s">
        <v>1298</v>
      </c>
      <c r="C419" s="61">
        <v>11367</v>
      </c>
      <c r="D419" s="5">
        <v>5683.5</v>
      </c>
      <c r="E419" s="5"/>
    </row>
    <row r="420" spans="1:5">
      <c r="A420" s="7">
        <v>97725545</v>
      </c>
      <c r="B420" s="7" t="s">
        <v>1299</v>
      </c>
      <c r="C420" s="61">
        <v>14116</v>
      </c>
      <c r="D420" s="5">
        <v>7058</v>
      </c>
      <c r="E420" s="5"/>
    </row>
    <row r="421" spans="1:5">
      <c r="A421" s="7">
        <v>97725546</v>
      </c>
      <c r="B421" s="7" t="s">
        <v>1300</v>
      </c>
      <c r="C421" s="61">
        <v>14116</v>
      </c>
      <c r="D421" s="5">
        <v>7058</v>
      </c>
      <c r="E421" s="5"/>
    </row>
    <row r="422" spans="1:5">
      <c r="A422" s="7">
        <v>97725547</v>
      </c>
      <c r="B422" s="7" t="s">
        <v>1301</v>
      </c>
      <c r="C422" s="61">
        <v>16791</v>
      </c>
      <c r="D422" s="5">
        <v>8395.5</v>
      </c>
      <c r="E422" s="5"/>
    </row>
    <row r="423" spans="1:5">
      <c r="A423" s="7">
        <v>97725548</v>
      </c>
      <c r="B423" s="7" t="s">
        <v>1302</v>
      </c>
      <c r="C423" s="61">
        <v>16791</v>
      </c>
      <c r="D423" s="5">
        <v>8395.5</v>
      </c>
      <c r="E423" s="5"/>
    </row>
    <row r="424" spans="1:5">
      <c r="A424" s="7">
        <v>97725550</v>
      </c>
      <c r="B424" s="7" t="s">
        <v>1303</v>
      </c>
      <c r="C424" s="61">
        <v>19053</v>
      </c>
      <c r="D424" s="5">
        <v>9526.5</v>
      </c>
      <c r="E424" s="5"/>
    </row>
    <row r="425" spans="1:5">
      <c r="A425" s="7">
        <v>97725551</v>
      </c>
      <c r="B425" s="7" t="s">
        <v>1304</v>
      </c>
      <c r="C425" s="61">
        <v>20773</v>
      </c>
      <c r="D425" s="5">
        <v>10386.5</v>
      </c>
      <c r="E425" s="5"/>
    </row>
    <row r="426" spans="1:5">
      <c r="A426" s="7">
        <v>97725553</v>
      </c>
      <c r="B426" s="7" t="s">
        <v>1305</v>
      </c>
      <c r="C426" s="61">
        <v>21452</v>
      </c>
      <c r="D426" s="5">
        <v>10726</v>
      </c>
      <c r="E426" s="5"/>
    </row>
    <row r="427" spans="1:5">
      <c r="A427" s="7">
        <v>97725554</v>
      </c>
      <c r="B427" s="7" t="s">
        <v>1306</v>
      </c>
      <c r="C427" s="61">
        <v>21452</v>
      </c>
      <c r="D427" s="5">
        <v>10726</v>
      </c>
      <c r="E427" s="5"/>
    </row>
    <row r="428" spans="1:5">
      <c r="A428" s="7">
        <v>97725555</v>
      </c>
      <c r="B428" s="7" t="s">
        <v>1307</v>
      </c>
      <c r="C428" s="61">
        <v>22129</v>
      </c>
      <c r="D428" s="5">
        <v>11064.5</v>
      </c>
      <c r="E428" s="5"/>
    </row>
    <row r="429" spans="1:5">
      <c r="A429" s="7">
        <v>97725556</v>
      </c>
      <c r="B429" s="7" t="s">
        <v>1308</v>
      </c>
      <c r="C429" s="61">
        <v>24095</v>
      </c>
      <c r="D429" s="5">
        <v>12047.5</v>
      </c>
      <c r="E429" s="5"/>
    </row>
    <row r="430" spans="1:5">
      <c r="A430" s="7">
        <v>97725557</v>
      </c>
      <c r="B430" s="7" t="s">
        <v>1309</v>
      </c>
      <c r="C430" s="61">
        <v>24722</v>
      </c>
      <c r="D430" s="5">
        <v>12361</v>
      </c>
      <c r="E430" s="5"/>
    </row>
    <row r="431" spans="1:5">
      <c r="A431" s="7">
        <v>97725560</v>
      </c>
      <c r="B431" s="7" t="s">
        <v>1310</v>
      </c>
      <c r="C431" s="61">
        <v>32131</v>
      </c>
      <c r="D431" s="5">
        <v>16065.5</v>
      </c>
      <c r="E431" s="5"/>
    </row>
    <row r="432" spans="1:5">
      <c r="A432" s="7">
        <v>97725562</v>
      </c>
      <c r="B432" s="7" t="s">
        <v>1311</v>
      </c>
      <c r="C432" s="61">
        <v>32868</v>
      </c>
      <c r="D432" s="5">
        <v>16434</v>
      </c>
      <c r="E432" s="5"/>
    </row>
    <row r="433" spans="1:5">
      <c r="A433" s="7">
        <v>97725563</v>
      </c>
      <c r="B433" s="7" t="s">
        <v>1312</v>
      </c>
      <c r="C433" s="61">
        <v>33604</v>
      </c>
      <c r="D433" s="5">
        <v>16802</v>
      </c>
      <c r="E433" s="5"/>
    </row>
    <row r="434" spans="1:5">
      <c r="A434" s="7">
        <v>97725571</v>
      </c>
      <c r="B434" s="7" t="s">
        <v>1313</v>
      </c>
      <c r="C434" s="61">
        <v>5561</v>
      </c>
      <c r="D434" s="5">
        <v>2780.5</v>
      </c>
      <c r="E434" s="5"/>
    </row>
    <row r="435" spans="1:5">
      <c r="A435" s="7">
        <v>97725572</v>
      </c>
      <c r="B435" s="7" t="s">
        <v>1314</v>
      </c>
      <c r="C435" s="61">
        <v>7255</v>
      </c>
      <c r="D435" s="5">
        <v>3627.5</v>
      </c>
      <c r="E435" s="5"/>
    </row>
    <row r="436" spans="1:5">
      <c r="A436" s="7">
        <v>97725573</v>
      </c>
      <c r="B436" s="7" t="s">
        <v>1315</v>
      </c>
      <c r="C436" s="61">
        <v>8793</v>
      </c>
      <c r="D436" s="5">
        <v>4396.5</v>
      </c>
      <c r="E436" s="5"/>
    </row>
    <row r="437" spans="1:5">
      <c r="A437" s="7">
        <v>97725574</v>
      </c>
      <c r="B437" s="7" t="s">
        <v>1316</v>
      </c>
      <c r="C437" s="61">
        <v>10230</v>
      </c>
      <c r="D437" s="5">
        <v>5115</v>
      </c>
      <c r="E437" s="5"/>
    </row>
    <row r="438" spans="1:5">
      <c r="A438" s="7">
        <v>97725575</v>
      </c>
      <c r="B438" s="7" t="s">
        <v>1317</v>
      </c>
      <c r="C438" s="61">
        <v>10230</v>
      </c>
      <c r="D438" s="5">
        <v>5115</v>
      </c>
      <c r="E438" s="5"/>
    </row>
    <row r="439" spans="1:5">
      <c r="A439" s="7">
        <v>97725576</v>
      </c>
      <c r="B439" s="7" t="s">
        <v>1318</v>
      </c>
      <c r="C439" s="61">
        <v>13609</v>
      </c>
      <c r="D439" s="5">
        <v>6804.5</v>
      </c>
      <c r="E439" s="5"/>
    </row>
    <row r="440" spans="1:5">
      <c r="A440" s="7">
        <v>97725577</v>
      </c>
      <c r="B440" s="7" t="s">
        <v>1319</v>
      </c>
      <c r="C440" s="61">
        <v>13609</v>
      </c>
      <c r="D440" s="5">
        <v>6804.5</v>
      </c>
      <c r="E440" s="5"/>
    </row>
    <row r="441" spans="1:5">
      <c r="A441" s="7">
        <v>97725578</v>
      </c>
      <c r="B441" s="7" t="s">
        <v>1320</v>
      </c>
      <c r="C441" s="61">
        <v>15641</v>
      </c>
      <c r="D441" s="5">
        <v>7820.5</v>
      </c>
      <c r="E441" s="5"/>
    </row>
    <row r="442" spans="1:5">
      <c r="A442" s="7">
        <v>97725579</v>
      </c>
      <c r="B442" s="7" t="s">
        <v>1321</v>
      </c>
      <c r="C442" s="61">
        <v>16381</v>
      </c>
      <c r="D442" s="5">
        <v>8190.5</v>
      </c>
      <c r="E442" s="5"/>
    </row>
    <row r="443" spans="1:5">
      <c r="A443" s="7">
        <v>97725580</v>
      </c>
      <c r="B443" s="7" t="s">
        <v>1322</v>
      </c>
      <c r="C443" s="61">
        <v>18187</v>
      </c>
      <c r="D443" s="5">
        <v>9093.5</v>
      </c>
      <c r="E443" s="5"/>
    </row>
    <row r="444" spans="1:5">
      <c r="A444" s="7">
        <v>97725581</v>
      </c>
      <c r="B444" s="7" t="s">
        <v>1323</v>
      </c>
      <c r="C444" s="61">
        <v>18187</v>
      </c>
      <c r="D444" s="5">
        <v>9093.5</v>
      </c>
      <c r="E444" s="5"/>
    </row>
    <row r="445" spans="1:5">
      <c r="A445" s="7">
        <v>97725582</v>
      </c>
      <c r="B445" s="7" t="s">
        <v>1324</v>
      </c>
      <c r="C445" s="61">
        <v>19402</v>
      </c>
      <c r="D445" s="5">
        <v>9701</v>
      </c>
      <c r="E445" s="5"/>
    </row>
    <row r="446" spans="1:5">
      <c r="A446" s="7">
        <v>97725583</v>
      </c>
      <c r="B446" s="7" t="s">
        <v>1325</v>
      </c>
      <c r="C446" s="61">
        <v>19402</v>
      </c>
      <c r="D446" s="5">
        <v>9701</v>
      </c>
      <c r="E446" s="5"/>
    </row>
    <row r="447" spans="1:5">
      <c r="A447" s="7">
        <v>97725584</v>
      </c>
      <c r="B447" s="7" t="s">
        <v>1326</v>
      </c>
      <c r="C447" s="61">
        <v>19402</v>
      </c>
      <c r="D447" s="5">
        <v>9701</v>
      </c>
      <c r="E447" s="5"/>
    </row>
    <row r="448" spans="1:5">
      <c r="A448" s="7">
        <v>97725585</v>
      </c>
      <c r="B448" s="7" t="s">
        <v>1327</v>
      </c>
      <c r="C448" s="61">
        <v>20139</v>
      </c>
      <c r="D448" s="5">
        <v>10069.5</v>
      </c>
      <c r="E448" s="5"/>
    </row>
    <row r="449" spans="1:5">
      <c r="A449" s="7">
        <v>97725586</v>
      </c>
      <c r="B449" s="7" t="s">
        <v>1328</v>
      </c>
      <c r="C449" s="61">
        <v>23727</v>
      </c>
      <c r="D449" s="5">
        <v>11863.5</v>
      </c>
      <c r="E449" s="5"/>
    </row>
    <row r="450" spans="1:5">
      <c r="A450" s="7">
        <v>97725587</v>
      </c>
      <c r="B450" s="7" t="s">
        <v>1329</v>
      </c>
      <c r="C450" s="61">
        <v>23727</v>
      </c>
      <c r="D450" s="5">
        <v>11863.5</v>
      </c>
      <c r="E450" s="5"/>
    </row>
    <row r="451" spans="1:5">
      <c r="A451" s="7">
        <v>97725589</v>
      </c>
      <c r="B451" s="7" t="s">
        <v>1330</v>
      </c>
      <c r="C451" s="61">
        <v>24464</v>
      </c>
      <c r="D451" s="5">
        <v>12232</v>
      </c>
      <c r="E451" s="5"/>
    </row>
    <row r="452" spans="1:5">
      <c r="A452" s="7">
        <v>97725590</v>
      </c>
      <c r="B452" s="7" t="s">
        <v>1331</v>
      </c>
      <c r="C452" s="61">
        <v>32287</v>
      </c>
      <c r="D452" s="5">
        <v>16143.5</v>
      </c>
      <c r="E452" s="5"/>
    </row>
    <row r="453" spans="1:5">
      <c r="A453" s="7">
        <v>97725592</v>
      </c>
      <c r="B453" s="7" t="s">
        <v>1332</v>
      </c>
      <c r="C453" s="61">
        <v>33016</v>
      </c>
      <c r="D453" s="5">
        <v>16508</v>
      </c>
      <c r="E453" s="5"/>
    </row>
    <row r="454" spans="1:5">
      <c r="A454" s="7">
        <v>99735976</v>
      </c>
      <c r="B454" s="7" t="s">
        <v>1333</v>
      </c>
      <c r="C454" s="61">
        <v>14100</v>
      </c>
      <c r="D454" s="5">
        <v>7050</v>
      </c>
      <c r="E454" s="5"/>
    </row>
    <row r="455" spans="1:5">
      <c r="A455" s="7">
        <v>99735978</v>
      </c>
      <c r="B455" s="7" t="s">
        <v>1334</v>
      </c>
      <c r="C455" s="61">
        <v>19409</v>
      </c>
      <c r="D455" s="5">
        <v>9704.5</v>
      </c>
      <c r="E455" s="5"/>
    </row>
    <row r="456" spans="1:5">
      <c r="A456" s="7">
        <v>99735979</v>
      </c>
      <c r="B456" s="7" t="s">
        <v>1335</v>
      </c>
      <c r="C456" s="61">
        <v>20053</v>
      </c>
      <c r="D456" s="5">
        <v>10026.5</v>
      </c>
      <c r="E456" s="5"/>
    </row>
    <row r="457" spans="1:5">
      <c r="A457" s="7">
        <v>99735981</v>
      </c>
      <c r="B457" s="7" t="s">
        <v>1336</v>
      </c>
      <c r="C457" s="61">
        <v>22591</v>
      </c>
      <c r="D457" s="5">
        <v>11295.5</v>
      </c>
      <c r="E457" s="5"/>
    </row>
    <row r="458" spans="1:5">
      <c r="A458" s="7">
        <v>99736065</v>
      </c>
      <c r="B458" s="7" t="s">
        <v>1337</v>
      </c>
      <c r="C458" s="61">
        <v>23218</v>
      </c>
      <c r="D458" s="5">
        <v>11609</v>
      </c>
      <c r="E458" s="5"/>
    </row>
    <row r="459" spans="1:5">
      <c r="A459" s="7">
        <v>99736093</v>
      </c>
      <c r="B459" s="7" t="s">
        <v>1338</v>
      </c>
      <c r="C459" s="61">
        <v>20773</v>
      </c>
      <c r="D459" s="5">
        <v>10386.5</v>
      </c>
      <c r="E459" s="5"/>
    </row>
    <row r="460" spans="1:5">
      <c r="A460" s="7">
        <v>99736099</v>
      </c>
      <c r="B460" s="7" t="s">
        <v>1339</v>
      </c>
      <c r="C460" s="61">
        <v>24722</v>
      </c>
      <c r="D460" s="5">
        <v>12361</v>
      </c>
      <c r="E460" s="5"/>
    </row>
    <row r="461" spans="1:5">
      <c r="A461" s="7">
        <v>99736101</v>
      </c>
      <c r="B461" s="7" t="s">
        <v>1340</v>
      </c>
      <c r="C461" s="61">
        <v>32131</v>
      </c>
      <c r="D461" s="5">
        <v>16065.5</v>
      </c>
      <c r="E461" s="5"/>
    </row>
    <row r="462" spans="1:5">
      <c r="A462" s="7">
        <v>99736102</v>
      </c>
      <c r="B462" s="7" t="s">
        <v>1341</v>
      </c>
      <c r="C462" s="61">
        <v>32868</v>
      </c>
      <c r="D462" s="5">
        <v>16434</v>
      </c>
      <c r="E462" s="5"/>
    </row>
    <row r="463" spans="1:5">
      <c r="A463" s="7">
        <v>99736741</v>
      </c>
      <c r="B463" s="7" t="s">
        <v>1342</v>
      </c>
      <c r="C463" s="61">
        <v>33016</v>
      </c>
      <c r="D463" s="5">
        <v>16508</v>
      </c>
      <c r="E463" s="5"/>
    </row>
    <row r="464" spans="1:5">
      <c r="A464" s="7">
        <v>99736742</v>
      </c>
      <c r="B464" s="7" t="s">
        <v>1343</v>
      </c>
      <c r="C464" s="61">
        <v>24464</v>
      </c>
      <c r="D464" s="5">
        <v>12232</v>
      </c>
      <c r="E464" s="5"/>
    </row>
    <row r="465" spans="1:12">
      <c r="A465" s="7">
        <v>99736815</v>
      </c>
      <c r="B465" s="7" t="s">
        <v>1344</v>
      </c>
      <c r="C465" s="61">
        <v>19053</v>
      </c>
      <c r="D465" s="5">
        <v>9526.5</v>
      </c>
      <c r="E465" s="5"/>
    </row>
    <row r="466" spans="1:12">
      <c r="G466" s="5"/>
      <c r="H466" s="5"/>
      <c r="I466" s="5"/>
      <c r="J466" s="5"/>
      <c r="K466" s="5"/>
      <c r="L466" s="8"/>
    </row>
    <row r="467" spans="1:12">
      <c r="G467" s="5"/>
      <c r="H467" s="5"/>
      <c r="I467" s="5"/>
      <c r="J467" s="5"/>
      <c r="K467" s="5"/>
      <c r="L467" s="8"/>
    </row>
    <row r="468" spans="1:12">
      <c r="G468" s="5"/>
      <c r="H468" s="5"/>
      <c r="I468" s="5"/>
      <c r="J468" s="5"/>
      <c r="K468" s="5"/>
      <c r="L468" s="8"/>
    </row>
    <row r="469" spans="1:12">
      <c r="G469" s="5"/>
      <c r="H469" s="5"/>
      <c r="I469" s="5"/>
      <c r="J469" s="5"/>
      <c r="K469" s="5"/>
      <c r="L469" s="8"/>
    </row>
    <row r="470" spans="1:12">
      <c r="G470" s="5"/>
      <c r="H470" s="5"/>
      <c r="I470" s="5"/>
      <c r="J470" s="5"/>
      <c r="K470" s="5"/>
      <c r="L470" s="8"/>
    </row>
    <row r="471" spans="1:12">
      <c r="G471" s="5"/>
      <c r="H471" s="5"/>
      <c r="I471" s="5"/>
      <c r="J471" s="5"/>
      <c r="K471" s="5"/>
      <c r="L471" s="8"/>
    </row>
    <row r="472" spans="1:12">
      <c r="G472" s="5"/>
      <c r="H472" s="5"/>
      <c r="I472" s="5"/>
      <c r="J472" s="5"/>
      <c r="K472" s="5"/>
      <c r="L472" s="8"/>
    </row>
    <row r="473" spans="1:12">
      <c r="G473" s="5"/>
      <c r="H473" s="5"/>
      <c r="I473" s="5"/>
      <c r="J473" s="5"/>
      <c r="K473" s="5"/>
      <c r="L473" s="8"/>
    </row>
    <row r="474" spans="1:12">
      <c r="G474" s="5"/>
      <c r="H474" s="5"/>
      <c r="I474" s="5"/>
      <c r="J474" s="5"/>
      <c r="K474" s="5"/>
      <c r="L474" s="8"/>
    </row>
    <row r="475" spans="1:12">
      <c r="G475" s="5"/>
      <c r="H475" s="5"/>
      <c r="I475" s="5"/>
      <c r="J475" s="5"/>
      <c r="K475" s="5"/>
      <c r="L475" s="8"/>
    </row>
    <row r="476" spans="1:12">
      <c r="G476" s="5"/>
      <c r="H476" s="5"/>
      <c r="I476" s="5"/>
      <c r="J476" s="5"/>
      <c r="K476" s="5"/>
      <c r="L476" s="8"/>
    </row>
    <row r="477" spans="1:12">
      <c r="G477" s="5"/>
      <c r="H477" s="5"/>
      <c r="I477" s="5"/>
      <c r="J477" s="5"/>
      <c r="K477" s="5"/>
      <c r="L477" s="8"/>
    </row>
    <row r="478" spans="1:12">
      <c r="G478" s="5"/>
      <c r="H478" s="5"/>
      <c r="I478" s="5"/>
      <c r="J478" s="5"/>
      <c r="K478" s="5"/>
      <c r="L478" s="8"/>
    </row>
    <row r="479" spans="1:12">
      <c r="G479" s="5"/>
      <c r="H479" s="5"/>
      <c r="I479" s="5"/>
      <c r="J479" s="5"/>
      <c r="K479" s="5"/>
      <c r="L479" s="8"/>
    </row>
    <row r="480" spans="1:12">
      <c r="G480" s="5"/>
      <c r="H480" s="5"/>
      <c r="I480" s="5"/>
      <c r="J480" s="5"/>
      <c r="K480" s="5"/>
      <c r="L480" s="8"/>
    </row>
    <row r="481" spans="7:12">
      <c r="G481" s="5"/>
      <c r="H481" s="5"/>
      <c r="I481" s="5"/>
      <c r="J481" s="5"/>
      <c r="K481" s="5"/>
      <c r="L481" s="8"/>
    </row>
    <row r="482" spans="7:12">
      <c r="G482" s="5"/>
      <c r="H482" s="5"/>
      <c r="I482" s="5"/>
      <c r="J482" s="5"/>
      <c r="K482" s="5"/>
      <c r="L482" s="8"/>
    </row>
    <row r="483" spans="7:12">
      <c r="G483" s="5"/>
      <c r="H483" s="5"/>
      <c r="I483" s="5"/>
      <c r="J483" s="5"/>
      <c r="K483" s="5"/>
      <c r="L483" s="8"/>
    </row>
    <row r="484" spans="7:12">
      <c r="G484" s="5"/>
      <c r="H484" s="5"/>
      <c r="I484" s="5"/>
      <c r="J484" s="5"/>
      <c r="K484" s="5"/>
      <c r="L484" s="8"/>
    </row>
    <row r="485" spans="7:12">
      <c r="G485" s="5"/>
      <c r="H485" s="5"/>
      <c r="I485" s="5"/>
      <c r="J485" s="5"/>
      <c r="K485" s="5"/>
      <c r="L485" s="8"/>
    </row>
    <row r="486" spans="7:12">
      <c r="G486" s="5"/>
      <c r="H486" s="5"/>
      <c r="I486" s="5"/>
      <c r="J486" s="5"/>
      <c r="K486" s="5"/>
      <c r="L486" s="8"/>
    </row>
    <row r="487" spans="7:12">
      <c r="G487" s="5"/>
      <c r="H487" s="5"/>
      <c r="I487" s="5"/>
      <c r="J487" s="5"/>
      <c r="K487" s="5"/>
      <c r="L487" s="8"/>
    </row>
    <row r="488" spans="7:12">
      <c r="G488" s="5"/>
      <c r="H488" s="5"/>
      <c r="I488" s="5"/>
      <c r="J488" s="5"/>
      <c r="K488" s="5"/>
      <c r="L488" s="8"/>
    </row>
    <row r="489" spans="7:12">
      <c r="G489" s="5"/>
      <c r="H489" s="5"/>
      <c r="I489" s="5"/>
      <c r="J489" s="5"/>
      <c r="K489" s="5"/>
      <c r="L489" s="8"/>
    </row>
    <row r="490" spans="7:12">
      <c r="G490" s="5"/>
      <c r="H490" s="5"/>
      <c r="I490" s="5"/>
      <c r="J490" s="5"/>
      <c r="K490" s="5"/>
      <c r="L490" s="8"/>
    </row>
    <row r="491" spans="7:12">
      <c r="G491" s="5"/>
      <c r="H491" s="5"/>
      <c r="I491" s="5"/>
      <c r="J491" s="5"/>
      <c r="K491" s="5"/>
      <c r="L491" s="8"/>
    </row>
    <row r="492" spans="7:12">
      <c r="G492" s="5"/>
      <c r="H492" s="5"/>
      <c r="I492" s="5"/>
      <c r="J492" s="5"/>
      <c r="K492" s="5"/>
      <c r="L492" s="8"/>
    </row>
    <row r="493" spans="7:12">
      <c r="G493" s="5"/>
      <c r="H493" s="5"/>
      <c r="I493" s="5"/>
      <c r="J493" s="5"/>
      <c r="K493" s="5"/>
      <c r="L493" s="8"/>
    </row>
    <row r="494" spans="7:12">
      <c r="G494" s="5"/>
      <c r="H494" s="5"/>
      <c r="I494" s="5"/>
      <c r="J494" s="5"/>
      <c r="K494" s="5"/>
      <c r="L494" s="8"/>
    </row>
    <row r="495" spans="7:12">
      <c r="G495" s="5"/>
      <c r="H495" s="5"/>
      <c r="I495" s="5"/>
      <c r="J495" s="5"/>
      <c r="K495" s="5"/>
      <c r="L495" s="8"/>
    </row>
    <row r="496" spans="7:12">
      <c r="G496" s="5"/>
      <c r="H496" s="5"/>
      <c r="I496" s="5"/>
      <c r="J496" s="5"/>
      <c r="K496" s="5"/>
      <c r="L496" s="8"/>
    </row>
    <row r="497" spans="7:12">
      <c r="G497" s="5"/>
      <c r="H497" s="5"/>
      <c r="I497" s="5"/>
      <c r="J497" s="5"/>
      <c r="K497" s="5"/>
      <c r="L497" s="8"/>
    </row>
    <row r="498" spans="7:12">
      <c r="G498" s="5"/>
      <c r="H498" s="5"/>
      <c r="I498" s="5"/>
      <c r="J498" s="5"/>
      <c r="K498" s="5"/>
      <c r="L498" s="8"/>
    </row>
    <row r="499" spans="7:12">
      <c r="G499" s="5"/>
      <c r="H499" s="5"/>
      <c r="I499" s="5"/>
      <c r="J499" s="5"/>
      <c r="K499" s="5"/>
      <c r="L499" s="8"/>
    </row>
    <row r="500" spans="7:12">
      <c r="G500" s="5"/>
      <c r="H500" s="5"/>
      <c r="I500" s="5"/>
      <c r="J500" s="5"/>
      <c r="K500" s="5"/>
      <c r="L500" s="8"/>
    </row>
    <row r="501" spans="7:12">
      <c r="G501" s="5"/>
      <c r="H501" s="5"/>
      <c r="I501" s="5"/>
      <c r="J501" s="5"/>
      <c r="K501" s="5"/>
      <c r="L501" s="8"/>
    </row>
    <row r="502" spans="7:12">
      <c r="G502" s="5"/>
      <c r="H502" s="5"/>
      <c r="I502" s="5"/>
      <c r="J502" s="5"/>
      <c r="K502" s="5"/>
      <c r="L502" s="8"/>
    </row>
    <row r="503" spans="7:12">
      <c r="G503" s="5"/>
      <c r="H503" s="5"/>
      <c r="I503" s="5"/>
      <c r="J503" s="5"/>
      <c r="K503" s="5"/>
      <c r="L503" s="8"/>
    </row>
    <row r="504" spans="7:12">
      <c r="G504" s="5"/>
      <c r="H504" s="5"/>
      <c r="I504" s="5"/>
      <c r="J504" s="5"/>
      <c r="K504" s="5"/>
      <c r="L504" s="8"/>
    </row>
    <row r="505" spans="7:12">
      <c r="G505" s="5"/>
      <c r="H505" s="5"/>
      <c r="I505" s="5"/>
      <c r="J505" s="5"/>
      <c r="K505" s="5"/>
      <c r="L505" s="8"/>
    </row>
    <row r="506" spans="7:12">
      <c r="G506" s="5"/>
      <c r="H506" s="5"/>
      <c r="I506" s="5"/>
      <c r="J506" s="5"/>
      <c r="K506" s="5"/>
      <c r="L506" s="8"/>
    </row>
    <row r="507" spans="7:12">
      <c r="G507" s="5"/>
      <c r="H507" s="5"/>
      <c r="I507" s="5"/>
      <c r="J507" s="5"/>
      <c r="K507" s="5"/>
      <c r="L507" s="8"/>
    </row>
    <row r="508" spans="7:12">
      <c r="G508" s="5"/>
      <c r="H508" s="5"/>
      <c r="I508" s="5"/>
      <c r="J508" s="5"/>
      <c r="K508" s="5"/>
      <c r="L508" s="8"/>
    </row>
    <row r="509" spans="7:12">
      <c r="G509" s="5"/>
      <c r="H509" s="5"/>
      <c r="I509" s="5"/>
      <c r="J509" s="5"/>
      <c r="K509" s="5"/>
      <c r="L509" s="8"/>
    </row>
    <row r="510" spans="7:12">
      <c r="G510" s="5"/>
      <c r="H510" s="5"/>
      <c r="I510" s="5"/>
      <c r="J510" s="5"/>
      <c r="K510" s="5"/>
      <c r="L510" s="8"/>
    </row>
    <row r="511" spans="7:12">
      <c r="G511" s="5"/>
      <c r="H511" s="5"/>
      <c r="I511" s="5"/>
      <c r="J511" s="5"/>
      <c r="K511" s="5"/>
      <c r="L511" s="8"/>
    </row>
    <row r="512" spans="7:12">
      <c r="G512" s="5"/>
      <c r="H512" s="5"/>
      <c r="I512" s="5"/>
      <c r="J512" s="5"/>
      <c r="K512" s="5"/>
      <c r="L512" s="8"/>
    </row>
    <row r="513" spans="7:12">
      <c r="G513" s="5"/>
      <c r="H513" s="5"/>
      <c r="I513" s="5"/>
      <c r="J513" s="5"/>
      <c r="K513" s="5"/>
      <c r="L513" s="8"/>
    </row>
    <row r="514" spans="7:12">
      <c r="G514" s="5"/>
      <c r="H514" s="5"/>
      <c r="I514" s="5"/>
      <c r="J514" s="5"/>
      <c r="K514" s="5"/>
      <c r="L514" s="8"/>
    </row>
    <row r="515" spans="7:12">
      <c r="G515" s="5"/>
      <c r="H515" s="5"/>
      <c r="I515" s="5"/>
      <c r="J515" s="5"/>
      <c r="K515" s="5"/>
      <c r="L515" s="8"/>
    </row>
    <row r="516" spans="7:12">
      <c r="G516" s="5"/>
      <c r="H516" s="5"/>
      <c r="I516" s="5"/>
      <c r="J516" s="5"/>
      <c r="K516" s="5"/>
      <c r="L516" s="8"/>
    </row>
    <row r="517" spans="7:12">
      <c r="G517" s="5"/>
      <c r="H517" s="5"/>
      <c r="I517" s="5"/>
      <c r="J517" s="5"/>
      <c r="K517" s="5"/>
      <c r="L517" s="8"/>
    </row>
    <row r="518" spans="7:12">
      <c r="G518" s="5"/>
      <c r="H518" s="5"/>
      <c r="I518" s="5"/>
      <c r="J518" s="5"/>
      <c r="K518" s="5"/>
      <c r="L518" s="8"/>
    </row>
    <row r="519" spans="7:12">
      <c r="G519" s="5"/>
      <c r="H519" s="5"/>
      <c r="I519" s="5"/>
      <c r="J519" s="5"/>
      <c r="K519" s="5"/>
      <c r="L519" s="8"/>
    </row>
    <row r="520" spans="7:12">
      <c r="G520" s="5"/>
      <c r="H520" s="5"/>
      <c r="I520" s="5"/>
      <c r="J520" s="5"/>
      <c r="K520" s="5"/>
      <c r="L520" s="8"/>
    </row>
    <row r="521" spans="7:12">
      <c r="G521" s="5"/>
      <c r="H521" s="5"/>
      <c r="I521" s="5"/>
      <c r="J521" s="5"/>
      <c r="K521" s="5"/>
      <c r="L521" s="8"/>
    </row>
    <row r="522" spans="7:12">
      <c r="G522" s="5"/>
      <c r="H522" s="5"/>
      <c r="I522" s="5"/>
      <c r="J522" s="5"/>
      <c r="K522" s="5"/>
      <c r="L522" s="8"/>
    </row>
    <row r="523" spans="7:12">
      <c r="G523" s="5"/>
      <c r="H523" s="5"/>
      <c r="I523" s="5"/>
      <c r="J523" s="5"/>
      <c r="K523" s="5"/>
      <c r="L523" s="8"/>
    </row>
    <row r="524" spans="7:12">
      <c r="G524" s="5"/>
      <c r="H524" s="5"/>
      <c r="I524" s="5"/>
      <c r="J524" s="5"/>
      <c r="K524" s="5"/>
      <c r="L524" s="8"/>
    </row>
    <row r="525" spans="7:12">
      <c r="G525" s="5"/>
      <c r="H525" s="5"/>
      <c r="I525" s="5"/>
      <c r="J525" s="5"/>
      <c r="K525" s="5"/>
      <c r="L525" s="8"/>
    </row>
    <row r="526" spans="7:12">
      <c r="G526" s="5"/>
      <c r="H526" s="5"/>
      <c r="I526" s="5"/>
      <c r="J526" s="5"/>
      <c r="K526" s="5"/>
      <c r="L526" s="8"/>
    </row>
    <row r="527" spans="7:12">
      <c r="G527" s="5"/>
      <c r="H527" s="5"/>
      <c r="I527" s="5"/>
      <c r="J527" s="5"/>
      <c r="K527" s="5"/>
      <c r="L527" s="8"/>
    </row>
    <row r="528" spans="7:12">
      <c r="G528" s="5"/>
      <c r="H528" s="5"/>
      <c r="I528" s="5"/>
      <c r="J528" s="5"/>
      <c r="K528" s="5"/>
      <c r="L528" s="8"/>
    </row>
    <row r="529" spans="7:12">
      <c r="G529" s="5"/>
      <c r="H529" s="5"/>
      <c r="I529" s="5"/>
      <c r="J529" s="5"/>
      <c r="K529" s="5"/>
      <c r="L529" s="8"/>
    </row>
    <row r="530" spans="7:12">
      <c r="G530" s="5"/>
      <c r="H530" s="5"/>
      <c r="I530" s="5"/>
      <c r="J530" s="5"/>
      <c r="K530" s="5"/>
      <c r="L530" s="8"/>
    </row>
    <row r="531" spans="7:12">
      <c r="G531" s="5"/>
      <c r="H531" s="5"/>
      <c r="I531" s="5"/>
      <c r="J531" s="5"/>
      <c r="K531" s="5"/>
      <c r="L531" s="8"/>
    </row>
    <row r="532" spans="7:12">
      <c r="G532" s="5"/>
      <c r="H532" s="5"/>
      <c r="I532" s="5"/>
      <c r="J532" s="5"/>
      <c r="K532" s="5"/>
      <c r="L532" s="8"/>
    </row>
    <row r="533" spans="7:12">
      <c r="G533" s="5"/>
      <c r="H533" s="5"/>
      <c r="I533" s="5"/>
      <c r="J533" s="5"/>
      <c r="K533" s="5"/>
      <c r="L533" s="8"/>
    </row>
    <row r="534" spans="7:12">
      <c r="G534" s="5"/>
      <c r="H534" s="5"/>
      <c r="I534" s="5"/>
      <c r="J534" s="5"/>
      <c r="K534" s="5"/>
      <c r="L534" s="8"/>
    </row>
    <row r="535" spans="7:12">
      <c r="G535" s="5"/>
      <c r="H535" s="5"/>
      <c r="I535" s="5"/>
      <c r="J535" s="5"/>
      <c r="K535" s="5"/>
      <c r="L535" s="8"/>
    </row>
    <row r="536" spans="7:12">
      <c r="G536" s="5"/>
      <c r="H536" s="5"/>
      <c r="I536" s="5"/>
      <c r="J536" s="5"/>
      <c r="K536" s="5"/>
      <c r="L536" s="8"/>
    </row>
    <row r="537" spans="7:12">
      <c r="G537" s="5"/>
      <c r="H537" s="5"/>
      <c r="I537" s="5"/>
      <c r="J537" s="5"/>
      <c r="K537" s="5"/>
      <c r="L537" s="8"/>
    </row>
    <row r="538" spans="7:12">
      <c r="G538" s="5"/>
      <c r="H538" s="5"/>
      <c r="I538" s="5"/>
      <c r="J538" s="5"/>
      <c r="K538" s="5"/>
      <c r="L538" s="8"/>
    </row>
    <row r="539" spans="7:12">
      <c r="G539" s="5"/>
      <c r="H539" s="5"/>
      <c r="I539" s="5"/>
      <c r="J539" s="5"/>
      <c r="K539" s="5"/>
      <c r="L539" s="8"/>
    </row>
    <row r="540" spans="7:12">
      <c r="G540" s="5"/>
      <c r="H540" s="5"/>
      <c r="I540" s="5"/>
      <c r="J540" s="5"/>
      <c r="K540" s="5"/>
      <c r="L540" s="8"/>
    </row>
    <row r="541" spans="7:12">
      <c r="G541" s="5"/>
      <c r="H541" s="5"/>
      <c r="I541" s="5"/>
      <c r="J541" s="5"/>
      <c r="K541" s="5"/>
      <c r="L541" s="8"/>
    </row>
    <row r="542" spans="7:12">
      <c r="G542" s="5"/>
      <c r="H542" s="5"/>
      <c r="I542" s="5"/>
      <c r="J542" s="5"/>
      <c r="K542" s="5"/>
      <c r="L542" s="8"/>
    </row>
    <row r="543" spans="7:12">
      <c r="G543" s="5"/>
      <c r="H543" s="5"/>
      <c r="I543" s="5"/>
      <c r="J543" s="5"/>
      <c r="K543" s="5"/>
      <c r="L543" s="8"/>
    </row>
    <row r="544" spans="7:12">
      <c r="G544" s="5"/>
      <c r="H544" s="5"/>
      <c r="I544" s="5"/>
      <c r="J544" s="5"/>
      <c r="K544" s="5"/>
      <c r="L544" s="8"/>
    </row>
    <row r="545" spans="7:12">
      <c r="G545" s="5"/>
      <c r="H545" s="5"/>
      <c r="I545" s="5"/>
      <c r="J545" s="5"/>
      <c r="K545" s="5"/>
      <c r="L545" s="8"/>
    </row>
    <row r="546" spans="7:12">
      <c r="G546" s="5"/>
      <c r="H546" s="5"/>
      <c r="I546" s="5"/>
      <c r="J546" s="5"/>
      <c r="K546" s="5"/>
      <c r="L546" s="8"/>
    </row>
    <row r="547" spans="7:12">
      <c r="G547" s="5"/>
      <c r="H547" s="5"/>
      <c r="I547" s="5"/>
      <c r="J547" s="5"/>
      <c r="K547" s="5"/>
      <c r="L547" s="8"/>
    </row>
    <row r="548" spans="7:12">
      <c r="G548" s="5"/>
      <c r="H548" s="5"/>
      <c r="I548" s="5"/>
      <c r="J548" s="5"/>
      <c r="K548" s="5"/>
      <c r="L548" s="8"/>
    </row>
    <row r="549" spans="7:12">
      <c r="G549" s="5"/>
      <c r="H549" s="5"/>
      <c r="I549" s="5"/>
      <c r="J549" s="5"/>
      <c r="K549" s="5"/>
      <c r="L549" s="8"/>
    </row>
    <row r="550" spans="7:12">
      <c r="G550" s="5"/>
      <c r="H550" s="5"/>
      <c r="I550" s="5"/>
      <c r="J550" s="5"/>
      <c r="K550" s="5"/>
      <c r="L550" s="8"/>
    </row>
    <row r="551" spans="7:12">
      <c r="G551" s="5"/>
      <c r="H551" s="5"/>
      <c r="I551" s="5"/>
      <c r="J551" s="5"/>
      <c r="K551" s="5"/>
      <c r="L551" s="8"/>
    </row>
    <row r="552" spans="7:12">
      <c r="G552" s="5"/>
      <c r="H552" s="5"/>
      <c r="I552" s="5"/>
      <c r="J552" s="5"/>
      <c r="K552" s="5"/>
      <c r="L552" s="8"/>
    </row>
    <row r="553" spans="7:12">
      <c r="G553" s="5"/>
      <c r="H553" s="5"/>
      <c r="I553" s="5"/>
      <c r="J553" s="5"/>
      <c r="K553" s="5"/>
      <c r="L553" s="8"/>
    </row>
    <row r="554" spans="7:12">
      <c r="G554" s="5"/>
      <c r="H554" s="5"/>
      <c r="I554" s="5"/>
      <c r="J554" s="5"/>
      <c r="K554" s="5"/>
      <c r="L554" s="8"/>
    </row>
    <row r="555" spans="7:12">
      <c r="G555" s="5"/>
      <c r="H555" s="5"/>
      <c r="I555" s="5"/>
      <c r="J555" s="5"/>
      <c r="K555" s="5"/>
      <c r="L555" s="8"/>
    </row>
    <row r="556" spans="7:12">
      <c r="G556" s="5"/>
      <c r="H556" s="5"/>
      <c r="I556" s="5"/>
      <c r="J556" s="5"/>
      <c r="K556" s="5"/>
      <c r="L556" s="8"/>
    </row>
    <row r="557" spans="7:12">
      <c r="G557" s="5"/>
      <c r="H557" s="5"/>
      <c r="I557" s="5"/>
      <c r="J557" s="5"/>
      <c r="K557" s="5"/>
      <c r="L557" s="8"/>
    </row>
    <row r="558" spans="7:12">
      <c r="G558" s="5"/>
      <c r="H558" s="5"/>
      <c r="I558" s="5"/>
      <c r="J558" s="5"/>
      <c r="K558" s="5"/>
      <c r="L558" s="8"/>
    </row>
    <row r="559" spans="7:12">
      <c r="G559" s="5"/>
      <c r="H559" s="5"/>
      <c r="I559" s="5"/>
      <c r="J559" s="5"/>
      <c r="K559" s="5"/>
      <c r="L559" s="8"/>
    </row>
    <row r="560" spans="7:12">
      <c r="G560" s="5"/>
      <c r="H560" s="5"/>
      <c r="I560" s="5"/>
      <c r="J560" s="5"/>
      <c r="K560" s="5"/>
      <c r="L560" s="8"/>
    </row>
    <row r="561" spans="7:12">
      <c r="G561" s="5"/>
      <c r="H561" s="5"/>
      <c r="I561" s="5"/>
      <c r="J561" s="5"/>
      <c r="K561" s="5"/>
      <c r="L561" s="8"/>
    </row>
    <row r="562" spans="7:12">
      <c r="G562" s="5"/>
      <c r="H562" s="5"/>
      <c r="I562" s="5"/>
      <c r="J562" s="5"/>
      <c r="K562" s="5"/>
      <c r="L562" s="8"/>
    </row>
    <row r="563" spans="7:12">
      <c r="G563" s="5"/>
      <c r="H563" s="5"/>
      <c r="I563" s="5"/>
      <c r="J563" s="5"/>
      <c r="K563" s="5"/>
      <c r="L563" s="8"/>
    </row>
    <row r="564" spans="7:12">
      <c r="G564" s="5"/>
      <c r="H564" s="5"/>
      <c r="I564" s="5"/>
      <c r="J564" s="5"/>
      <c r="K564" s="5"/>
      <c r="L564" s="8"/>
    </row>
    <row r="565" spans="7:12">
      <c r="G565" s="5"/>
      <c r="H565" s="5"/>
      <c r="I565" s="5"/>
      <c r="J565" s="5"/>
      <c r="K565" s="5"/>
      <c r="L565" s="8"/>
    </row>
    <row r="566" spans="7:12">
      <c r="G566" s="5"/>
      <c r="H566" s="5"/>
      <c r="I566" s="5"/>
      <c r="J566" s="5"/>
      <c r="K566" s="5"/>
      <c r="L566" s="8"/>
    </row>
    <row r="567" spans="7:12">
      <c r="G567" s="5"/>
      <c r="H567" s="5"/>
      <c r="I567" s="5"/>
      <c r="J567" s="5"/>
      <c r="K567" s="5"/>
      <c r="L567" s="8"/>
    </row>
    <row r="568" spans="7:12">
      <c r="G568" s="5"/>
      <c r="H568" s="5"/>
      <c r="I568" s="5"/>
      <c r="J568" s="5"/>
      <c r="K568" s="5"/>
      <c r="L568" s="8"/>
    </row>
    <row r="569" spans="7:12">
      <c r="G569" s="5"/>
      <c r="H569" s="5"/>
      <c r="I569" s="5"/>
      <c r="J569" s="5"/>
      <c r="K569" s="5"/>
      <c r="L569" s="8"/>
    </row>
    <row r="570" spans="7:12">
      <c r="G570" s="5"/>
      <c r="H570" s="5"/>
      <c r="I570" s="5"/>
      <c r="J570" s="5"/>
      <c r="K570" s="5"/>
      <c r="L570" s="8"/>
    </row>
    <row r="571" spans="7:12">
      <c r="G571" s="5"/>
      <c r="H571" s="5"/>
      <c r="I571" s="5"/>
      <c r="J571" s="5"/>
      <c r="K571" s="5"/>
      <c r="L571" s="8"/>
    </row>
    <row r="572" spans="7:12">
      <c r="G572" s="5"/>
      <c r="H572" s="5"/>
      <c r="I572" s="5"/>
      <c r="J572" s="5"/>
      <c r="K572" s="5"/>
      <c r="L572" s="8"/>
    </row>
    <row r="573" spans="7:12">
      <c r="G573" s="5"/>
      <c r="H573" s="5"/>
      <c r="I573" s="5"/>
      <c r="J573" s="5"/>
      <c r="K573" s="5"/>
      <c r="L573" s="8"/>
    </row>
    <row r="574" spans="7:12">
      <c r="G574" s="5"/>
      <c r="H574" s="5"/>
      <c r="I574" s="5"/>
      <c r="J574" s="5"/>
      <c r="K574" s="5"/>
      <c r="L574" s="8"/>
    </row>
    <row r="575" spans="7:12">
      <c r="G575" s="5"/>
      <c r="H575" s="5"/>
      <c r="I575" s="5"/>
      <c r="J575" s="5"/>
      <c r="K575" s="5"/>
      <c r="L575" s="8"/>
    </row>
    <row r="576" spans="7:12">
      <c r="G576" s="5"/>
      <c r="H576" s="5"/>
      <c r="I576" s="5"/>
      <c r="J576" s="5"/>
      <c r="K576" s="5"/>
      <c r="L576" s="8"/>
    </row>
    <row r="577" spans="7:12">
      <c r="G577" s="5"/>
      <c r="H577" s="5"/>
      <c r="I577" s="5"/>
      <c r="J577" s="5"/>
      <c r="K577" s="5"/>
      <c r="L577" s="8"/>
    </row>
    <row r="578" spans="7:12">
      <c r="G578" s="5"/>
      <c r="H578" s="5"/>
      <c r="I578" s="5"/>
      <c r="J578" s="5"/>
      <c r="K578" s="5"/>
      <c r="L578" s="8"/>
    </row>
    <row r="579" spans="7:12">
      <c r="G579" s="5"/>
      <c r="H579" s="5"/>
      <c r="I579" s="5"/>
      <c r="J579" s="5"/>
      <c r="K579" s="5"/>
      <c r="L579" s="8"/>
    </row>
    <row r="580" spans="7:12">
      <c r="G580" s="5"/>
      <c r="H580" s="5"/>
      <c r="I580" s="5"/>
      <c r="J580" s="5"/>
      <c r="K580" s="5"/>
      <c r="L580" s="8"/>
    </row>
    <row r="581" spans="7:12">
      <c r="G581" s="5"/>
      <c r="H581" s="5"/>
      <c r="I581" s="5"/>
      <c r="J581" s="5"/>
      <c r="K581" s="5"/>
      <c r="L581" s="8"/>
    </row>
    <row r="582" spans="7:12">
      <c r="G582" s="5"/>
      <c r="H582" s="5"/>
      <c r="I582" s="5"/>
      <c r="J582" s="5"/>
      <c r="K582" s="5"/>
      <c r="L582" s="8"/>
    </row>
    <row r="583" spans="7:12">
      <c r="G583" s="5"/>
      <c r="H583" s="5"/>
      <c r="I583" s="5"/>
      <c r="J583" s="5"/>
      <c r="K583" s="5"/>
      <c r="L583" s="8"/>
    </row>
    <row r="584" spans="7:12">
      <c r="G584" s="5"/>
      <c r="H584" s="5"/>
      <c r="I584" s="5"/>
      <c r="J584" s="5"/>
      <c r="K584" s="5"/>
      <c r="L584" s="8"/>
    </row>
    <row r="585" spans="7:12">
      <c r="G585" s="5"/>
      <c r="H585" s="5"/>
      <c r="I585" s="5"/>
      <c r="J585" s="5"/>
      <c r="K585" s="5"/>
      <c r="L585" s="8"/>
    </row>
    <row r="586" spans="7:12">
      <c r="G586" s="5"/>
      <c r="H586" s="5"/>
      <c r="I586" s="5"/>
      <c r="J586" s="5"/>
      <c r="K586" s="5"/>
      <c r="L586" s="8"/>
    </row>
    <row r="587" spans="7:12">
      <c r="G587" s="5"/>
      <c r="H587" s="5"/>
      <c r="I587" s="5"/>
      <c r="J587" s="5"/>
      <c r="K587" s="5"/>
      <c r="L587" s="8"/>
    </row>
    <row r="588" spans="7:12">
      <c r="G588" s="5"/>
      <c r="H588" s="5"/>
      <c r="I588" s="5"/>
      <c r="J588" s="5"/>
      <c r="K588" s="5"/>
      <c r="L588" s="8"/>
    </row>
    <row r="589" spans="7:12">
      <c r="G589" s="5"/>
      <c r="H589" s="5"/>
      <c r="I589" s="5"/>
      <c r="J589" s="5"/>
      <c r="K589" s="5"/>
      <c r="L589" s="8"/>
    </row>
    <row r="590" spans="7:12">
      <c r="G590" s="5"/>
      <c r="H590" s="5"/>
      <c r="I590" s="5"/>
      <c r="J590" s="5"/>
      <c r="K590" s="5"/>
      <c r="L590" s="8"/>
    </row>
    <row r="591" spans="7:12">
      <c r="G591" s="5"/>
      <c r="H591" s="5"/>
      <c r="I591" s="5"/>
      <c r="J591" s="5"/>
      <c r="K591" s="5"/>
      <c r="L591" s="8"/>
    </row>
    <row r="592" spans="7:12">
      <c r="G592" s="5"/>
      <c r="H592" s="5"/>
      <c r="I592" s="5"/>
      <c r="J592" s="5"/>
      <c r="K592" s="5"/>
      <c r="L592" s="8"/>
    </row>
    <row r="593" spans="7:12">
      <c r="G593" s="5"/>
      <c r="H593" s="5"/>
      <c r="I593" s="5"/>
      <c r="J593" s="5"/>
      <c r="K593" s="5"/>
      <c r="L593" s="8"/>
    </row>
    <row r="594" spans="7:12">
      <c r="G594" s="5"/>
      <c r="H594" s="5"/>
      <c r="I594" s="5"/>
      <c r="J594" s="5"/>
      <c r="K594" s="5"/>
      <c r="L594" s="8"/>
    </row>
    <row r="595" spans="7:12">
      <c r="G595" s="5"/>
      <c r="H595" s="5"/>
      <c r="I595" s="5"/>
      <c r="J595" s="5"/>
      <c r="K595" s="5"/>
      <c r="L595" s="8"/>
    </row>
    <row r="596" spans="7:12">
      <c r="G596" s="5"/>
      <c r="H596" s="5"/>
      <c r="I596" s="5"/>
      <c r="J596" s="5"/>
      <c r="K596" s="5"/>
      <c r="L596" s="8"/>
    </row>
    <row r="597" spans="7:12">
      <c r="G597" s="5"/>
      <c r="H597" s="5"/>
      <c r="I597" s="5"/>
      <c r="J597" s="5"/>
      <c r="K597" s="5"/>
      <c r="L597" s="8"/>
    </row>
    <row r="598" spans="7:12">
      <c r="G598" s="5"/>
      <c r="H598" s="5"/>
      <c r="I598" s="5"/>
      <c r="J598" s="5"/>
      <c r="K598" s="5"/>
      <c r="L598" s="8"/>
    </row>
    <row r="599" spans="7:12">
      <c r="G599" s="5"/>
      <c r="H599" s="5"/>
      <c r="I599" s="5"/>
      <c r="J599" s="5"/>
      <c r="K599" s="5"/>
      <c r="L599" s="8"/>
    </row>
    <row r="600" spans="7:12">
      <c r="G600" s="5"/>
      <c r="H600" s="5"/>
      <c r="I600" s="5"/>
      <c r="J600" s="5"/>
      <c r="K600" s="5"/>
      <c r="L600" s="8"/>
    </row>
    <row r="601" spans="7:12">
      <c r="G601" s="5"/>
      <c r="H601" s="5"/>
      <c r="I601" s="5"/>
      <c r="J601" s="5"/>
      <c r="K601" s="5"/>
      <c r="L601" s="8"/>
    </row>
    <row r="602" spans="7:12">
      <c r="G602" s="5"/>
      <c r="H602" s="5"/>
      <c r="I602" s="5"/>
      <c r="J602" s="5"/>
      <c r="K602" s="5"/>
      <c r="L602" s="8"/>
    </row>
    <row r="603" spans="7:12">
      <c r="G603" s="5"/>
      <c r="H603" s="5"/>
      <c r="I603" s="5"/>
      <c r="J603" s="5"/>
      <c r="K603" s="5"/>
      <c r="L603" s="8"/>
    </row>
    <row r="604" spans="7:12">
      <c r="G604" s="5"/>
      <c r="H604" s="5"/>
      <c r="I604" s="5"/>
      <c r="J604" s="5"/>
      <c r="K604" s="5"/>
      <c r="L604" s="8"/>
    </row>
    <row r="605" spans="7:12">
      <c r="G605" s="5"/>
      <c r="H605" s="5"/>
      <c r="I605" s="5"/>
      <c r="J605" s="5"/>
      <c r="K605" s="5"/>
      <c r="L605" s="8"/>
    </row>
    <row r="606" spans="7:12">
      <c r="G606" s="5"/>
      <c r="H606" s="5"/>
      <c r="I606" s="5"/>
      <c r="J606" s="5"/>
      <c r="K606" s="5"/>
      <c r="L606" s="8"/>
    </row>
    <row r="607" spans="7:12">
      <c r="G607" s="5"/>
      <c r="H607" s="5"/>
      <c r="I607" s="5"/>
      <c r="J607" s="5"/>
      <c r="K607" s="5"/>
      <c r="L607" s="8"/>
    </row>
    <row r="608" spans="7:12">
      <c r="G608" s="5"/>
      <c r="H608" s="5"/>
      <c r="I608" s="5"/>
      <c r="J608" s="5"/>
      <c r="K608" s="5"/>
      <c r="L608" s="8"/>
    </row>
    <row r="609" spans="7:12">
      <c r="G609" s="5"/>
      <c r="H609" s="5"/>
      <c r="I609" s="5"/>
      <c r="J609" s="5"/>
      <c r="K609" s="5"/>
      <c r="L609" s="8"/>
    </row>
    <row r="610" spans="7:12">
      <c r="G610" s="5"/>
      <c r="H610" s="5"/>
      <c r="I610" s="5"/>
      <c r="J610" s="5"/>
      <c r="K610" s="5"/>
      <c r="L610" s="8"/>
    </row>
    <row r="611" spans="7:12">
      <c r="G611" s="5"/>
      <c r="H611" s="5"/>
      <c r="I611" s="5"/>
      <c r="J611" s="5"/>
      <c r="K611" s="5"/>
      <c r="L611" s="8"/>
    </row>
    <row r="612" spans="7:12">
      <c r="G612" s="5"/>
      <c r="H612" s="5"/>
      <c r="I612" s="5"/>
      <c r="J612" s="5"/>
      <c r="K612" s="5"/>
      <c r="L612" s="8"/>
    </row>
    <row r="613" spans="7:12">
      <c r="G613" s="5"/>
      <c r="H613" s="5"/>
      <c r="I613" s="5"/>
      <c r="J613" s="5"/>
      <c r="K613" s="5"/>
      <c r="L613" s="8"/>
    </row>
    <row r="614" spans="7:12">
      <c r="G614" s="5"/>
      <c r="H614" s="5"/>
      <c r="I614" s="5"/>
      <c r="J614" s="5"/>
      <c r="K614" s="5"/>
      <c r="L614" s="8"/>
    </row>
    <row r="615" spans="7:12">
      <c r="G615" s="5"/>
      <c r="H615" s="5"/>
      <c r="I615" s="5"/>
      <c r="J615" s="5"/>
      <c r="K615" s="5"/>
      <c r="L615" s="8"/>
    </row>
    <row r="616" spans="7:12">
      <c r="G616" s="5"/>
      <c r="H616" s="5"/>
      <c r="I616" s="5"/>
      <c r="J616" s="5"/>
      <c r="K616" s="5"/>
      <c r="L616" s="8"/>
    </row>
    <row r="617" spans="7:12">
      <c r="G617" s="5"/>
      <c r="H617" s="5"/>
      <c r="I617" s="5"/>
      <c r="J617" s="5"/>
      <c r="K617" s="5"/>
      <c r="L617" s="8"/>
    </row>
    <row r="618" spans="7:12">
      <c r="G618" s="5"/>
      <c r="H618" s="5"/>
      <c r="I618" s="5"/>
      <c r="J618" s="5"/>
      <c r="K618" s="5"/>
      <c r="L618" s="8"/>
    </row>
    <row r="619" spans="7:12">
      <c r="G619" s="5"/>
      <c r="H619" s="5"/>
      <c r="I619" s="5"/>
      <c r="J619" s="5"/>
      <c r="K619" s="5"/>
      <c r="L619" s="8"/>
    </row>
    <row r="620" spans="7:12">
      <c r="G620" s="5"/>
      <c r="H620" s="5"/>
      <c r="I620" s="5"/>
      <c r="J620" s="5"/>
      <c r="K620" s="5"/>
      <c r="L620" s="8"/>
    </row>
    <row r="621" spans="7:12">
      <c r="G621" s="5"/>
      <c r="H621" s="5"/>
      <c r="I621" s="5"/>
      <c r="J621" s="5"/>
      <c r="K621" s="5"/>
      <c r="L621" s="8"/>
    </row>
    <row r="622" spans="7:12">
      <c r="G622" s="5"/>
      <c r="H622" s="5"/>
      <c r="I622" s="5"/>
      <c r="J622" s="5"/>
      <c r="K622" s="5"/>
      <c r="L622" s="8"/>
    </row>
    <row r="623" spans="7:12">
      <c r="G623" s="5"/>
      <c r="H623" s="5"/>
      <c r="I623" s="5"/>
      <c r="J623" s="5"/>
      <c r="K623" s="5"/>
      <c r="L623" s="8"/>
    </row>
    <row r="624" spans="7:12">
      <c r="G624" s="5"/>
      <c r="H624" s="5"/>
      <c r="I624" s="5"/>
      <c r="J624" s="5"/>
      <c r="K624" s="5"/>
      <c r="L624" s="8"/>
    </row>
    <row r="625" spans="7:12">
      <c r="G625" s="5"/>
      <c r="H625" s="5"/>
      <c r="I625" s="5"/>
      <c r="J625" s="5"/>
      <c r="K625" s="5"/>
      <c r="L625" s="8"/>
    </row>
    <row r="626" spans="7:12">
      <c r="G626" s="5"/>
      <c r="H626" s="5"/>
      <c r="I626" s="5"/>
      <c r="J626" s="5"/>
      <c r="K626" s="5"/>
      <c r="L626" s="8"/>
    </row>
    <row r="627" spans="7:12">
      <c r="G627" s="5"/>
      <c r="H627" s="5"/>
      <c r="I627" s="5"/>
      <c r="J627" s="5"/>
      <c r="K627" s="5"/>
      <c r="L627" s="8"/>
    </row>
    <row r="628" spans="7:12">
      <c r="G628" s="5"/>
      <c r="H628" s="5"/>
      <c r="I628" s="5"/>
      <c r="J628" s="5"/>
      <c r="K628" s="5"/>
      <c r="L628" s="8"/>
    </row>
    <row r="629" spans="7:12">
      <c r="G629" s="5"/>
      <c r="H629" s="5"/>
      <c r="I629" s="5"/>
      <c r="J629" s="5"/>
      <c r="K629" s="5"/>
      <c r="L629" s="8"/>
    </row>
    <row r="630" spans="7:12">
      <c r="G630" s="5"/>
      <c r="H630" s="5"/>
      <c r="I630" s="5"/>
      <c r="J630" s="5"/>
      <c r="K630" s="5"/>
      <c r="L630" s="8"/>
    </row>
    <row r="631" spans="7:12">
      <c r="G631" s="5"/>
      <c r="H631" s="5"/>
      <c r="I631" s="5"/>
      <c r="J631" s="5"/>
      <c r="K631" s="5"/>
      <c r="L631" s="8"/>
    </row>
    <row r="632" spans="7:12">
      <c r="G632" s="5"/>
      <c r="H632" s="5"/>
      <c r="I632" s="5"/>
      <c r="J632" s="5"/>
      <c r="K632" s="5"/>
      <c r="L632" s="8"/>
    </row>
    <row r="633" spans="7:12">
      <c r="G633" s="5"/>
      <c r="H633" s="5"/>
      <c r="I633" s="5"/>
      <c r="J633" s="5"/>
      <c r="K633" s="5"/>
      <c r="L633" s="8"/>
    </row>
    <row r="634" spans="7:12">
      <c r="G634" s="5"/>
      <c r="H634" s="5"/>
      <c r="I634" s="5"/>
      <c r="J634" s="5"/>
      <c r="K634" s="5"/>
      <c r="L634" s="8"/>
    </row>
    <row r="635" spans="7:12">
      <c r="G635" s="5"/>
      <c r="H635" s="5"/>
      <c r="I635" s="5"/>
      <c r="J635" s="5"/>
      <c r="K635" s="5"/>
      <c r="L635" s="8"/>
    </row>
    <row r="636" spans="7:12">
      <c r="G636" s="5"/>
      <c r="H636" s="5"/>
      <c r="I636" s="5"/>
      <c r="J636" s="5"/>
      <c r="K636" s="5"/>
      <c r="L636" s="8"/>
    </row>
    <row r="637" spans="7:12">
      <c r="G637" s="5"/>
      <c r="H637" s="5"/>
      <c r="I637" s="5"/>
      <c r="J637" s="5"/>
      <c r="K637" s="5"/>
      <c r="L637" s="8"/>
    </row>
    <row r="638" spans="7:12">
      <c r="G638" s="5"/>
      <c r="H638" s="5"/>
      <c r="I638" s="5"/>
      <c r="J638" s="5"/>
      <c r="K638" s="5"/>
      <c r="L638" s="8"/>
    </row>
    <row r="639" spans="7:12">
      <c r="G639" s="5"/>
      <c r="H639" s="5"/>
      <c r="I639" s="5"/>
      <c r="J639" s="5"/>
      <c r="K639" s="5"/>
      <c r="L639" s="8"/>
    </row>
    <row r="640" spans="7:12">
      <c r="G640" s="5"/>
      <c r="H640" s="5"/>
      <c r="I640" s="5"/>
      <c r="J640" s="5"/>
      <c r="K640" s="5"/>
      <c r="L640" s="8"/>
    </row>
    <row r="641" spans="7:12">
      <c r="G641" s="5"/>
      <c r="H641" s="5"/>
      <c r="I641" s="5"/>
      <c r="J641" s="5"/>
      <c r="K641" s="5"/>
      <c r="L641" s="8"/>
    </row>
    <row r="642" spans="7:12">
      <c r="G642" s="5"/>
      <c r="H642" s="5"/>
      <c r="I642" s="5"/>
      <c r="J642" s="5"/>
      <c r="K642" s="5"/>
      <c r="L642" s="8"/>
    </row>
    <row r="643" spans="7:12">
      <c r="G643" s="5"/>
      <c r="H643" s="5"/>
      <c r="I643" s="5"/>
      <c r="J643" s="5"/>
      <c r="K643" s="5"/>
      <c r="L643" s="8"/>
    </row>
    <row r="644" spans="7:12">
      <c r="G644" s="5"/>
      <c r="H644" s="5"/>
      <c r="I644" s="5"/>
      <c r="J644" s="5"/>
      <c r="K644" s="5"/>
      <c r="L644" s="8"/>
    </row>
    <row r="645" spans="7:12">
      <c r="G645" s="5"/>
      <c r="H645" s="5"/>
      <c r="I645" s="5"/>
      <c r="J645" s="5"/>
      <c r="K645" s="5"/>
      <c r="L645" s="8"/>
    </row>
    <row r="646" spans="7:12">
      <c r="G646" s="5"/>
      <c r="H646" s="5"/>
      <c r="I646" s="5"/>
      <c r="J646" s="5"/>
      <c r="K646" s="5"/>
      <c r="L646" s="8"/>
    </row>
    <row r="647" spans="7:12">
      <c r="G647" s="5"/>
      <c r="H647" s="5"/>
      <c r="I647" s="5"/>
      <c r="J647" s="5"/>
      <c r="K647" s="5"/>
      <c r="L647" s="8"/>
    </row>
    <row r="648" spans="7:12">
      <c r="G648" s="5"/>
      <c r="H648" s="5"/>
      <c r="I648" s="5"/>
      <c r="J648" s="5"/>
      <c r="K648" s="5"/>
      <c r="L648" s="8"/>
    </row>
    <row r="649" spans="7:12">
      <c r="G649" s="5"/>
      <c r="H649" s="5"/>
      <c r="I649" s="5"/>
      <c r="J649" s="5"/>
      <c r="K649" s="5"/>
      <c r="L649" s="8"/>
    </row>
    <row r="650" spans="7:12">
      <c r="G650" s="5"/>
      <c r="H650" s="5"/>
      <c r="I650" s="5"/>
      <c r="J650" s="5"/>
      <c r="K650" s="5"/>
      <c r="L650" s="8"/>
    </row>
    <row r="651" spans="7:12">
      <c r="G651" s="5"/>
      <c r="H651" s="5"/>
      <c r="I651" s="5"/>
      <c r="J651" s="5"/>
      <c r="K651" s="5"/>
      <c r="L651" s="8"/>
    </row>
    <row r="652" spans="7:12">
      <c r="G652" s="5"/>
      <c r="H652" s="5"/>
      <c r="I652" s="5"/>
      <c r="J652" s="5"/>
      <c r="K652" s="5"/>
      <c r="L652" s="8"/>
    </row>
    <row r="653" spans="7:12">
      <c r="G653" s="5"/>
      <c r="H653" s="5"/>
      <c r="I653" s="5"/>
      <c r="J653" s="5"/>
      <c r="K653" s="5"/>
      <c r="L653" s="8"/>
    </row>
    <row r="654" spans="7:12">
      <c r="G654" s="5"/>
      <c r="H654" s="5"/>
      <c r="I654" s="5"/>
      <c r="J654" s="5"/>
      <c r="K654" s="5"/>
      <c r="L654" s="8"/>
    </row>
    <row r="655" spans="7:12">
      <c r="G655" s="5"/>
      <c r="H655" s="5"/>
      <c r="I655" s="5"/>
      <c r="J655" s="5"/>
      <c r="K655" s="5"/>
      <c r="L655" s="8"/>
    </row>
    <row r="656" spans="7:12">
      <c r="G656" s="5"/>
      <c r="H656" s="5"/>
      <c r="I656" s="5"/>
      <c r="J656" s="5"/>
      <c r="K656" s="5"/>
      <c r="L656" s="8"/>
    </row>
    <row r="657" spans="7:12">
      <c r="G657" s="5"/>
      <c r="H657" s="5"/>
      <c r="I657" s="5"/>
      <c r="J657" s="5"/>
      <c r="K657" s="5"/>
      <c r="L657" s="8"/>
    </row>
    <row r="658" spans="7:12">
      <c r="G658" s="5"/>
      <c r="H658" s="5"/>
      <c r="I658" s="5"/>
      <c r="J658" s="5"/>
      <c r="K658" s="5"/>
      <c r="L658" s="8"/>
    </row>
    <row r="659" spans="7:12">
      <c r="G659" s="5"/>
      <c r="H659" s="5"/>
      <c r="I659" s="5"/>
      <c r="J659" s="5"/>
      <c r="K659" s="5"/>
      <c r="L659" s="8"/>
    </row>
    <row r="660" spans="7:12">
      <c r="G660" s="5"/>
      <c r="H660" s="5"/>
      <c r="I660" s="5"/>
      <c r="J660" s="5"/>
      <c r="K660" s="5"/>
      <c r="L660" s="8"/>
    </row>
    <row r="661" spans="7:12">
      <c r="G661" s="5"/>
      <c r="H661" s="5"/>
      <c r="I661" s="5"/>
      <c r="J661" s="5"/>
      <c r="K661" s="5"/>
      <c r="L661" s="8"/>
    </row>
    <row r="662" spans="7:12">
      <c r="G662" s="5"/>
      <c r="H662" s="5"/>
      <c r="I662" s="5"/>
      <c r="J662" s="5"/>
      <c r="K662" s="5"/>
      <c r="L662" s="8"/>
    </row>
    <row r="663" spans="7:12">
      <c r="G663" s="5"/>
      <c r="H663" s="5"/>
      <c r="I663" s="5"/>
      <c r="J663" s="5"/>
      <c r="K663" s="5"/>
      <c r="L663" s="8"/>
    </row>
    <row r="664" spans="7:12">
      <c r="G664" s="5"/>
      <c r="H664" s="5"/>
      <c r="I664" s="5"/>
      <c r="J664" s="5"/>
      <c r="K664" s="5"/>
      <c r="L664" s="8"/>
    </row>
    <row r="665" spans="7:12">
      <c r="G665" s="5"/>
      <c r="H665" s="5"/>
      <c r="I665" s="5"/>
      <c r="J665" s="5"/>
      <c r="K665" s="5"/>
      <c r="L665" s="8"/>
    </row>
    <row r="666" spans="7:12">
      <c r="G666" s="5"/>
      <c r="H666" s="5"/>
      <c r="I666" s="5"/>
      <c r="J666" s="5"/>
      <c r="K666" s="5"/>
      <c r="L666" s="8"/>
    </row>
    <row r="667" spans="7:12">
      <c r="G667" s="5"/>
      <c r="H667" s="5"/>
      <c r="I667" s="5"/>
      <c r="J667" s="5"/>
      <c r="K667" s="5"/>
      <c r="L667" s="8"/>
    </row>
    <row r="668" spans="7:12">
      <c r="G668" s="5"/>
      <c r="H668" s="5"/>
      <c r="I668" s="5"/>
      <c r="J668" s="5"/>
      <c r="K668" s="5"/>
      <c r="L668" s="8"/>
    </row>
    <row r="669" spans="7:12">
      <c r="G669" s="5"/>
      <c r="H669" s="5"/>
      <c r="I669" s="5"/>
      <c r="J669" s="5"/>
      <c r="K669" s="5"/>
      <c r="L669" s="8"/>
    </row>
    <row r="670" spans="7:12">
      <c r="G670" s="5"/>
      <c r="H670" s="5"/>
      <c r="I670" s="5"/>
      <c r="J670" s="5"/>
      <c r="K670" s="5"/>
      <c r="L670" s="8"/>
    </row>
    <row r="671" spans="7:12">
      <c r="G671" s="5"/>
      <c r="H671" s="5"/>
      <c r="I671" s="5"/>
      <c r="J671" s="5"/>
      <c r="K671" s="5"/>
      <c r="L671" s="8"/>
    </row>
    <row r="672" spans="7:12">
      <c r="G672" s="5"/>
      <c r="H672" s="5"/>
      <c r="I672" s="5"/>
      <c r="J672" s="5"/>
      <c r="K672" s="5"/>
      <c r="L672" s="8"/>
    </row>
    <row r="673" spans="7:12">
      <c r="G673" s="5"/>
      <c r="H673" s="5"/>
      <c r="I673" s="5"/>
      <c r="J673" s="5"/>
      <c r="K673" s="5"/>
      <c r="L673" s="8"/>
    </row>
    <row r="674" spans="7:12">
      <c r="G674" s="5"/>
      <c r="H674" s="5"/>
      <c r="I674" s="5"/>
      <c r="J674" s="5"/>
      <c r="K674" s="5"/>
      <c r="L674" s="8"/>
    </row>
    <row r="675" spans="7:12">
      <c r="G675" s="5"/>
      <c r="H675" s="5"/>
      <c r="I675" s="5"/>
      <c r="J675" s="5"/>
      <c r="K675" s="5"/>
      <c r="L675" s="8"/>
    </row>
    <row r="676" spans="7:12">
      <c r="G676" s="5"/>
      <c r="H676" s="5"/>
      <c r="I676" s="5"/>
      <c r="J676" s="5"/>
      <c r="K676" s="5"/>
      <c r="L676" s="8"/>
    </row>
    <row r="677" spans="7:12">
      <c r="G677" s="5"/>
      <c r="H677" s="5"/>
      <c r="I677" s="5"/>
      <c r="J677" s="5"/>
      <c r="K677" s="5"/>
      <c r="L677" s="8"/>
    </row>
    <row r="678" spans="7:12">
      <c r="G678" s="5"/>
      <c r="H678" s="5"/>
      <c r="I678" s="5"/>
      <c r="J678" s="5"/>
      <c r="K678" s="5"/>
      <c r="L678" s="8"/>
    </row>
    <row r="679" spans="7:12">
      <c r="G679" s="5"/>
      <c r="H679" s="5"/>
      <c r="I679" s="5"/>
      <c r="J679" s="5"/>
      <c r="K679" s="5"/>
      <c r="L679" s="8"/>
    </row>
    <row r="680" spans="7:12">
      <c r="G680" s="5"/>
      <c r="H680" s="5"/>
      <c r="I680" s="5"/>
      <c r="J680" s="5"/>
      <c r="K680" s="5"/>
      <c r="L680" s="8"/>
    </row>
    <row r="681" spans="7:12">
      <c r="G681" s="5"/>
      <c r="H681" s="5"/>
      <c r="I681" s="5"/>
      <c r="J681" s="5"/>
      <c r="K681" s="5"/>
      <c r="L681" s="8"/>
    </row>
    <row r="682" spans="7:12">
      <c r="G682" s="5"/>
      <c r="H682" s="5"/>
      <c r="I682" s="5"/>
      <c r="J682" s="5"/>
      <c r="K682" s="5"/>
      <c r="L682" s="8"/>
    </row>
    <row r="683" spans="7:12">
      <c r="G683" s="5"/>
      <c r="H683" s="5"/>
      <c r="I683" s="5"/>
      <c r="J683" s="5"/>
      <c r="K683" s="5"/>
      <c r="L683" s="8"/>
    </row>
    <row r="684" spans="7:12">
      <c r="G684" s="5"/>
      <c r="H684" s="5"/>
      <c r="I684" s="5"/>
      <c r="J684" s="5"/>
      <c r="K684" s="5"/>
      <c r="L684" s="8"/>
    </row>
    <row r="685" spans="7:12">
      <c r="G685" s="5"/>
      <c r="H685" s="5"/>
      <c r="I685" s="5"/>
      <c r="J685" s="5"/>
      <c r="K685" s="5"/>
      <c r="L685" s="8"/>
    </row>
    <row r="686" spans="7:12">
      <c r="G686" s="5"/>
      <c r="H686" s="5"/>
      <c r="I686" s="5"/>
      <c r="J686" s="5"/>
      <c r="K686" s="5"/>
      <c r="L686" s="8"/>
    </row>
    <row r="687" spans="7:12">
      <c r="G687" s="5"/>
      <c r="H687" s="5"/>
      <c r="I687" s="5"/>
      <c r="J687" s="5"/>
      <c r="K687" s="5"/>
      <c r="L687" s="8"/>
    </row>
    <row r="688" spans="7:12">
      <c r="G688" s="5"/>
      <c r="H688" s="5"/>
      <c r="I688" s="5"/>
      <c r="J688" s="5"/>
      <c r="K688" s="5"/>
      <c r="L688" s="8"/>
    </row>
    <row r="689" spans="7:12">
      <c r="G689" s="5"/>
      <c r="H689" s="5"/>
      <c r="I689" s="5"/>
      <c r="J689" s="5"/>
      <c r="K689" s="5"/>
      <c r="L689" s="8"/>
    </row>
    <row r="690" spans="7:12">
      <c r="G690" s="5"/>
      <c r="H690" s="5"/>
      <c r="I690" s="5"/>
      <c r="J690" s="5"/>
      <c r="K690" s="5"/>
      <c r="L690" s="8"/>
    </row>
    <row r="691" spans="7:12">
      <c r="G691" s="5"/>
      <c r="H691" s="5"/>
      <c r="I691" s="5"/>
      <c r="J691" s="5"/>
      <c r="K691" s="5"/>
      <c r="L691" s="8"/>
    </row>
    <row r="692" spans="7:12">
      <c r="G692" s="5"/>
      <c r="H692" s="5"/>
      <c r="I692" s="5"/>
      <c r="J692" s="5"/>
      <c r="K692" s="5"/>
      <c r="L692" s="8"/>
    </row>
    <row r="693" spans="7:12">
      <c r="G693" s="5"/>
      <c r="H693" s="5"/>
      <c r="I693" s="5"/>
      <c r="J693" s="5"/>
      <c r="K693" s="5"/>
      <c r="L693" s="8"/>
    </row>
    <row r="694" spans="7:12">
      <c r="G694" s="5"/>
      <c r="H694" s="5"/>
      <c r="I694" s="5"/>
      <c r="J694" s="5"/>
      <c r="K694" s="5"/>
      <c r="L694" s="8"/>
    </row>
    <row r="695" spans="7:12">
      <c r="G695" s="5"/>
      <c r="H695" s="5"/>
      <c r="I695" s="5"/>
      <c r="J695" s="5"/>
      <c r="K695" s="5"/>
      <c r="L695" s="8"/>
    </row>
    <row r="696" spans="7:12">
      <c r="G696" s="5"/>
      <c r="H696" s="5"/>
      <c r="I696" s="5"/>
      <c r="J696" s="5"/>
      <c r="K696" s="5"/>
      <c r="L696" s="8"/>
    </row>
    <row r="697" spans="7:12">
      <c r="G697" s="5"/>
      <c r="H697" s="5"/>
      <c r="I697" s="5"/>
      <c r="J697" s="5"/>
      <c r="K697" s="5"/>
      <c r="L697" s="8"/>
    </row>
    <row r="698" spans="7:12">
      <c r="G698" s="5"/>
      <c r="H698" s="5"/>
      <c r="I698" s="5"/>
      <c r="J698" s="5"/>
      <c r="K698" s="5"/>
      <c r="L698" s="8"/>
    </row>
    <row r="699" spans="7:12">
      <c r="G699" s="5"/>
      <c r="H699" s="5"/>
      <c r="I699" s="5"/>
      <c r="J699" s="5"/>
      <c r="K699" s="5"/>
      <c r="L699" s="8"/>
    </row>
    <row r="700" spans="7:12">
      <c r="G700" s="5"/>
      <c r="H700" s="5"/>
      <c r="I700" s="5"/>
      <c r="J700" s="5"/>
      <c r="K700" s="5"/>
      <c r="L700" s="8"/>
    </row>
    <row r="701" spans="7:12">
      <c r="G701" s="5"/>
      <c r="H701" s="5"/>
      <c r="I701" s="5"/>
      <c r="J701" s="5"/>
      <c r="K701" s="5"/>
      <c r="L701" s="8"/>
    </row>
    <row r="702" spans="7:12">
      <c r="G702" s="5"/>
      <c r="H702" s="5"/>
      <c r="I702" s="5"/>
      <c r="J702" s="5"/>
      <c r="K702" s="5"/>
      <c r="L702" s="8"/>
    </row>
    <row r="703" spans="7:12">
      <c r="G703" s="5"/>
      <c r="H703" s="5"/>
      <c r="I703" s="5"/>
      <c r="J703" s="5"/>
      <c r="K703" s="5"/>
      <c r="L703" s="8"/>
    </row>
    <row r="704" spans="7:12">
      <c r="G704" s="5"/>
      <c r="H704" s="5"/>
      <c r="I704" s="5"/>
      <c r="J704" s="5"/>
      <c r="K704" s="5"/>
      <c r="L704" s="8"/>
    </row>
    <row r="705" spans="7:12">
      <c r="G705" s="5"/>
      <c r="H705" s="5"/>
      <c r="I705" s="5"/>
      <c r="J705" s="5"/>
      <c r="K705" s="5"/>
      <c r="L705" s="8"/>
    </row>
    <row r="706" spans="7:12">
      <c r="G706" s="5"/>
      <c r="H706" s="5"/>
      <c r="I706" s="5"/>
      <c r="J706" s="5"/>
      <c r="K706" s="5"/>
      <c r="L706" s="8"/>
    </row>
    <row r="707" spans="7:12">
      <c r="G707" s="5"/>
      <c r="H707" s="5"/>
      <c r="I707" s="5"/>
      <c r="J707" s="5"/>
      <c r="K707" s="5"/>
      <c r="L707" s="8"/>
    </row>
    <row r="708" spans="7:12">
      <c r="G708" s="5"/>
      <c r="H708" s="5"/>
      <c r="I708" s="5"/>
      <c r="J708" s="5"/>
      <c r="K708" s="5"/>
      <c r="L708" s="8"/>
    </row>
    <row r="709" spans="7:12">
      <c r="G709" s="5"/>
      <c r="H709" s="5"/>
      <c r="I709" s="5"/>
      <c r="J709" s="5"/>
      <c r="K709" s="5"/>
      <c r="L709" s="8"/>
    </row>
    <row r="710" spans="7:12">
      <c r="G710" s="5"/>
      <c r="H710" s="5"/>
      <c r="I710" s="5"/>
      <c r="J710" s="5"/>
      <c r="K710" s="5"/>
      <c r="L710" s="8"/>
    </row>
    <row r="711" spans="7:12">
      <c r="G711" s="5"/>
      <c r="H711" s="5"/>
      <c r="I711" s="5"/>
      <c r="J711" s="5"/>
      <c r="K711" s="5"/>
      <c r="L711" s="8"/>
    </row>
    <row r="712" spans="7:12">
      <c r="G712" s="5"/>
      <c r="H712" s="5"/>
      <c r="I712" s="5"/>
      <c r="J712" s="5"/>
      <c r="K712" s="5"/>
      <c r="L712" s="8"/>
    </row>
    <row r="713" spans="7:12">
      <c r="G713" s="5"/>
      <c r="H713" s="5"/>
      <c r="I713" s="5"/>
      <c r="J713" s="5"/>
      <c r="K713" s="5"/>
      <c r="L713" s="8"/>
    </row>
    <row r="714" spans="7:12">
      <c r="G714" s="5"/>
      <c r="H714" s="5"/>
      <c r="I714" s="5"/>
      <c r="J714" s="5"/>
      <c r="K714" s="5"/>
      <c r="L714" s="8"/>
    </row>
    <row r="715" spans="7:12">
      <c r="G715" s="5"/>
      <c r="H715" s="5"/>
      <c r="I715" s="5"/>
      <c r="J715" s="5"/>
      <c r="K715" s="5"/>
      <c r="L715" s="8"/>
    </row>
    <row r="716" spans="7:12">
      <c r="G716" s="5"/>
      <c r="H716" s="5"/>
      <c r="I716" s="5"/>
      <c r="J716" s="5"/>
      <c r="K716" s="5"/>
      <c r="L716" s="8"/>
    </row>
    <row r="717" spans="7:12">
      <c r="G717" s="5"/>
      <c r="H717" s="5"/>
      <c r="I717" s="5"/>
      <c r="J717" s="5"/>
      <c r="K717" s="5"/>
      <c r="L717" s="8"/>
    </row>
    <row r="718" spans="7:12">
      <c r="G718" s="5"/>
      <c r="H718" s="5"/>
      <c r="I718" s="5"/>
      <c r="J718" s="5"/>
      <c r="K718" s="5"/>
      <c r="L718" s="8"/>
    </row>
    <row r="719" spans="7:12">
      <c r="G719" s="5"/>
      <c r="H719" s="5"/>
      <c r="I719" s="5"/>
      <c r="J719" s="5"/>
      <c r="K719" s="5"/>
      <c r="L719" s="8"/>
    </row>
    <row r="720" spans="7:12">
      <c r="G720" s="5"/>
      <c r="H720" s="5"/>
      <c r="I720" s="5"/>
      <c r="J720" s="5"/>
      <c r="K720" s="5"/>
      <c r="L720" s="8"/>
    </row>
    <row r="721" spans="7:12">
      <c r="G721" s="5"/>
      <c r="H721" s="5"/>
      <c r="I721" s="5"/>
      <c r="J721" s="5"/>
      <c r="K721" s="5"/>
      <c r="L721" s="8"/>
    </row>
    <row r="722" spans="7:12">
      <c r="G722" s="5"/>
      <c r="H722" s="5"/>
      <c r="I722" s="5"/>
      <c r="J722" s="5"/>
      <c r="K722" s="5"/>
      <c r="L722" s="8"/>
    </row>
    <row r="723" spans="7:12">
      <c r="G723" s="5"/>
      <c r="H723" s="5"/>
      <c r="I723" s="5"/>
      <c r="J723" s="5"/>
      <c r="K723" s="5"/>
      <c r="L723" s="8"/>
    </row>
    <row r="724" spans="7:12">
      <c r="G724" s="5"/>
      <c r="H724" s="5"/>
      <c r="I724" s="5"/>
      <c r="J724" s="5"/>
      <c r="K724" s="5"/>
      <c r="L724" s="8"/>
    </row>
    <row r="725" spans="7:12">
      <c r="G725" s="5"/>
      <c r="H725" s="5"/>
      <c r="I725" s="5"/>
      <c r="J725" s="5"/>
      <c r="K725" s="5"/>
      <c r="L725" s="8"/>
    </row>
    <row r="726" spans="7:12">
      <c r="G726" s="5"/>
      <c r="H726" s="5"/>
      <c r="I726" s="5"/>
      <c r="J726" s="5"/>
      <c r="K726" s="5"/>
      <c r="L726" s="8"/>
    </row>
    <row r="727" spans="7:12">
      <c r="G727" s="5"/>
      <c r="H727" s="5"/>
      <c r="I727" s="5"/>
      <c r="J727" s="5"/>
      <c r="K727" s="5"/>
      <c r="L727" s="8"/>
    </row>
    <row r="728" spans="7:12">
      <c r="G728" s="5"/>
      <c r="H728" s="5"/>
      <c r="I728" s="5"/>
      <c r="J728" s="5"/>
      <c r="K728" s="5"/>
      <c r="L728" s="8"/>
    </row>
    <row r="729" spans="7:12">
      <c r="G729" s="5"/>
      <c r="H729" s="5"/>
      <c r="I729" s="5"/>
      <c r="J729" s="5"/>
      <c r="K729" s="5"/>
      <c r="L729" s="8"/>
    </row>
    <row r="730" spans="7:12">
      <c r="G730" s="5"/>
      <c r="H730" s="5"/>
      <c r="I730" s="5"/>
      <c r="J730" s="5"/>
      <c r="K730" s="5"/>
      <c r="L730" s="8"/>
    </row>
    <row r="731" spans="7:12">
      <c r="G731" s="5"/>
      <c r="H731" s="5"/>
      <c r="I731" s="5"/>
      <c r="J731" s="5"/>
      <c r="K731" s="5"/>
      <c r="L731" s="8"/>
    </row>
    <row r="732" spans="7:12">
      <c r="G732" s="5"/>
      <c r="H732" s="5"/>
      <c r="I732" s="5"/>
      <c r="J732" s="5"/>
      <c r="K732" s="5"/>
      <c r="L732" s="8"/>
    </row>
    <row r="733" spans="7:12">
      <c r="G733" s="5"/>
      <c r="H733" s="5"/>
      <c r="I733" s="5"/>
      <c r="J733" s="5"/>
      <c r="K733" s="5"/>
      <c r="L733" s="8"/>
    </row>
    <row r="734" spans="7:12">
      <c r="G734" s="5"/>
      <c r="H734" s="5"/>
      <c r="I734" s="5"/>
      <c r="J734" s="5"/>
      <c r="K734" s="5"/>
      <c r="L734" s="8"/>
    </row>
    <row r="735" spans="7:12">
      <c r="G735" s="5"/>
      <c r="H735" s="5"/>
      <c r="I735" s="5"/>
      <c r="J735" s="5"/>
      <c r="K735" s="5"/>
      <c r="L735" s="8"/>
    </row>
    <row r="736" spans="7:12">
      <c r="G736" s="5"/>
      <c r="H736" s="5"/>
      <c r="I736" s="5"/>
      <c r="J736" s="5"/>
      <c r="K736" s="5"/>
      <c r="L736" s="8"/>
    </row>
    <row r="737" spans="7:12">
      <c r="G737" s="5"/>
      <c r="H737" s="5"/>
      <c r="I737" s="5"/>
      <c r="J737" s="5"/>
      <c r="K737" s="5"/>
      <c r="L737" s="8"/>
    </row>
    <row r="738" spans="7:12">
      <c r="G738" s="5"/>
      <c r="H738" s="5"/>
      <c r="I738" s="5"/>
      <c r="J738" s="5"/>
      <c r="K738" s="5"/>
      <c r="L738" s="8"/>
    </row>
    <row r="739" spans="7:12">
      <c r="G739" s="5"/>
      <c r="H739" s="5"/>
      <c r="I739" s="5"/>
      <c r="J739" s="5"/>
      <c r="K739" s="5"/>
      <c r="L739" s="8"/>
    </row>
    <row r="740" spans="7:12">
      <c r="G740" s="5"/>
      <c r="H740" s="5"/>
      <c r="I740" s="5"/>
      <c r="J740" s="5"/>
      <c r="K740" s="5"/>
      <c r="L740" s="8"/>
    </row>
    <row r="741" spans="7:12">
      <c r="G741" s="5"/>
      <c r="H741" s="5"/>
      <c r="I741" s="5"/>
      <c r="J741" s="5"/>
      <c r="K741" s="5"/>
      <c r="L741" s="8"/>
    </row>
    <row r="742" spans="7:12">
      <c r="G742" s="5"/>
      <c r="H742" s="5"/>
      <c r="I742" s="5"/>
      <c r="J742" s="5"/>
      <c r="K742" s="5"/>
      <c r="L742" s="8"/>
    </row>
    <row r="743" spans="7:12">
      <c r="G743" s="5"/>
      <c r="H743" s="5"/>
      <c r="I743" s="5"/>
      <c r="J743" s="5"/>
      <c r="K743" s="5"/>
      <c r="L743" s="8"/>
    </row>
    <row r="744" spans="7:12">
      <c r="G744" s="5"/>
      <c r="H744" s="5"/>
      <c r="I744" s="5"/>
      <c r="J744" s="5"/>
      <c r="K744" s="5"/>
      <c r="L744" s="8"/>
    </row>
    <row r="745" spans="7:12">
      <c r="G745" s="5"/>
      <c r="H745" s="5"/>
      <c r="I745" s="5"/>
      <c r="J745" s="5"/>
      <c r="K745" s="5"/>
      <c r="L745" s="8"/>
    </row>
    <row r="746" spans="7:12">
      <c r="G746" s="5"/>
      <c r="H746" s="5"/>
      <c r="I746" s="5"/>
      <c r="J746" s="5"/>
      <c r="K746" s="5"/>
      <c r="L746" s="8"/>
    </row>
    <row r="747" spans="7:12">
      <c r="G747" s="5"/>
      <c r="H747" s="5"/>
      <c r="I747" s="5"/>
      <c r="J747" s="5"/>
      <c r="K747" s="5"/>
      <c r="L747" s="8"/>
    </row>
    <row r="748" spans="7:12">
      <c r="G748" s="5"/>
      <c r="H748" s="5"/>
      <c r="I748" s="5"/>
      <c r="J748" s="5"/>
      <c r="K748" s="5"/>
      <c r="L748" s="8"/>
    </row>
    <row r="749" spans="7:12">
      <c r="G749" s="5"/>
      <c r="H749" s="5"/>
      <c r="I749" s="5"/>
      <c r="J749" s="5"/>
      <c r="K749" s="5"/>
      <c r="L749" s="8"/>
    </row>
    <row r="750" spans="7:12">
      <c r="G750" s="5"/>
      <c r="H750" s="5"/>
      <c r="I750" s="5"/>
      <c r="J750" s="5"/>
      <c r="K750" s="5"/>
      <c r="L750" s="8"/>
    </row>
    <row r="751" spans="7:12">
      <c r="G751" s="5"/>
      <c r="H751" s="5"/>
      <c r="I751" s="5"/>
      <c r="J751" s="5"/>
      <c r="K751" s="5"/>
      <c r="L751" s="8"/>
    </row>
    <row r="752" spans="7:12">
      <c r="G752" s="5"/>
      <c r="H752" s="5"/>
      <c r="I752" s="5"/>
      <c r="J752" s="5"/>
      <c r="K752" s="5"/>
      <c r="L752" s="8"/>
    </row>
    <row r="753" spans="7:12">
      <c r="G753" s="5"/>
      <c r="H753" s="5"/>
      <c r="I753" s="5"/>
      <c r="J753" s="5"/>
      <c r="K753" s="5"/>
      <c r="L753" s="8"/>
    </row>
    <row r="754" spans="7:12">
      <c r="G754" s="5"/>
      <c r="H754" s="5"/>
      <c r="I754" s="5"/>
      <c r="J754" s="5"/>
      <c r="K754" s="5"/>
      <c r="L754" s="8"/>
    </row>
    <row r="755" spans="7:12">
      <c r="G755" s="5"/>
      <c r="H755" s="5"/>
      <c r="I755" s="5"/>
      <c r="J755" s="5"/>
      <c r="K755" s="5"/>
      <c r="L755" s="8"/>
    </row>
    <row r="756" spans="7:12">
      <c r="G756" s="5"/>
      <c r="H756" s="5"/>
      <c r="I756" s="5"/>
      <c r="J756" s="5"/>
      <c r="K756" s="5"/>
      <c r="L756" s="8"/>
    </row>
    <row r="757" spans="7:12">
      <c r="G757" s="5"/>
      <c r="H757" s="5"/>
      <c r="I757" s="5"/>
      <c r="J757" s="5"/>
      <c r="K757" s="5"/>
      <c r="L757" s="8"/>
    </row>
    <row r="758" spans="7:12">
      <c r="G758" s="5"/>
      <c r="H758" s="5"/>
      <c r="I758" s="5"/>
      <c r="J758" s="5"/>
      <c r="K758" s="5"/>
      <c r="L758" s="8"/>
    </row>
    <row r="759" spans="7:12">
      <c r="G759" s="5"/>
      <c r="H759" s="5"/>
      <c r="I759" s="5"/>
      <c r="J759" s="5"/>
      <c r="K759" s="5"/>
      <c r="L759" s="8"/>
    </row>
    <row r="760" spans="7:12">
      <c r="G760" s="5"/>
      <c r="H760" s="5"/>
      <c r="I760" s="5"/>
      <c r="J760" s="5"/>
      <c r="K760" s="5"/>
      <c r="L760" s="8"/>
    </row>
    <row r="761" spans="7:12">
      <c r="G761" s="5"/>
      <c r="H761" s="5"/>
      <c r="I761" s="5"/>
      <c r="J761" s="5"/>
      <c r="K761" s="5"/>
      <c r="L761" s="8"/>
    </row>
    <row r="762" spans="7:12">
      <c r="G762" s="5"/>
      <c r="H762" s="5"/>
      <c r="I762" s="5"/>
      <c r="J762" s="5"/>
      <c r="K762" s="5"/>
      <c r="L762" s="8"/>
    </row>
    <row r="763" spans="7:12">
      <c r="G763" s="5"/>
      <c r="H763" s="5"/>
      <c r="I763" s="5"/>
      <c r="J763" s="5"/>
      <c r="K763" s="5"/>
      <c r="L763" s="8"/>
    </row>
    <row r="764" spans="7:12">
      <c r="G764" s="5"/>
      <c r="H764" s="5"/>
      <c r="I764" s="5"/>
      <c r="J764" s="5"/>
      <c r="K764" s="5"/>
      <c r="L764" s="8"/>
    </row>
    <row r="765" spans="7:12">
      <c r="G765" s="5"/>
      <c r="H765" s="5"/>
      <c r="I765" s="5"/>
      <c r="J765" s="5"/>
      <c r="K765" s="5"/>
      <c r="L765" s="8"/>
    </row>
    <row r="766" spans="7:12">
      <c r="G766" s="5"/>
      <c r="H766" s="5"/>
      <c r="I766" s="5"/>
      <c r="J766" s="5"/>
      <c r="K766" s="5"/>
      <c r="L766" s="8"/>
    </row>
    <row r="767" spans="7:12">
      <c r="G767" s="5"/>
      <c r="H767" s="5"/>
      <c r="I767" s="5"/>
      <c r="J767" s="5"/>
      <c r="K767" s="5"/>
      <c r="L767" s="8"/>
    </row>
    <row r="768" spans="7:12">
      <c r="G768" s="5"/>
      <c r="H768" s="5"/>
      <c r="I768" s="5"/>
      <c r="J768" s="5"/>
      <c r="K768" s="5"/>
      <c r="L768" s="8"/>
    </row>
    <row r="769" spans="7:12">
      <c r="G769" s="5"/>
      <c r="H769" s="5"/>
      <c r="I769" s="5"/>
      <c r="J769" s="5"/>
      <c r="K769" s="5"/>
      <c r="L769" s="8"/>
    </row>
    <row r="770" spans="7:12">
      <c r="G770" s="5"/>
      <c r="H770" s="5"/>
      <c r="I770" s="5"/>
      <c r="J770" s="5"/>
      <c r="K770" s="5"/>
      <c r="L770" s="8"/>
    </row>
    <row r="771" spans="7:12">
      <c r="G771" s="5"/>
      <c r="H771" s="5"/>
      <c r="I771" s="5"/>
      <c r="J771" s="5"/>
      <c r="K771" s="5"/>
      <c r="L771" s="8"/>
    </row>
    <row r="772" spans="7:12">
      <c r="G772" s="5"/>
      <c r="H772" s="5"/>
      <c r="I772" s="5"/>
      <c r="J772" s="5"/>
      <c r="K772" s="5"/>
      <c r="L772" s="8"/>
    </row>
    <row r="773" spans="7:12">
      <c r="G773" s="5"/>
      <c r="H773" s="5"/>
      <c r="I773" s="5"/>
      <c r="J773" s="5"/>
      <c r="K773" s="5"/>
      <c r="L773" s="8"/>
    </row>
    <row r="774" spans="7:12">
      <c r="G774" s="5"/>
      <c r="H774" s="5"/>
      <c r="I774" s="5"/>
      <c r="J774" s="5"/>
      <c r="K774" s="5"/>
      <c r="L774" s="8"/>
    </row>
    <row r="775" spans="7:12">
      <c r="G775" s="5"/>
      <c r="H775" s="5"/>
      <c r="I775" s="5"/>
      <c r="J775" s="5"/>
      <c r="K775" s="5"/>
      <c r="L775" s="8"/>
    </row>
    <row r="776" spans="7:12">
      <c r="G776" s="5"/>
      <c r="H776" s="5"/>
      <c r="I776" s="5"/>
      <c r="J776" s="5"/>
      <c r="K776" s="5"/>
      <c r="L776" s="8"/>
    </row>
    <row r="777" spans="7:12">
      <c r="G777" s="5"/>
      <c r="H777" s="5"/>
      <c r="I777" s="5"/>
      <c r="J777" s="5"/>
      <c r="K777" s="5"/>
      <c r="L777" s="8"/>
    </row>
    <row r="778" spans="7:12">
      <c r="G778" s="5"/>
      <c r="H778" s="5"/>
      <c r="I778" s="5"/>
      <c r="J778" s="5"/>
      <c r="K778" s="5"/>
      <c r="L778" s="8"/>
    </row>
    <row r="779" spans="7:12">
      <c r="G779" s="5"/>
      <c r="H779" s="5"/>
      <c r="I779" s="5"/>
      <c r="J779" s="5"/>
      <c r="K779" s="5"/>
      <c r="L779" s="8"/>
    </row>
    <row r="780" spans="7:12">
      <c r="G780" s="5"/>
      <c r="H780" s="5"/>
      <c r="I780" s="5"/>
      <c r="J780" s="5"/>
      <c r="K780" s="5"/>
      <c r="L780" s="8"/>
    </row>
    <row r="781" spans="7:12">
      <c r="G781" s="5"/>
      <c r="H781" s="5"/>
      <c r="I781" s="5"/>
      <c r="J781" s="5"/>
      <c r="K781" s="5"/>
      <c r="L781" s="8"/>
    </row>
    <row r="782" spans="7:12">
      <c r="G782" s="5"/>
      <c r="H782" s="5"/>
      <c r="I782" s="5"/>
      <c r="J782" s="5"/>
      <c r="K782" s="5"/>
      <c r="L782" s="8"/>
    </row>
    <row r="783" spans="7:12">
      <c r="G783" s="5"/>
      <c r="H783" s="5"/>
      <c r="I783" s="5"/>
      <c r="J783" s="5"/>
      <c r="K783" s="5"/>
      <c r="L783" s="8"/>
    </row>
    <row r="784" spans="7:12">
      <c r="G784" s="5"/>
      <c r="H784" s="5"/>
      <c r="I784" s="5"/>
      <c r="J784" s="5"/>
      <c r="K784" s="5"/>
      <c r="L784" s="8"/>
    </row>
    <row r="785" spans="7:12">
      <c r="G785" s="5"/>
      <c r="H785" s="5"/>
      <c r="I785" s="5"/>
      <c r="J785" s="5"/>
      <c r="K785" s="5"/>
      <c r="L785" s="8"/>
    </row>
    <row r="786" spans="7:12">
      <c r="G786" s="5"/>
      <c r="H786" s="5"/>
      <c r="I786" s="5"/>
      <c r="J786" s="5"/>
      <c r="K786" s="5"/>
      <c r="L786" s="8"/>
    </row>
    <row r="787" spans="7:12">
      <c r="G787" s="5"/>
      <c r="H787" s="5"/>
      <c r="I787" s="5"/>
      <c r="J787" s="5"/>
      <c r="K787" s="5"/>
      <c r="L787" s="8"/>
    </row>
    <row r="788" spans="7:12">
      <c r="G788" s="5"/>
      <c r="H788" s="5"/>
      <c r="I788" s="5"/>
      <c r="J788" s="5"/>
      <c r="K788" s="5"/>
      <c r="L788" s="8"/>
    </row>
    <row r="789" spans="7:12">
      <c r="G789" s="5"/>
      <c r="H789" s="5"/>
      <c r="I789" s="5"/>
      <c r="J789" s="5"/>
      <c r="K789" s="5"/>
      <c r="L789" s="8"/>
    </row>
    <row r="790" spans="7:12">
      <c r="G790" s="5"/>
      <c r="H790" s="5"/>
      <c r="I790" s="5"/>
      <c r="J790" s="5"/>
      <c r="K790" s="5"/>
      <c r="L790" s="8"/>
    </row>
    <row r="791" spans="7:12">
      <c r="G791" s="5"/>
      <c r="H791" s="5"/>
      <c r="I791" s="5"/>
      <c r="J791" s="5"/>
      <c r="K791" s="5"/>
      <c r="L791" s="8"/>
    </row>
    <row r="792" spans="7:12">
      <c r="G792" s="5"/>
      <c r="H792" s="5"/>
      <c r="I792" s="5"/>
      <c r="J792" s="5"/>
      <c r="K792" s="5"/>
      <c r="L792" s="8"/>
    </row>
    <row r="793" spans="7:12">
      <c r="G793" s="5"/>
      <c r="H793" s="5"/>
      <c r="I793" s="5"/>
      <c r="J793" s="5"/>
      <c r="K793" s="5"/>
      <c r="L793" s="8"/>
    </row>
    <row r="794" spans="7:12">
      <c r="G794" s="5"/>
      <c r="H794" s="5"/>
      <c r="I794" s="5"/>
      <c r="J794" s="5"/>
      <c r="K794" s="5"/>
      <c r="L794" s="8"/>
    </row>
    <row r="795" spans="7:12">
      <c r="G795" s="5"/>
      <c r="H795" s="5"/>
      <c r="I795" s="5"/>
      <c r="J795" s="5"/>
      <c r="K795" s="5"/>
      <c r="L795" s="8"/>
    </row>
    <row r="796" spans="7:12">
      <c r="G796" s="5"/>
      <c r="H796" s="5"/>
      <c r="I796" s="5"/>
      <c r="J796" s="5"/>
      <c r="K796" s="5"/>
      <c r="L796" s="8"/>
    </row>
    <row r="797" spans="7:12">
      <c r="G797" s="5"/>
      <c r="H797" s="5"/>
      <c r="I797" s="5"/>
      <c r="J797" s="5"/>
      <c r="K797" s="5"/>
      <c r="L797" s="8"/>
    </row>
    <row r="798" spans="7:12">
      <c r="G798" s="5"/>
      <c r="H798" s="5"/>
      <c r="I798" s="5"/>
      <c r="J798" s="5"/>
      <c r="K798" s="5"/>
      <c r="L798" s="8"/>
    </row>
    <row r="799" spans="7:12">
      <c r="G799" s="5"/>
      <c r="H799" s="5"/>
      <c r="I799" s="5"/>
      <c r="J799" s="5"/>
      <c r="K799" s="5"/>
      <c r="L799" s="8"/>
    </row>
    <row r="800" spans="7:12">
      <c r="G800" s="5"/>
      <c r="H800" s="5"/>
      <c r="I800" s="5"/>
      <c r="J800" s="5"/>
      <c r="K800" s="5"/>
      <c r="L800" s="8"/>
    </row>
    <row r="801" spans="7:12">
      <c r="G801" s="5"/>
      <c r="H801" s="5"/>
      <c r="I801" s="5"/>
      <c r="J801" s="5"/>
      <c r="K801" s="5"/>
      <c r="L801" s="8"/>
    </row>
    <row r="802" spans="7:12">
      <c r="G802" s="5"/>
      <c r="H802" s="5"/>
      <c r="I802" s="5"/>
      <c r="J802" s="5"/>
      <c r="K802" s="5"/>
      <c r="L802" s="8"/>
    </row>
    <row r="803" spans="7:12">
      <c r="G803" s="5"/>
      <c r="H803" s="5"/>
      <c r="I803" s="5"/>
      <c r="J803" s="5"/>
      <c r="K803" s="5"/>
      <c r="L803" s="8"/>
    </row>
    <row r="804" spans="7:12">
      <c r="G804" s="5"/>
      <c r="H804" s="5"/>
      <c r="I804" s="5"/>
      <c r="J804" s="5"/>
      <c r="K804" s="5"/>
      <c r="L804" s="8"/>
    </row>
    <row r="805" spans="7:12">
      <c r="G805" s="5"/>
      <c r="H805" s="5"/>
      <c r="I805" s="5"/>
      <c r="J805" s="5"/>
      <c r="K805" s="5"/>
      <c r="L805" s="8"/>
    </row>
    <row r="806" spans="7:12">
      <c r="G806" s="5"/>
      <c r="H806" s="5"/>
      <c r="I806" s="5"/>
      <c r="J806" s="5"/>
      <c r="K806" s="5"/>
      <c r="L806" s="8"/>
    </row>
    <row r="807" spans="7:12">
      <c r="G807" s="5"/>
      <c r="H807" s="5"/>
      <c r="I807" s="5"/>
      <c r="J807" s="5"/>
      <c r="K807" s="5"/>
      <c r="L807" s="8"/>
    </row>
    <row r="808" spans="7:12">
      <c r="G808" s="5"/>
      <c r="H808" s="5"/>
      <c r="I808" s="5"/>
      <c r="J808" s="5"/>
      <c r="K808" s="5"/>
      <c r="L808" s="8"/>
    </row>
    <row r="809" spans="7:12">
      <c r="G809" s="5"/>
      <c r="H809" s="5"/>
      <c r="I809" s="5"/>
      <c r="J809" s="5"/>
      <c r="K809" s="5"/>
      <c r="L809" s="8"/>
    </row>
    <row r="810" spans="7:12">
      <c r="G810" s="5"/>
      <c r="H810" s="5"/>
      <c r="I810" s="5"/>
      <c r="J810" s="5"/>
      <c r="K810" s="5"/>
      <c r="L810" s="8"/>
    </row>
    <row r="811" spans="7:12">
      <c r="G811" s="5"/>
      <c r="H811" s="5"/>
      <c r="I811" s="5"/>
      <c r="J811" s="5"/>
      <c r="K811" s="5"/>
      <c r="L811" s="8"/>
    </row>
    <row r="812" spans="7:12">
      <c r="G812" s="5"/>
      <c r="H812" s="5"/>
      <c r="I812" s="5"/>
      <c r="J812" s="5"/>
      <c r="K812" s="5"/>
      <c r="L812" s="8"/>
    </row>
    <row r="813" spans="7:12">
      <c r="G813" s="5"/>
      <c r="H813" s="5"/>
      <c r="I813" s="5"/>
      <c r="J813" s="5"/>
      <c r="K813" s="5"/>
      <c r="L813" s="8"/>
    </row>
    <row r="814" spans="7:12">
      <c r="G814" s="5"/>
      <c r="H814" s="5"/>
      <c r="I814" s="5"/>
      <c r="J814" s="5"/>
      <c r="K814" s="5"/>
      <c r="L814" s="8"/>
    </row>
    <row r="815" spans="7:12">
      <c r="G815" s="5"/>
      <c r="H815" s="5"/>
      <c r="I815" s="5"/>
      <c r="J815" s="5"/>
      <c r="K815" s="5"/>
      <c r="L815" s="8"/>
    </row>
    <row r="816" spans="7:12">
      <c r="G816" s="5"/>
      <c r="H816" s="5"/>
      <c r="I816" s="5"/>
      <c r="J816" s="5"/>
      <c r="K816" s="5"/>
      <c r="L816" s="8"/>
    </row>
    <row r="817" spans="7:12">
      <c r="G817" s="5"/>
      <c r="H817" s="5"/>
      <c r="I817" s="5"/>
      <c r="J817" s="5"/>
      <c r="K817" s="5"/>
      <c r="L817" s="8"/>
    </row>
    <row r="818" spans="7:12">
      <c r="G818" s="5"/>
      <c r="H818" s="5"/>
      <c r="I818" s="5"/>
      <c r="J818" s="5"/>
      <c r="K818" s="5"/>
      <c r="L818" s="8"/>
    </row>
    <row r="819" spans="7:12">
      <c r="G819" s="5"/>
      <c r="H819" s="5"/>
      <c r="I819" s="5"/>
      <c r="J819" s="5"/>
      <c r="K819" s="5"/>
      <c r="L819" s="8"/>
    </row>
    <row r="820" spans="7:12">
      <c r="G820" s="5"/>
      <c r="H820" s="5"/>
      <c r="I820" s="5"/>
      <c r="J820" s="5"/>
      <c r="K820" s="5"/>
      <c r="L820" s="8"/>
    </row>
    <row r="821" spans="7:12">
      <c r="G821" s="5"/>
      <c r="H821" s="5"/>
      <c r="I821" s="5"/>
      <c r="J821" s="5"/>
      <c r="K821" s="5"/>
      <c r="L821" s="8"/>
    </row>
    <row r="822" spans="7:12">
      <c r="G822" s="5"/>
      <c r="H822" s="5"/>
      <c r="I822" s="5"/>
      <c r="J822" s="5"/>
      <c r="K822" s="5"/>
      <c r="L822" s="8"/>
    </row>
    <row r="823" spans="7:12">
      <c r="G823" s="5"/>
      <c r="H823" s="5"/>
      <c r="I823" s="5"/>
      <c r="J823" s="5"/>
      <c r="K823" s="5"/>
      <c r="L823" s="8"/>
    </row>
    <row r="824" spans="7:12">
      <c r="G824" s="5"/>
      <c r="H824" s="5"/>
      <c r="I824" s="5"/>
      <c r="J824" s="5"/>
      <c r="K824" s="5"/>
      <c r="L824" s="8"/>
    </row>
    <row r="825" spans="7:12">
      <c r="G825" s="5"/>
      <c r="H825" s="5"/>
      <c r="I825" s="5"/>
      <c r="J825" s="5"/>
      <c r="K825" s="5"/>
      <c r="L825" s="8"/>
    </row>
    <row r="826" spans="7:12">
      <c r="G826" s="5"/>
      <c r="H826" s="5"/>
      <c r="I826" s="5"/>
      <c r="J826" s="5"/>
      <c r="K826" s="5"/>
      <c r="L826" s="8"/>
    </row>
    <row r="827" spans="7:12">
      <c r="G827" s="5"/>
      <c r="H827" s="5"/>
      <c r="I827" s="5"/>
      <c r="J827" s="5"/>
      <c r="K827" s="5"/>
      <c r="L827" s="8"/>
    </row>
    <row r="828" spans="7:12">
      <c r="G828" s="5"/>
      <c r="H828" s="5"/>
      <c r="I828" s="5"/>
      <c r="J828" s="5"/>
      <c r="K828" s="5"/>
      <c r="L828" s="8"/>
    </row>
    <row r="829" spans="7:12">
      <c r="G829" s="5"/>
      <c r="H829" s="5"/>
      <c r="I829" s="5"/>
      <c r="J829" s="5"/>
      <c r="K829" s="5"/>
      <c r="L829" s="8"/>
    </row>
    <row r="830" spans="7:12">
      <c r="G830" s="5"/>
      <c r="H830" s="5"/>
      <c r="I830" s="5"/>
      <c r="J830" s="5"/>
      <c r="K830" s="5"/>
      <c r="L830" s="8"/>
    </row>
    <row r="831" spans="7:12">
      <c r="G831" s="5"/>
      <c r="H831" s="5"/>
      <c r="I831" s="5"/>
      <c r="J831" s="5"/>
      <c r="K831" s="5"/>
      <c r="L831" s="8"/>
    </row>
    <row r="832" spans="7:12">
      <c r="G832" s="5"/>
      <c r="H832" s="5"/>
      <c r="I832" s="5"/>
      <c r="J832" s="5"/>
      <c r="K832" s="5"/>
      <c r="L832" s="8"/>
    </row>
    <row r="833" spans="7:12">
      <c r="G833" s="5"/>
      <c r="H833" s="5"/>
      <c r="I833" s="5"/>
      <c r="J833" s="5"/>
      <c r="K833" s="5"/>
      <c r="L833" s="8"/>
    </row>
    <row r="834" spans="7:12">
      <c r="G834" s="5"/>
      <c r="H834" s="5"/>
      <c r="I834" s="5"/>
      <c r="J834" s="5"/>
      <c r="K834" s="5"/>
      <c r="L834" s="8"/>
    </row>
    <row r="835" spans="7:12">
      <c r="G835" s="5"/>
      <c r="H835" s="5"/>
      <c r="I835" s="5"/>
      <c r="J835" s="5"/>
      <c r="K835" s="5"/>
      <c r="L835" s="8"/>
    </row>
    <row r="836" spans="7:12">
      <c r="G836" s="5"/>
      <c r="H836" s="5"/>
      <c r="I836" s="5"/>
      <c r="J836" s="5"/>
      <c r="K836" s="5"/>
      <c r="L836" s="8"/>
    </row>
    <row r="837" spans="7:12">
      <c r="G837" s="5"/>
      <c r="H837" s="5"/>
      <c r="I837" s="5"/>
      <c r="J837" s="5"/>
      <c r="K837" s="5"/>
      <c r="L837" s="8"/>
    </row>
    <row r="838" spans="7:12">
      <c r="G838" s="5"/>
      <c r="H838" s="5"/>
      <c r="I838" s="5"/>
      <c r="J838" s="5"/>
      <c r="K838" s="5"/>
      <c r="L838" s="8"/>
    </row>
    <row r="839" spans="7:12">
      <c r="G839" s="5"/>
      <c r="H839" s="5"/>
      <c r="I839" s="5"/>
      <c r="J839" s="5"/>
      <c r="K839" s="5"/>
      <c r="L839" s="8"/>
    </row>
    <row r="840" spans="7:12">
      <c r="G840" s="5"/>
      <c r="H840" s="5"/>
      <c r="I840" s="5"/>
      <c r="J840" s="5"/>
      <c r="K840" s="5"/>
      <c r="L840" s="8"/>
    </row>
    <row r="841" spans="7:12">
      <c r="G841" s="5"/>
      <c r="H841" s="5"/>
      <c r="I841" s="5"/>
      <c r="J841" s="5"/>
      <c r="K841" s="5"/>
      <c r="L841" s="8"/>
    </row>
    <row r="842" spans="7:12">
      <c r="G842" s="5"/>
      <c r="H842" s="5"/>
      <c r="I842" s="5"/>
      <c r="J842" s="5"/>
      <c r="K842" s="5"/>
      <c r="L842" s="8"/>
    </row>
    <row r="843" spans="7:12">
      <c r="G843" s="5"/>
      <c r="H843" s="5"/>
      <c r="I843" s="5"/>
      <c r="J843" s="5"/>
      <c r="K843" s="5"/>
      <c r="L843" s="8"/>
    </row>
    <row r="844" spans="7:12">
      <c r="G844" s="5"/>
      <c r="H844" s="5"/>
      <c r="I844" s="5"/>
      <c r="J844" s="5"/>
      <c r="K844" s="5"/>
      <c r="L844" s="8"/>
    </row>
    <row r="845" spans="7:12">
      <c r="G845" s="5"/>
      <c r="H845" s="5"/>
      <c r="I845" s="5"/>
      <c r="J845" s="5"/>
      <c r="K845" s="5"/>
      <c r="L845" s="8"/>
    </row>
    <row r="846" spans="7:12">
      <c r="G846" s="5"/>
      <c r="H846" s="5"/>
      <c r="I846" s="5"/>
      <c r="J846" s="5"/>
      <c r="K846" s="5"/>
      <c r="L846" s="8"/>
    </row>
    <row r="847" spans="7:12">
      <c r="G847" s="5"/>
      <c r="H847" s="5"/>
      <c r="I847" s="5"/>
      <c r="J847" s="5"/>
      <c r="K847" s="5"/>
      <c r="L847" s="8"/>
    </row>
    <row r="848" spans="7:12">
      <c r="G848" s="5"/>
      <c r="H848" s="5"/>
      <c r="I848" s="5"/>
      <c r="J848" s="5"/>
      <c r="K848" s="5"/>
      <c r="L848" s="8"/>
    </row>
    <row r="849" spans="7:12">
      <c r="G849" s="5"/>
      <c r="H849" s="5"/>
      <c r="I849" s="5"/>
      <c r="J849" s="5"/>
      <c r="K849" s="5"/>
      <c r="L849" s="8"/>
    </row>
    <row r="850" spans="7:12">
      <c r="G850" s="5"/>
      <c r="H850" s="5"/>
      <c r="I850" s="5"/>
      <c r="J850" s="5"/>
      <c r="K850" s="5"/>
      <c r="L850" s="8"/>
    </row>
    <row r="851" spans="7:12">
      <c r="G851" s="5"/>
      <c r="H851" s="5"/>
      <c r="I851" s="5"/>
      <c r="J851" s="5"/>
      <c r="K851" s="5"/>
      <c r="L851" s="8"/>
    </row>
    <row r="852" spans="7:12">
      <c r="G852" s="5"/>
      <c r="H852" s="5"/>
      <c r="I852" s="5"/>
      <c r="J852" s="5"/>
      <c r="K852" s="5"/>
      <c r="L852" s="8"/>
    </row>
    <row r="853" spans="7:12">
      <c r="G853" s="5"/>
      <c r="H853" s="5"/>
      <c r="I853" s="5"/>
      <c r="J853" s="5"/>
      <c r="K853" s="5"/>
      <c r="L853" s="8"/>
    </row>
    <row r="854" spans="7:12">
      <c r="G854" s="5"/>
      <c r="H854" s="5"/>
      <c r="I854" s="5"/>
      <c r="J854" s="5"/>
      <c r="K854" s="5"/>
      <c r="L854" s="8"/>
    </row>
    <row r="855" spans="7:12">
      <c r="G855" s="5"/>
      <c r="H855" s="5"/>
      <c r="I855" s="5"/>
      <c r="J855" s="5"/>
      <c r="K855" s="5"/>
      <c r="L855" s="8"/>
    </row>
    <row r="856" spans="7:12">
      <c r="G856" s="5"/>
      <c r="H856" s="5"/>
      <c r="I856" s="5"/>
      <c r="J856" s="5"/>
      <c r="K856" s="5"/>
      <c r="L856" s="8"/>
    </row>
    <row r="857" spans="7:12">
      <c r="G857" s="5"/>
      <c r="H857" s="5"/>
      <c r="I857" s="5"/>
      <c r="J857" s="5"/>
      <c r="K857" s="5"/>
      <c r="L857" s="8"/>
    </row>
    <row r="858" spans="7:12">
      <c r="G858" s="5"/>
      <c r="H858" s="5"/>
      <c r="I858" s="5"/>
      <c r="J858" s="5"/>
      <c r="K858" s="5"/>
      <c r="L858" s="8"/>
    </row>
    <row r="859" spans="7:12">
      <c r="G859" s="5"/>
      <c r="H859" s="5"/>
      <c r="I859" s="5"/>
      <c r="J859" s="5"/>
      <c r="K859" s="5"/>
      <c r="L859" s="8"/>
    </row>
    <row r="860" spans="7:12">
      <c r="G860" s="5"/>
      <c r="H860" s="5"/>
      <c r="I860" s="5"/>
      <c r="J860" s="5"/>
      <c r="K860" s="5"/>
      <c r="L860" s="8"/>
    </row>
    <row r="861" spans="7:12">
      <c r="G861" s="5"/>
      <c r="H861" s="5"/>
      <c r="I861" s="5"/>
      <c r="J861" s="5"/>
      <c r="K861" s="5"/>
      <c r="L861" s="8"/>
    </row>
    <row r="862" spans="7:12">
      <c r="G862" s="5"/>
      <c r="H862" s="5"/>
      <c r="I862" s="5"/>
      <c r="J862" s="5"/>
      <c r="K862" s="5"/>
      <c r="L862" s="8"/>
    </row>
    <row r="863" spans="7:12">
      <c r="G863" s="5"/>
      <c r="H863" s="5"/>
      <c r="I863" s="5"/>
      <c r="J863" s="5"/>
      <c r="K863" s="5"/>
      <c r="L863" s="8"/>
    </row>
    <row r="864" spans="7:12">
      <c r="G864" s="5"/>
      <c r="H864" s="5"/>
      <c r="I864" s="5"/>
      <c r="J864" s="5"/>
      <c r="K864" s="5"/>
      <c r="L864" s="8"/>
    </row>
    <row r="865" spans="7:12">
      <c r="G865" s="5"/>
      <c r="H865" s="5"/>
      <c r="I865" s="5"/>
      <c r="J865" s="5"/>
      <c r="K865" s="5"/>
      <c r="L865" s="8"/>
    </row>
    <row r="866" spans="7:12">
      <c r="G866" s="5"/>
      <c r="H866" s="5"/>
      <c r="I866" s="5"/>
      <c r="J866" s="5"/>
      <c r="K866" s="5"/>
      <c r="L866" s="8"/>
    </row>
    <row r="867" spans="7:12">
      <c r="G867" s="5"/>
      <c r="H867" s="5"/>
      <c r="I867" s="5"/>
      <c r="J867" s="5"/>
      <c r="K867" s="5"/>
      <c r="L867" s="8"/>
    </row>
    <row r="868" spans="7:12">
      <c r="G868" s="5"/>
      <c r="H868" s="5"/>
      <c r="I868" s="5"/>
      <c r="J868" s="5"/>
      <c r="K868" s="5"/>
      <c r="L868" s="8"/>
    </row>
    <row r="869" spans="7:12">
      <c r="G869" s="5"/>
      <c r="H869" s="5"/>
      <c r="I869" s="5"/>
      <c r="J869" s="5"/>
      <c r="K869" s="5"/>
      <c r="L869" s="8"/>
    </row>
    <row r="870" spans="7:12">
      <c r="G870" s="5"/>
      <c r="H870" s="5"/>
      <c r="I870" s="5"/>
      <c r="J870" s="5"/>
      <c r="K870" s="5"/>
      <c r="L870" s="8"/>
    </row>
    <row r="871" spans="7:12">
      <c r="G871" s="5"/>
      <c r="H871" s="5"/>
      <c r="I871" s="5"/>
      <c r="J871" s="5"/>
      <c r="K871" s="5"/>
      <c r="L871" s="8"/>
    </row>
    <row r="872" spans="7:12">
      <c r="G872" s="5"/>
      <c r="H872" s="5"/>
      <c r="I872" s="5"/>
      <c r="J872" s="5"/>
      <c r="K872" s="5"/>
      <c r="L872" s="8"/>
    </row>
    <row r="873" spans="7:12">
      <c r="G873" s="5"/>
      <c r="H873" s="5"/>
      <c r="I873" s="5"/>
      <c r="J873" s="5"/>
      <c r="K873" s="5"/>
      <c r="L873" s="8"/>
    </row>
    <row r="874" spans="7:12">
      <c r="G874" s="5"/>
      <c r="H874" s="5"/>
      <c r="I874" s="5"/>
      <c r="J874" s="5"/>
      <c r="K874" s="5"/>
      <c r="L874" s="8"/>
    </row>
    <row r="875" spans="7:12">
      <c r="G875" s="5"/>
      <c r="H875" s="5"/>
      <c r="I875" s="5"/>
      <c r="J875" s="5"/>
      <c r="K875" s="5"/>
      <c r="L875" s="8"/>
    </row>
    <row r="876" spans="7:12">
      <c r="G876" s="5"/>
      <c r="H876" s="5"/>
      <c r="I876" s="5"/>
      <c r="J876" s="5"/>
      <c r="K876" s="5"/>
      <c r="L876" s="8"/>
    </row>
    <row r="877" spans="7:12">
      <c r="G877" s="5"/>
      <c r="H877" s="5"/>
      <c r="I877" s="5"/>
      <c r="J877" s="5"/>
      <c r="K877" s="5"/>
      <c r="L877" s="8"/>
    </row>
    <row r="878" spans="7:12">
      <c r="G878" s="5"/>
      <c r="H878" s="5"/>
      <c r="I878" s="5"/>
      <c r="J878" s="5"/>
      <c r="K878" s="5"/>
      <c r="L878" s="8"/>
    </row>
    <row r="879" spans="7:12">
      <c r="G879" s="5"/>
      <c r="H879" s="5"/>
      <c r="I879" s="5"/>
      <c r="J879" s="5"/>
      <c r="K879" s="5"/>
      <c r="L879" s="8"/>
    </row>
    <row r="880" spans="7:12">
      <c r="G880" s="5"/>
      <c r="H880" s="5"/>
      <c r="I880" s="5"/>
      <c r="J880" s="5"/>
      <c r="K880" s="5"/>
      <c r="L880" s="8"/>
    </row>
    <row r="881" spans="7:12">
      <c r="G881" s="5"/>
      <c r="H881" s="5"/>
      <c r="I881" s="5"/>
      <c r="J881" s="5"/>
      <c r="K881" s="5"/>
      <c r="L881" s="8"/>
    </row>
    <row r="882" spans="7:12">
      <c r="G882" s="5"/>
      <c r="H882" s="5"/>
      <c r="I882" s="5"/>
      <c r="J882" s="5"/>
      <c r="K882" s="5"/>
      <c r="L882" s="8"/>
    </row>
    <row r="883" spans="7:12">
      <c r="G883" s="5"/>
      <c r="H883" s="5"/>
      <c r="I883" s="5"/>
      <c r="J883" s="5"/>
      <c r="K883" s="5"/>
      <c r="L883" s="8"/>
    </row>
    <row r="884" spans="7:12">
      <c r="G884" s="5"/>
      <c r="H884" s="5"/>
      <c r="I884" s="5"/>
      <c r="J884" s="5"/>
      <c r="K884" s="5"/>
      <c r="L884" s="8"/>
    </row>
    <row r="885" spans="7:12">
      <c r="G885" s="5"/>
      <c r="H885" s="5"/>
      <c r="I885" s="5"/>
      <c r="J885" s="5"/>
      <c r="K885" s="5"/>
      <c r="L885" s="8"/>
    </row>
    <row r="886" spans="7:12">
      <c r="G886" s="5"/>
      <c r="H886" s="5"/>
      <c r="I886" s="5"/>
      <c r="J886" s="5"/>
      <c r="K886" s="5"/>
      <c r="L886" s="8"/>
    </row>
    <row r="887" spans="7:12">
      <c r="G887" s="5"/>
      <c r="H887" s="5"/>
      <c r="I887" s="5"/>
      <c r="J887" s="5"/>
      <c r="K887" s="5"/>
      <c r="L887" s="8"/>
    </row>
    <row r="888" spans="7:12">
      <c r="G888" s="5"/>
      <c r="H888" s="5"/>
      <c r="I888" s="5"/>
      <c r="J888" s="5"/>
      <c r="K888" s="5"/>
      <c r="L888" s="8"/>
    </row>
    <row r="889" spans="7:12">
      <c r="G889" s="5"/>
      <c r="H889" s="5"/>
      <c r="I889" s="5"/>
      <c r="J889" s="5"/>
      <c r="K889" s="5"/>
      <c r="L889" s="8"/>
    </row>
    <row r="890" spans="7:12">
      <c r="G890" s="5"/>
      <c r="H890" s="5"/>
      <c r="I890" s="5"/>
      <c r="J890" s="5"/>
      <c r="K890" s="5"/>
      <c r="L890" s="8"/>
    </row>
    <row r="891" spans="7:12">
      <c r="G891" s="5"/>
      <c r="H891" s="5"/>
      <c r="I891" s="5"/>
      <c r="J891" s="5"/>
      <c r="K891" s="5"/>
      <c r="L891" s="8"/>
    </row>
    <row r="892" spans="7:12">
      <c r="G892" s="5"/>
      <c r="H892" s="5"/>
      <c r="I892" s="5"/>
      <c r="J892" s="5"/>
      <c r="K892" s="5"/>
      <c r="L892" s="8"/>
    </row>
    <row r="893" spans="7:12">
      <c r="G893" s="5"/>
      <c r="H893" s="5"/>
      <c r="I893" s="5"/>
      <c r="J893" s="5"/>
      <c r="K893" s="5"/>
      <c r="L893" s="8"/>
    </row>
    <row r="894" spans="7:12">
      <c r="G894" s="5"/>
      <c r="H894" s="5"/>
      <c r="I894" s="5"/>
      <c r="J894" s="5"/>
      <c r="K894" s="5"/>
      <c r="L894" s="8"/>
    </row>
    <row r="895" spans="7:12">
      <c r="G895" s="5"/>
      <c r="H895" s="5"/>
      <c r="I895" s="5"/>
      <c r="J895" s="5"/>
      <c r="K895" s="5"/>
      <c r="L895" s="8"/>
    </row>
    <row r="896" spans="7:12">
      <c r="G896" s="5"/>
      <c r="H896" s="5"/>
      <c r="I896" s="5"/>
      <c r="J896" s="5"/>
      <c r="K896" s="5"/>
      <c r="L896" s="8"/>
    </row>
    <row r="897" spans="7:12">
      <c r="G897" s="5"/>
      <c r="H897" s="5"/>
      <c r="I897" s="5"/>
      <c r="J897" s="5"/>
      <c r="K897" s="5"/>
      <c r="L897" s="8"/>
    </row>
    <row r="898" spans="7:12">
      <c r="G898" s="5"/>
      <c r="H898" s="5"/>
      <c r="I898" s="5"/>
      <c r="J898" s="5"/>
      <c r="K898" s="5"/>
      <c r="L898" s="8"/>
    </row>
    <row r="899" spans="7:12">
      <c r="G899" s="5"/>
      <c r="H899" s="5"/>
      <c r="I899" s="5"/>
      <c r="J899" s="5"/>
      <c r="K899" s="5"/>
      <c r="L899" s="8"/>
    </row>
    <row r="900" spans="7:12">
      <c r="G900" s="5"/>
      <c r="H900" s="5"/>
      <c r="I900" s="5"/>
      <c r="J900" s="5"/>
      <c r="K900" s="5"/>
      <c r="L900" s="8"/>
    </row>
    <row r="901" spans="7:12">
      <c r="G901" s="5"/>
      <c r="H901" s="5"/>
      <c r="I901" s="5"/>
      <c r="J901" s="5"/>
      <c r="K901" s="5"/>
      <c r="L901" s="8"/>
    </row>
    <row r="902" spans="7:12">
      <c r="G902" s="5"/>
      <c r="H902" s="5"/>
      <c r="I902" s="5"/>
      <c r="J902" s="5"/>
      <c r="K902" s="5"/>
      <c r="L902" s="8"/>
    </row>
    <row r="903" spans="7:12">
      <c r="G903" s="5"/>
      <c r="H903" s="5"/>
      <c r="I903" s="5"/>
      <c r="J903" s="5"/>
      <c r="K903" s="5"/>
      <c r="L903" s="8"/>
    </row>
    <row r="904" spans="7:12">
      <c r="G904" s="5"/>
      <c r="H904" s="5"/>
      <c r="I904" s="5"/>
      <c r="J904" s="5"/>
      <c r="K904" s="5"/>
      <c r="L904" s="8"/>
    </row>
    <row r="905" spans="7:12">
      <c r="G905" s="5"/>
      <c r="H905" s="5"/>
      <c r="I905" s="5"/>
      <c r="J905" s="5"/>
      <c r="K905" s="5"/>
      <c r="L905" s="8"/>
    </row>
    <row r="906" spans="7:12">
      <c r="G906" s="5"/>
      <c r="H906" s="5"/>
      <c r="I906" s="5"/>
      <c r="J906" s="5"/>
      <c r="K906" s="5"/>
      <c r="L906" s="8"/>
    </row>
    <row r="907" spans="7:12">
      <c r="G907" s="5"/>
      <c r="H907" s="5"/>
      <c r="I907" s="5"/>
      <c r="J907" s="5"/>
      <c r="K907" s="5"/>
      <c r="L907" s="8"/>
    </row>
    <row r="908" spans="7:12">
      <c r="G908" s="5"/>
      <c r="H908" s="5"/>
      <c r="I908" s="5"/>
      <c r="J908" s="5"/>
      <c r="K908" s="5"/>
      <c r="L908" s="8"/>
    </row>
    <row r="909" spans="7:12">
      <c r="G909" s="5"/>
      <c r="H909" s="5"/>
      <c r="I909" s="5"/>
      <c r="J909" s="5"/>
      <c r="K909" s="5"/>
      <c r="L909" s="8"/>
    </row>
    <row r="910" spans="7:12">
      <c r="G910" s="5"/>
      <c r="H910" s="5"/>
      <c r="I910" s="5"/>
      <c r="J910" s="5"/>
      <c r="K910" s="5"/>
      <c r="L910" s="8"/>
    </row>
    <row r="911" spans="7:12">
      <c r="G911" s="5"/>
      <c r="H911" s="5"/>
      <c r="I911" s="5"/>
      <c r="J911" s="5"/>
      <c r="K911" s="5"/>
      <c r="L911" s="8"/>
    </row>
    <row r="912" spans="7:12">
      <c r="G912" s="5"/>
      <c r="H912" s="5"/>
      <c r="I912" s="5"/>
      <c r="J912" s="5"/>
      <c r="K912" s="5"/>
      <c r="L912" s="8"/>
    </row>
    <row r="913" spans="7:12">
      <c r="G913" s="5"/>
      <c r="H913" s="5"/>
      <c r="I913" s="5"/>
      <c r="J913" s="5"/>
      <c r="K913" s="5"/>
      <c r="L913" s="8"/>
    </row>
    <row r="914" spans="7:12">
      <c r="G914" s="5"/>
      <c r="H914" s="5"/>
      <c r="I914" s="5"/>
      <c r="J914" s="5"/>
      <c r="K914" s="5"/>
      <c r="L914" s="8"/>
    </row>
    <row r="915" spans="7:12">
      <c r="G915" s="5"/>
      <c r="H915" s="5"/>
      <c r="I915" s="5"/>
      <c r="J915" s="5"/>
      <c r="K915" s="5"/>
      <c r="L915" s="8"/>
    </row>
    <row r="916" spans="7:12">
      <c r="G916" s="5"/>
      <c r="H916" s="5"/>
      <c r="I916" s="5"/>
      <c r="J916" s="5"/>
      <c r="K916" s="5"/>
      <c r="L916" s="8"/>
    </row>
    <row r="917" spans="7:12">
      <c r="G917" s="5"/>
      <c r="H917" s="5"/>
      <c r="I917" s="5"/>
      <c r="J917" s="5"/>
      <c r="K917" s="5"/>
      <c r="L917" s="8"/>
    </row>
    <row r="918" spans="7:12">
      <c r="G918" s="5"/>
      <c r="H918" s="5"/>
      <c r="I918" s="5"/>
      <c r="J918" s="5"/>
      <c r="K918" s="5"/>
      <c r="L918" s="8"/>
    </row>
    <row r="919" spans="7:12">
      <c r="G919" s="5"/>
      <c r="H919" s="5"/>
      <c r="I919" s="5"/>
      <c r="J919" s="5"/>
      <c r="K919" s="5"/>
      <c r="L919" s="8"/>
    </row>
    <row r="920" spans="7:12">
      <c r="G920" s="5"/>
      <c r="H920" s="5"/>
      <c r="I920" s="5"/>
      <c r="J920" s="5"/>
      <c r="K920" s="5"/>
      <c r="L920" s="8"/>
    </row>
    <row r="921" spans="7:12">
      <c r="G921" s="5"/>
      <c r="H921" s="5"/>
      <c r="I921" s="5"/>
      <c r="J921" s="5"/>
      <c r="K921" s="5"/>
      <c r="L921" s="8"/>
    </row>
    <row r="922" spans="7:12">
      <c r="G922" s="5"/>
      <c r="H922" s="5"/>
      <c r="I922" s="5"/>
      <c r="J922" s="5"/>
      <c r="K922" s="5"/>
      <c r="L922" s="8"/>
    </row>
    <row r="923" spans="7:12">
      <c r="G923" s="5"/>
      <c r="H923" s="5"/>
      <c r="I923" s="5"/>
      <c r="J923" s="5"/>
      <c r="K923" s="5"/>
      <c r="L923" s="8"/>
    </row>
    <row r="924" spans="7:12">
      <c r="G924" s="5"/>
      <c r="H924" s="5"/>
      <c r="I924" s="5"/>
      <c r="J924" s="5"/>
      <c r="K924" s="5"/>
      <c r="L924" s="8"/>
    </row>
    <row r="925" spans="7:12">
      <c r="G925" s="5"/>
      <c r="H925" s="5"/>
      <c r="I925" s="5"/>
      <c r="J925" s="5"/>
      <c r="K925" s="5"/>
      <c r="L925" s="8"/>
    </row>
    <row r="926" spans="7:12">
      <c r="G926" s="5"/>
      <c r="H926" s="5"/>
      <c r="I926" s="5"/>
      <c r="J926" s="5"/>
      <c r="K926" s="5"/>
      <c r="L926" s="8"/>
    </row>
    <row r="927" spans="7:12">
      <c r="G927" s="5"/>
      <c r="H927" s="5"/>
      <c r="I927" s="5"/>
      <c r="J927" s="5"/>
      <c r="K927" s="5"/>
      <c r="L927" s="8"/>
    </row>
    <row r="928" spans="7:12">
      <c r="G928" s="5"/>
      <c r="H928" s="5"/>
      <c r="I928" s="5"/>
      <c r="J928" s="5"/>
      <c r="K928" s="5"/>
      <c r="L928" s="8"/>
    </row>
    <row r="929" spans="7:12">
      <c r="G929" s="5"/>
      <c r="H929" s="5"/>
      <c r="I929" s="5"/>
      <c r="J929" s="5"/>
      <c r="K929" s="5"/>
      <c r="L929" s="8"/>
    </row>
    <row r="930" spans="7:12">
      <c r="G930" s="5"/>
      <c r="H930" s="5"/>
      <c r="I930" s="5"/>
      <c r="J930" s="5"/>
      <c r="K930" s="5"/>
      <c r="L930" s="8"/>
    </row>
    <row r="931" spans="7:12">
      <c r="G931" s="5"/>
      <c r="H931" s="5"/>
      <c r="I931" s="5"/>
      <c r="J931" s="5"/>
      <c r="K931" s="5"/>
      <c r="L931" s="8"/>
    </row>
    <row r="932" spans="7:12">
      <c r="G932" s="5"/>
      <c r="H932" s="5"/>
      <c r="I932" s="5"/>
      <c r="J932" s="5"/>
      <c r="K932" s="5"/>
      <c r="L932" s="8"/>
    </row>
    <row r="933" spans="7:12">
      <c r="G933" s="5"/>
      <c r="H933" s="5"/>
      <c r="I933" s="5"/>
      <c r="J933" s="5"/>
      <c r="K933" s="5"/>
      <c r="L933" s="8"/>
    </row>
    <row r="934" spans="7:12">
      <c r="G934" s="5"/>
      <c r="H934" s="5"/>
      <c r="I934" s="5"/>
      <c r="J934" s="5"/>
      <c r="K934" s="5"/>
      <c r="L934" s="8"/>
    </row>
    <row r="935" spans="7:12">
      <c r="G935" s="5"/>
      <c r="H935" s="5"/>
      <c r="I935" s="5"/>
      <c r="J935" s="5"/>
      <c r="K935" s="5"/>
      <c r="L935" s="8"/>
    </row>
    <row r="936" spans="7:12">
      <c r="G936" s="5"/>
      <c r="H936" s="5"/>
      <c r="I936" s="5"/>
      <c r="J936" s="5"/>
      <c r="K936" s="5"/>
      <c r="L936" s="8"/>
    </row>
    <row r="937" spans="7:12">
      <c r="G937" s="5"/>
      <c r="H937" s="5"/>
      <c r="I937" s="5"/>
      <c r="J937" s="5"/>
      <c r="K937" s="5"/>
      <c r="L937" s="8"/>
    </row>
    <row r="938" spans="7:12">
      <c r="G938" s="5"/>
      <c r="H938" s="5"/>
      <c r="I938" s="5"/>
      <c r="J938" s="5"/>
      <c r="K938" s="5"/>
      <c r="L938" s="8"/>
    </row>
    <row r="939" spans="7:12">
      <c r="G939" s="5"/>
      <c r="H939" s="5"/>
      <c r="I939" s="5"/>
      <c r="J939" s="5"/>
      <c r="K939" s="5"/>
      <c r="L939" s="8"/>
    </row>
    <row r="940" spans="7:12">
      <c r="G940" s="5"/>
      <c r="H940" s="5"/>
      <c r="I940" s="5"/>
      <c r="J940" s="5"/>
      <c r="K940" s="5"/>
      <c r="L940" s="8"/>
    </row>
    <row r="941" spans="7:12">
      <c r="G941" s="5"/>
      <c r="H941" s="5"/>
      <c r="I941" s="5"/>
      <c r="J941" s="5"/>
      <c r="K941" s="5"/>
      <c r="L941" s="8"/>
    </row>
    <row r="942" spans="7:12">
      <c r="G942" s="5"/>
      <c r="H942" s="5"/>
      <c r="I942" s="5"/>
      <c r="J942" s="5"/>
      <c r="K942" s="5"/>
      <c r="L942" s="8"/>
    </row>
    <row r="943" spans="7:12">
      <c r="G943" s="5"/>
      <c r="H943" s="5"/>
      <c r="I943" s="5"/>
      <c r="J943" s="5"/>
      <c r="K943" s="5"/>
      <c r="L943" s="8"/>
    </row>
    <row r="944" spans="7:12">
      <c r="G944" s="5"/>
      <c r="H944" s="5"/>
      <c r="I944" s="5"/>
      <c r="J944" s="5"/>
      <c r="K944" s="5"/>
      <c r="L944" s="8"/>
    </row>
    <row r="945" spans="7:12">
      <c r="G945" s="5"/>
      <c r="H945" s="5"/>
      <c r="I945" s="5"/>
      <c r="J945" s="5"/>
      <c r="K945" s="5"/>
      <c r="L945" s="8"/>
    </row>
    <row r="946" spans="7:12">
      <c r="G946" s="5"/>
      <c r="H946" s="5"/>
      <c r="I946" s="5"/>
      <c r="J946" s="5"/>
      <c r="K946" s="5"/>
      <c r="L946" s="8"/>
    </row>
    <row r="947" spans="7:12">
      <c r="G947" s="5"/>
      <c r="H947" s="5"/>
      <c r="I947" s="5"/>
      <c r="J947" s="5"/>
      <c r="K947" s="5"/>
      <c r="L947" s="8"/>
    </row>
    <row r="948" spans="7:12">
      <c r="G948" s="5"/>
      <c r="H948" s="5"/>
      <c r="I948" s="5"/>
      <c r="J948" s="5"/>
      <c r="K948" s="5"/>
      <c r="L948" s="8"/>
    </row>
    <row r="949" spans="7:12">
      <c r="G949" s="5"/>
      <c r="H949" s="5"/>
      <c r="I949" s="5"/>
      <c r="J949" s="5"/>
      <c r="K949" s="5"/>
      <c r="L949" s="8"/>
    </row>
    <row r="950" spans="7:12">
      <c r="G950" s="5"/>
      <c r="H950" s="5"/>
      <c r="I950" s="5"/>
      <c r="J950" s="5"/>
      <c r="K950" s="5"/>
      <c r="L950" s="8"/>
    </row>
    <row r="951" spans="7:12">
      <c r="G951" s="5"/>
      <c r="H951" s="5"/>
      <c r="I951" s="5"/>
      <c r="J951" s="5"/>
      <c r="K951" s="5"/>
      <c r="L951" s="8"/>
    </row>
    <row r="952" spans="7:12">
      <c r="G952" s="5"/>
      <c r="H952" s="5"/>
      <c r="I952" s="5"/>
      <c r="J952" s="5"/>
      <c r="K952" s="5"/>
      <c r="L952" s="8"/>
    </row>
    <row r="953" spans="7:12">
      <c r="G953" s="5"/>
      <c r="H953" s="5"/>
      <c r="I953" s="5"/>
      <c r="J953" s="5"/>
      <c r="K953" s="5"/>
      <c r="L953" s="8"/>
    </row>
    <row r="954" spans="7:12">
      <c r="G954" s="5"/>
      <c r="H954" s="5"/>
      <c r="I954" s="5"/>
      <c r="J954" s="5"/>
      <c r="K954" s="5"/>
      <c r="L954" s="8"/>
    </row>
    <row r="955" spans="7:12">
      <c r="G955" s="5"/>
      <c r="H955" s="5"/>
      <c r="I955" s="5"/>
      <c r="J955" s="5"/>
      <c r="K955" s="5"/>
      <c r="L955" s="8"/>
    </row>
    <row r="956" spans="7:12">
      <c r="G956" s="5"/>
      <c r="H956" s="5"/>
      <c r="I956" s="5"/>
      <c r="J956" s="5"/>
      <c r="K956" s="5"/>
      <c r="L956" s="8"/>
    </row>
    <row r="957" spans="7:12">
      <c r="G957" s="5"/>
      <c r="H957" s="5"/>
      <c r="I957" s="5"/>
      <c r="J957" s="5"/>
      <c r="K957" s="5"/>
      <c r="L957" s="8"/>
    </row>
    <row r="958" spans="7:12">
      <c r="G958" s="5"/>
      <c r="H958" s="5"/>
      <c r="I958" s="5"/>
      <c r="J958" s="5"/>
      <c r="K958" s="5"/>
      <c r="L958" s="8"/>
    </row>
    <row r="959" spans="7:12">
      <c r="G959" s="5"/>
      <c r="H959" s="5"/>
      <c r="I959" s="5"/>
      <c r="J959" s="5"/>
      <c r="K959" s="5"/>
      <c r="L959" s="8"/>
    </row>
    <row r="960" spans="7:12">
      <c r="G960" s="5"/>
      <c r="H960" s="5"/>
      <c r="I960" s="5"/>
      <c r="J960" s="5"/>
      <c r="K960" s="5"/>
      <c r="L960" s="8"/>
    </row>
    <row r="961" spans="7:12">
      <c r="G961" s="5"/>
      <c r="H961" s="5"/>
      <c r="I961" s="5"/>
      <c r="J961" s="5"/>
      <c r="K961" s="5"/>
      <c r="L961" s="8"/>
    </row>
    <row r="962" spans="7:12">
      <c r="G962" s="5"/>
      <c r="H962" s="5"/>
      <c r="I962" s="5"/>
      <c r="J962" s="5"/>
      <c r="K962" s="5"/>
      <c r="L962" s="8"/>
    </row>
    <row r="963" spans="7:12">
      <c r="G963" s="5"/>
      <c r="H963" s="5"/>
      <c r="I963" s="5"/>
      <c r="J963" s="5"/>
      <c r="K963" s="5"/>
      <c r="L963" s="8"/>
    </row>
    <row r="964" spans="7:12">
      <c r="G964" s="5"/>
      <c r="H964" s="5"/>
      <c r="I964" s="5"/>
      <c r="J964" s="5"/>
      <c r="K964" s="5"/>
      <c r="L964" s="8"/>
    </row>
    <row r="965" spans="7:12">
      <c r="G965" s="5"/>
      <c r="H965" s="5"/>
      <c r="I965" s="5"/>
      <c r="J965" s="5"/>
      <c r="K965" s="5"/>
      <c r="L965" s="8"/>
    </row>
    <row r="966" spans="7:12">
      <c r="G966" s="5"/>
      <c r="H966" s="5"/>
      <c r="I966" s="5"/>
      <c r="J966" s="5"/>
      <c r="K966" s="5"/>
      <c r="L966" s="8"/>
    </row>
    <row r="967" spans="7:12">
      <c r="G967" s="5"/>
      <c r="H967" s="5"/>
      <c r="I967" s="5"/>
      <c r="J967" s="5"/>
      <c r="K967" s="5"/>
      <c r="L967" s="8"/>
    </row>
    <row r="968" spans="7:12">
      <c r="G968" s="5"/>
      <c r="H968" s="5"/>
      <c r="I968" s="5"/>
      <c r="J968" s="5"/>
      <c r="K968" s="5"/>
      <c r="L968" s="8"/>
    </row>
    <row r="969" spans="7:12">
      <c r="G969" s="5"/>
      <c r="H969" s="5"/>
      <c r="I969" s="5"/>
      <c r="J969" s="5"/>
      <c r="K969" s="5"/>
      <c r="L969" s="8"/>
    </row>
    <row r="970" spans="7:12">
      <c r="G970" s="5"/>
      <c r="H970" s="5"/>
      <c r="I970" s="5"/>
      <c r="J970" s="5"/>
      <c r="K970" s="5"/>
      <c r="L970" s="8"/>
    </row>
    <row r="971" spans="7:12">
      <c r="G971" s="5"/>
      <c r="H971" s="5"/>
      <c r="I971" s="5"/>
      <c r="J971" s="5"/>
      <c r="K971" s="5"/>
      <c r="L971" s="8"/>
    </row>
    <row r="972" spans="7:12">
      <c r="G972" s="5"/>
      <c r="H972" s="5"/>
      <c r="I972" s="5"/>
      <c r="J972" s="5"/>
      <c r="K972" s="5"/>
      <c r="L972" s="8"/>
    </row>
    <row r="973" spans="7:12">
      <c r="G973" s="5"/>
      <c r="H973" s="5"/>
      <c r="I973" s="5"/>
      <c r="J973" s="5"/>
      <c r="K973" s="5"/>
      <c r="L973" s="8"/>
    </row>
    <row r="974" spans="7:12">
      <c r="G974" s="5"/>
      <c r="H974" s="5"/>
      <c r="I974" s="5"/>
      <c r="J974" s="5"/>
      <c r="K974" s="5"/>
      <c r="L974" s="8"/>
    </row>
    <row r="975" spans="7:12">
      <c r="G975" s="5"/>
      <c r="H975" s="5"/>
      <c r="I975" s="5"/>
      <c r="J975" s="5"/>
      <c r="K975" s="5"/>
      <c r="L975" s="8"/>
    </row>
    <row r="976" spans="7:12">
      <c r="G976" s="5"/>
      <c r="H976" s="5"/>
      <c r="I976" s="5"/>
      <c r="J976" s="5"/>
      <c r="K976" s="5"/>
      <c r="L976" s="8"/>
    </row>
    <row r="977" spans="7:12">
      <c r="G977" s="5"/>
      <c r="H977" s="5"/>
      <c r="I977" s="5"/>
      <c r="J977" s="5"/>
      <c r="K977" s="5"/>
      <c r="L977" s="8"/>
    </row>
    <row r="978" spans="7:12">
      <c r="G978" s="5"/>
      <c r="H978" s="5"/>
      <c r="I978" s="5"/>
      <c r="J978" s="5"/>
      <c r="K978" s="5"/>
      <c r="L978" s="8"/>
    </row>
    <row r="979" spans="7:12">
      <c r="G979" s="5"/>
      <c r="H979" s="5"/>
      <c r="I979" s="5"/>
      <c r="J979" s="5"/>
      <c r="K979" s="5"/>
      <c r="L979" s="8"/>
    </row>
    <row r="980" spans="7:12">
      <c r="G980" s="5"/>
      <c r="H980" s="5"/>
      <c r="I980" s="5"/>
      <c r="J980" s="5"/>
      <c r="K980" s="5"/>
      <c r="L980" s="8"/>
    </row>
    <row r="981" spans="7:12">
      <c r="G981" s="5"/>
      <c r="H981" s="5"/>
      <c r="I981" s="5"/>
      <c r="J981" s="5"/>
      <c r="K981" s="5"/>
      <c r="L981" s="8"/>
    </row>
    <row r="982" spans="7:12">
      <c r="G982" s="5"/>
      <c r="H982" s="5"/>
      <c r="I982" s="5"/>
      <c r="J982" s="5"/>
      <c r="K982" s="5"/>
      <c r="L982" s="8"/>
    </row>
    <row r="983" spans="7:12">
      <c r="G983" s="5"/>
      <c r="H983" s="5"/>
      <c r="I983" s="5"/>
      <c r="J983" s="5"/>
      <c r="K983" s="5"/>
      <c r="L983" s="8"/>
    </row>
    <row r="984" spans="7:12">
      <c r="G984" s="5"/>
      <c r="H984" s="5"/>
      <c r="I984" s="5"/>
      <c r="J984" s="5"/>
      <c r="K984" s="5"/>
      <c r="L984" s="8"/>
    </row>
    <row r="985" spans="7:12">
      <c r="G985" s="5"/>
      <c r="H985" s="5"/>
      <c r="I985" s="5"/>
      <c r="J985" s="5"/>
      <c r="K985" s="5"/>
      <c r="L985" s="8"/>
    </row>
    <row r="986" spans="7:12">
      <c r="G986" s="5"/>
      <c r="H986" s="5"/>
      <c r="I986" s="5"/>
      <c r="J986" s="5"/>
      <c r="K986" s="5"/>
      <c r="L986" s="8"/>
    </row>
    <row r="987" spans="7:12">
      <c r="G987" s="5"/>
      <c r="H987" s="5"/>
      <c r="I987" s="5"/>
      <c r="J987" s="5"/>
      <c r="K987" s="5"/>
      <c r="L987" s="8"/>
    </row>
    <row r="988" spans="7:12">
      <c r="G988" s="5"/>
      <c r="H988" s="5"/>
      <c r="I988" s="5"/>
      <c r="J988" s="5"/>
      <c r="K988" s="5"/>
      <c r="L988" s="8"/>
    </row>
    <row r="989" spans="7:12">
      <c r="G989" s="5"/>
      <c r="H989" s="5"/>
      <c r="I989" s="5"/>
      <c r="J989" s="5"/>
      <c r="K989" s="5"/>
      <c r="L989" s="8"/>
    </row>
    <row r="990" spans="7:12">
      <c r="G990" s="5"/>
      <c r="H990" s="5"/>
      <c r="I990" s="5"/>
      <c r="J990" s="5"/>
      <c r="K990" s="5"/>
      <c r="L990" s="8"/>
    </row>
    <row r="991" spans="7:12">
      <c r="G991" s="5"/>
      <c r="H991" s="5"/>
      <c r="I991" s="5"/>
      <c r="J991" s="5"/>
      <c r="K991" s="5"/>
      <c r="L991" s="8"/>
    </row>
    <row r="992" spans="7:12">
      <c r="G992" s="5"/>
      <c r="H992" s="5"/>
      <c r="I992" s="5"/>
      <c r="J992" s="5"/>
      <c r="K992" s="5"/>
      <c r="L992" s="8"/>
    </row>
    <row r="993" spans="7:12">
      <c r="G993" s="5"/>
      <c r="H993" s="5"/>
      <c r="I993" s="5"/>
      <c r="J993" s="5"/>
      <c r="K993" s="5"/>
      <c r="L993" s="8"/>
    </row>
    <row r="994" spans="7:12">
      <c r="G994" s="5"/>
      <c r="H994" s="5"/>
      <c r="I994" s="5"/>
      <c r="J994" s="5"/>
      <c r="K994" s="5"/>
      <c r="L994" s="8"/>
    </row>
    <row r="995" spans="7:12">
      <c r="G995" s="5"/>
      <c r="H995" s="5"/>
      <c r="I995" s="5"/>
      <c r="J995" s="5"/>
      <c r="K995" s="5"/>
      <c r="L995" s="8"/>
    </row>
    <row r="996" spans="7:12">
      <c r="G996" s="5"/>
      <c r="H996" s="5"/>
      <c r="I996" s="5"/>
      <c r="J996" s="5"/>
      <c r="K996" s="5"/>
      <c r="L996" s="8"/>
    </row>
    <row r="997" spans="7:12">
      <c r="G997" s="5"/>
      <c r="H997" s="5"/>
      <c r="I997" s="5"/>
      <c r="J997" s="5"/>
      <c r="K997" s="5"/>
      <c r="L997" s="8"/>
    </row>
    <row r="998" spans="7:12">
      <c r="G998" s="5"/>
      <c r="H998" s="5"/>
      <c r="I998" s="5"/>
      <c r="J998" s="5"/>
      <c r="K998" s="5"/>
      <c r="L998" s="8"/>
    </row>
    <row r="999" spans="7:12">
      <c r="G999" s="5"/>
      <c r="H999" s="5"/>
      <c r="I999" s="5"/>
      <c r="J999" s="5"/>
      <c r="K999" s="5"/>
      <c r="L999" s="8"/>
    </row>
    <row r="1000" spans="7:12">
      <c r="G1000" s="5"/>
      <c r="H1000" s="5"/>
      <c r="I1000" s="5"/>
      <c r="J1000" s="5"/>
      <c r="K1000" s="5"/>
      <c r="L1000" s="8"/>
    </row>
  </sheetData>
  <autoFilter ref="A1:Q1000" xr:uid="{00000000-0009-0000-0000-00000E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Q104"/>
  <sheetViews>
    <sheetView workbookViewId="0"/>
  </sheetViews>
  <sheetFormatPr defaultColWidth="12.5703125" defaultRowHeight="15.75" customHeight="1"/>
  <sheetData>
    <row r="1" spans="1:17">
      <c r="A1" s="7" t="s">
        <v>66</v>
      </c>
      <c r="B1" s="7" t="s">
        <v>8</v>
      </c>
      <c r="C1" s="7" t="s">
        <v>701</v>
      </c>
      <c r="D1" s="7" t="s">
        <v>288</v>
      </c>
      <c r="E1" s="7" t="s">
        <v>703</v>
      </c>
      <c r="F1" s="7" t="s">
        <v>705</v>
      </c>
      <c r="G1" s="7" t="s">
        <v>722</v>
      </c>
      <c r="H1" s="7" t="s">
        <v>723</v>
      </c>
      <c r="I1" s="7" t="s">
        <v>695</v>
      </c>
      <c r="J1" s="7" t="s">
        <v>706</v>
      </c>
      <c r="K1" s="7" t="s">
        <v>724</v>
      </c>
      <c r="L1" s="8" t="s">
        <v>725</v>
      </c>
      <c r="M1" s="7" t="s">
        <v>726</v>
      </c>
      <c r="N1" s="7" t="s">
        <v>727</v>
      </c>
      <c r="O1" s="7" t="s">
        <v>728</v>
      </c>
      <c r="P1" s="7" t="s">
        <v>729</v>
      </c>
      <c r="Q1" s="7" t="s">
        <v>773</v>
      </c>
    </row>
    <row r="2" spans="1:17">
      <c r="A2" s="7">
        <v>93150535</v>
      </c>
      <c r="B2" s="7" t="s">
        <v>1345</v>
      </c>
      <c r="C2" s="61">
        <v>3015</v>
      </c>
      <c r="D2" s="5">
        <v>1507.5</v>
      </c>
      <c r="E2" s="5"/>
    </row>
    <row r="3" spans="1:17">
      <c r="A3" s="7">
        <v>93150536</v>
      </c>
      <c r="B3" s="7" t="s">
        <v>1346</v>
      </c>
      <c r="C3" s="61">
        <v>3086</v>
      </c>
      <c r="D3" s="5">
        <v>1543</v>
      </c>
      <c r="E3" s="5"/>
    </row>
    <row r="4" spans="1:17">
      <c r="A4" s="7">
        <v>93150537</v>
      </c>
      <c r="B4" s="7" t="s">
        <v>1347</v>
      </c>
      <c r="C4" s="61">
        <v>3241</v>
      </c>
      <c r="D4" s="5">
        <v>1620.5</v>
      </c>
      <c r="E4" s="5"/>
    </row>
    <row r="5" spans="1:17">
      <c r="A5" s="7">
        <v>93150538</v>
      </c>
      <c r="B5" s="7" t="s">
        <v>1348</v>
      </c>
      <c r="C5" s="61">
        <v>3307</v>
      </c>
      <c r="D5" s="5">
        <v>1653.5</v>
      </c>
      <c r="E5" s="5"/>
    </row>
    <row r="6" spans="1:17">
      <c r="A6" s="7">
        <v>93150539</v>
      </c>
      <c r="B6" s="7" t="s">
        <v>1348</v>
      </c>
      <c r="C6" s="61">
        <v>3377</v>
      </c>
      <c r="D6" s="5">
        <v>1688.5</v>
      </c>
      <c r="E6" s="5"/>
    </row>
    <row r="7" spans="1:17">
      <c r="A7" s="7">
        <v>93150550</v>
      </c>
      <c r="B7" s="7" t="s">
        <v>1349</v>
      </c>
      <c r="C7" s="61">
        <v>3607</v>
      </c>
      <c r="D7" s="5">
        <v>1803.5</v>
      </c>
      <c r="E7" s="5"/>
    </row>
    <row r="8" spans="1:17">
      <c r="A8" s="7">
        <v>93150552</v>
      </c>
      <c r="B8" s="7" t="s">
        <v>1350</v>
      </c>
      <c r="C8" s="61">
        <v>4462</v>
      </c>
      <c r="D8" s="5">
        <v>2231</v>
      </c>
      <c r="E8" s="5"/>
    </row>
    <row r="9" spans="1:17">
      <c r="A9" s="7">
        <v>93150553</v>
      </c>
      <c r="B9" s="7" t="s">
        <v>1351</v>
      </c>
      <c r="C9" s="61">
        <v>4171</v>
      </c>
      <c r="D9" s="5">
        <v>2085.5</v>
      </c>
      <c r="E9" s="5"/>
    </row>
    <row r="10" spans="1:17">
      <c r="A10" s="7">
        <v>93150554</v>
      </c>
      <c r="B10" s="7" t="s">
        <v>1352</v>
      </c>
      <c r="C10" s="61">
        <v>5070</v>
      </c>
      <c r="D10" s="5">
        <v>2535</v>
      </c>
      <c r="E10" s="5"/>
    </row>
    <row r="11" spans="1:17">
      <c r="A11" s="7">
        <v>93150555</v>
      </c>
      <c r="B11" s="7" t="s">
        <v>1353</v>
      </c>
      <c r="C11" s="61">
        <v>2989</v>
      </c>
      <c r="D11" s="5">
        <v>1494.5</v>
      </c>
      <c r="E11" s="5"/>
    </row>
    <row r="12" spans="1:17">
      <c r="A12" s="7">
        <v>93150556</v>
      </c>
      <c r="B12" s="7" t="s">
        <v>1354</v>
      </c>
      <c r="C12" s="61">
        <v>3111</v>
      </c>
      <c r="D12" s="5">
        <v>1555.5</v>
      </c>
      <c r="E12" s="5"/>
    </row>
    <row r="13" spans="1:17">
      <c r="A13" s="7">
        <v>93150558</v>
      </c>
      <c r="B13" s="7" t="s">
        <v>1355</v>
      </c>
      <c r="C13" s="61">
        <v>3247</v>
      </c>
      <c r="D13" s="5">
        <v>1623.5</v>
      </c>
      <c r="E13" s="5"/>
    </row>
    <row r="14" spans="1:17">
      <c r="A14" s="7">
        <v>93150570</v>
      </c>
      <c r="B14" s="7" t="s">
        <v>1356</v>
      </c>
      <c r="C14" s="61">
        <v>3706</v>
      </c>
      <c r="D14" s="5">
        <v>1853</v>
      </c>
      <c r="E14" s="5"/>
    </row>
    <row r="15" spans="1:17">
      <c r="A15" s="7">
        <v>93150574</v>
      </c>
      <c r="B15" s="7" t="s">
        <v>1357</v>
      </c>
      <c r="C15" s="61">
        <v>4545</v>
      </c>
      <c r="D15" s="5">
        <v>2272.5</v>
      </c>
      <c r="E15" s="5"/>
    </row>
    <row r="16" spans="1:17">
      <c r="A16" s="7">
        <v>93150575</v>
      </c>
      <c r="B16" s="7" t="s">
        <v>1358</v>
      </c>
      <c r="C16" s="61">
        <v>3187</v>
      </c>
      <c r="D16" s="5">
        <v>1593.5</v>
      </c>
      <c r="E16" s="5"/>
    </row>
    <row r="17" spans="1:5">
      <c r="A17" s="7">
        <v>93150576</v>
      </c>
      <c r="B17" s="7" t="s">
        <v>1358</v>
      </c>
      <c r="C17" s="61">
        <v>3258</v>
      </c>
      <c r="D17" s="5">
        <v>1629</v>
      </c>
      <c r="E17" s="5"/>
    </row>
    <row r="18" spans="1:5">
      <c r="A18" s="7">
        <v>93150577</v>
      </c>
      <c r="B18" s="7" t="s">
        <v>1359</v>
      </c>
      <c r="C18" s="61">
        <v>3550</v>
      </c>
      <c r="D18" s="5">
        <v>1775</v>
      </c>
      <c r="E18" s="5"/>
    </row>
    <row r="19" spans="1:5">
      <c r="A19" s="7">
        <v>93150579</v>
      </c>
      <c r="B19" s="7" t="s">
        <v>1360</v>
      </c>
      <c r="C19" s="61">
        <v>3981</v>
      </c>
      <c r="D19" s="5">
        <v>1990.5</v>
      </c>
      <c r="E19" s="5"/>
    </row>
    <row r="20" spans="1:5">
      <c r="A20" s="7">
        <v>93150592</v>
      </c>
      <c r="B20" s="7" t="s">
        <v>1345</v>
      </c>
      <c r="C20" s="61">
        <v>3311</v>
      </c>
      <c r="D20" s="5">
        <v>1655.5</v>
      </c>
      <c r="E20" s="5"/>
    </row>
    <row r="21" spans="1:5">
      <c r="A21" s="7">
        <v>93150593</v>
      </c>
      <c r="B21" s="7" t="s">
        <v>1346</v>
      </c>
      <c r="C21" s="61">
        <v>3382</v>
      </c>
      <c r="D21" s="5">
        <v>1691</v>
      </c>
      <c r="E21" s="5"/>
    </row>
    <row r="22" spans="1:5">
      <c r="A22" s="7">
        <v>93150594</v>
      </c>
      <c r="B22" s="7" t="s">
        <v>1347</v>
      </c>
      <c r="C22" s="61">
        <v>3544</v>
      </c>
      <c r="D22" s="5">
        <v>1772</v>
      </c>
      <c r="E22" s="5"/>
    </row>
    <row r="23" spans="1:5">
      <c r="A23" s="7">
        <v>93150595</v>
      </c>
      <c r="B23" s="7" t="s">
        <v>1348</v>
      </c>
      <c r="C23" s="61">
        <v>3610</v>
      </c>
      <c r="D23" s="5">
        <v>1805</v>
      </c>
      <c r="E23" s="5"/>
    </row>
    <row r="24" spans="1:5">
      <c r="A24" s="7">
        <v>93150596</v>
      </c>
      <c r="B24" s="7" t="s">
        <v>1348</v>
      </c>
      <c r="C24" s="61">
        <v>3713</v>
      </c>
      <c r="D24" s="5">
        <v>1856.5</v>
      </c>
      <c r="E24" s="5"/>
    </row>
    <row r="25" spans="1:5">
      <c r="A25" s="7">
        <v>93150597</v>
      </c>
      <c r="B25" s="7" t="s">
        <v>1349</v>
      </c>
      <c r="C25" s="61">
        <v>3943</v>
      </c>
      <c r="D25" s="5">
        <v>1971.5</v>
      </c>
      <c r="E25" s="5"/>
    </row>
    <row r="26" spans="1:5">
      <c r="A26" s="7">
        <v>93150620</v>
      </c>
      <c r="B26" s="7" t="s">
        <v>1350</v>
      </c>
      <c r="C26" s="61">
        <v>4758</v>
      </c>
      <c r="D26" s="5">
        <v>2379</v>
      </c>
      <c r="E26" s="5"/>
    </row>
    <row r="27" spans="1:5">
      <c r="A27" s="7">
        <v>93150621</v>
      </c>
      <c r="B27" s="7" t="s">
        <v>1351</v>
      </c>
      <c r="C27" s="61">
        <v>4544</v>
      </c>
      <c r="D27" s="5">
        <v>2272</v>
      </c>
      <c r="E27" s="5"/>
    </row>
    <row r="28" spans="1:5">
      <c r="A28" s="7">
        <v>93150622</v>
      </c>
      <c r="B28" s="7" t="s">
        <v>1352</v>
      </c>
      <c r="C28" s="61">
        <v>5366</v>
      </c>
      <c r="D28" s="5">
        <v>2683</v>
      </c>
      <c r="E28" s="5"/>
    </row>
    <row r="29" spans="1:5">
      <c r="A29" s="7">
        <v>93150623</v>
      </c>
      <c r="B29" s="7" t="s">
        <v>1352</v>
      </c>
      <c r="C29" s="61">
        <v>5892</v>
      </c>
      <c r="D29" s="5">
        <v>2946</v>
      </c>
      <c r="E29" s="5"/>
    </row>
    <row r="30" spans="1:5">
      <c r="A30" s="7">
        <v>93150625</v>
      </c>
      <c r="B30" s="7" t="s">
        <v>1361</v>
      </c>
      <c r="C30" s="61">
        <v>6079</v>
      </c>
      <c r="D30" s="5">
        <v>3039.5</v>
      </c>
      <c r="E30" s="5"/>
    </row>
    <row r="31" spans="1:5">
      <c r="A31" s="7">
        <v>93150626</v>
      </c>
      <c r="B31" s="7" t="s">
        <v>1361</v>
      </c>
      <c r="C31" s="61">
        <v>6525</v>
      </c>
      <c r="D31" s="5">
        <v>3262.5</v>
      </c>
      <c r="E31" s="5"/>
    </row>
    <row r="32" spans="1:5">
      <c r="A32" s="7">
        <v>93150627</v>
      </c>
      <c r="B32" s="7" t="s">
        <v>1353</v>
      </c>
      <c r="C32" s="61">
        <v>3286</v>
      </c>
      <c r="D32" s="5">
        <v>1643</v>
      </c>
      <c r="E32" s="5"/>
    </row>
    <row r="33" spans="1:5">
      <c r="A33" s="7">
        <v>93150628</v>
      </c>
      <c r="B33" s="7" t="s">
        <v>1354</v>
      </c>
      <c r="C33" s="61">
        <v>3414</v>
      </c>
      <c r="D33" s="5">
        <v>1707</v>
      </c>
      <c r="E33" s="5"/>
    </row>
    <row r="34" spans="1:5">
      <c r="A34" s="7">
        <v>93150640</v>
      </c>
      <c r="B34" s="7" t="s">
        <v>1355</v>
      </c>
      <c r="C34" s="61">
        <v>3584</v>
      </c>
      <c r="D34" s="5">
        <v>1792</v>
      </c>
      <c r="E34" s="5"/>
    </row>
    <row r="35" spans="1:5">
      <c r="A35" s="7">
        <v>93150642</v>
      </c>
      <c r="B35" s="7" t="s">
        <v>1356</v>
      </c>
      <c r="C35" s="61">
        <v>4080</v>
      </c>
      <c r="D35" s="5">
        <v>2040</v>
      </c>
      <c r="E35" s="5"/>
    </row>
    <row r="36" spans="1:5">
      <c r="A36" s="7">
        <v>93150646</v>
      </c>
      <c r="B36" s="7" t="s">
        <v>1357</v>
      </c>
      <c r="C36" s="61">
        <v>4842</v>
      </c>
      <c r="D36" s="5">
        <v>2421</v>
      </c>
      <c r="E36" s="5"/>
    </row>
    <row r="37" spans="1:5">
      <c r="A37" s="7">
        <v>93150647</v>
      </c>
      <c r="B37" s="7" t="s">
        <v>1362</v>
      </c>
      <c r="C37" s="61">
        <v>5534</v>
      </c>
      <c r="D37" s="5">
        <v>2767</v>
      </c>
      <c r="E37" s="5"/>
    </row>
    <row r="38" spans="1:5">
      <c r="A38" s="7">
        <v>93150649</v>
      </c>
      <c r="B38" s="7" t="s">
        <v>1363</v>
      </c>
      <c r="C38" s="61">
        <v>6313</v>
      </c>
      <c r="D38" s="5">
        <v>3156.5</v>
      </c>
      <c r="E38" s="5"/>
    </row>
    <row r="39" spans="1:5">
      <c r="A39" s="7">
        <v>93150662</v>
      </c>
      <c r="B39" s="7" t="s">
        <v>1358</v>
      </c>
      <c r="C39" s="61">
        <v>3495</v>
      </c>
      <c r="D39" s="5">
        <v>1747.5</v>
      </c>
      <c r="E39" s="5"/>
    </row>
    <row r="40" spans="1:5">
      <c r="A40" s="7">
        <v>93150664</v>
      </c>
      <c r="B40" s="7" t="s">
        <v>1358</v>
      </c>
      <c r="C40" s="61">
        <v>3600</v>
      </c>
      <c r="D40" s="5">
        <v>1800</v>
      </c>
      <c r="E40" s="5"/>
    </row>
    <row r="41" spans="1:5">
      <c r="A41" s="7">
        <v>93150665</v>
      </c>
      <c r="B41" s="7" t="s">
        <v>1359</v>
      </c>
      <c r="C41" s="61">
        <v>3929</v>
      </c>
      <c r="D41" s="5">
        <v>1964.5</v>
      </c>
      <c r="E41" s="5"/>
    </row>
    <row r="42" spans="1:5">
      <c r="A42" s="7">
        <v>93150667</v>
      </c>
      <c r="B42" s="7" t="s">
        <v>1360</v>
      </c>
      <c r="C42" s="61">
        <v>4282</v>
      </c>
      <c r="D42" s="5">
        <v>2141</v>
      </c>
      <c r="E42" s="5"/>
    </row>
    <row r="43" spans="1:5">
      <c r="A43" s="7">
        <v>93150669</v>
      </c>
      <c r="B43" s="7" t="s">
        <v>1364</v>
      </c>
      <c r="C43" s="61">
        <v>5332</v>
      </c>
      <c r="D43" s="5">
        <v>2666</v>
      </c>
      <c r="E43" s="5"/>
    </row>
    <row r="44" spans="1:5">
      <c r="A44" s="7">
        <v>93150682</v>
      </c>
      <c r="B44" s="7" t="s">
        <v>1365</v>
      </c>
      <c r="C44" s="61">
        <v>6289</v>
      </c>
      <c r="D44" s="5">
        <v>3144.5</v>
      </c>
      <c r="E44" s="5"/>
    </row>
    <row r="45" spans="1:5">
      <c r="A45" s="7">
        <v>93150683</v>
      </c>
      <c r="B45" s="7" t="s">
        <v>1365</v>
      </c>
      <c r="C45" s="61">
        <v>7029</v>
      </c>
      <c r="D45" s="5">
        <v>3514.5</v>
      </c>
      <c r="E45" s="5"/>
    </row>
    <row r="46" spans="1:5">
      <c r="A46" s="7">
        <v>93150686</v>
      </c>
      <c r="B46" s="7" t="s">
        <v>1366</v>
      </c>
      <c r="C46" s="61">
        <v>8172</v>
      </c>
      <c r="D46" s="5">
        <v>4086</v>
      </c>
      <c r="E46" s="5"/>
    </row>
    <row r="47" spans="1:5">
      <c r="A47" s="7">
        <v>93150688</v>
      </c>
      <c r="B47" s="7" t="s">
        <v>1367</v>
      </c>
      <c r="C47" s="61">
        <v>9801</v>
      </c>
      <c r="D47" s="5">
        <v>4900.5</v>
      </c>
      <c r="E47" s="5"/>
    </row>
    <row r="48" spans="1:5">
      <c r="A48" s="7">
        <v>93152124</v>
      </c>
      <c r="B48" s="7" t="s">
        <v>1368</v>
      </c>
      <c r="C48" s="61">
        <v>3569</v>
      </c>
      <c r="D48" s="5">
        <v>1784.5</v>
      </c>
      <c r="E48" s="5"/>
    </row>
    <row r="49" spans="1:5">
      <c r="A49" s="7">
        <v>93152127</v>
      </c>
      <c r="B49" s="7" t="s">
        <v>1369</v>
      </c>
      <c r="C49" s="61">
        <v>4465</v>
      </c>
      <c r="D49" s="5">
        <v>2232.5</v>
      </c>
      <c r="E49" s="5"/>
    </row>
    <row r="50" spans="1:5">
      <c r="A50" s="7">
        <v>93152130</v>
      </c>
      <c r="B50" s="7" t="s">
        <v>1370</v>
      </c>
      <c r="C50" s="61">
        <v>4456</v>
      </c>
      <c r="D50" s="5">
        <v>2228</v>
      </c>
      <c r="E50" s="5"/>
    </row>
    <row r="51" spans="1:5">
      <c r="A51" s="7">
        <v>93152132</v>
      </c>
      <c r="B51" s="7" t="s">
        <v>1368</v>
      </c>
      <c r="C51" s="61">
        <v>3902</v>
      </c>
      <c r="D51" s="5">
        <v>1951</v>
      </c>
      <c r="E51" s="5"/>
    </row>
    <row r="52" spans="1:5">
      <c r="A52" s="7">
        <v>93152134</v>
      </c>
      <c r="B52" s="7" t="s">
        <v>1369</v>
      </c>
      <c r="C52" s="61">
        <v>4758</v>
      </c>
      <c r="D52" s="5">
        <v>2379</v>
      </c>
      <c r="E52" s="5"/>
    </row>
    <row r="53" spans="1:5">
      <c r="A53" s="7">
        <v>93152136</v>
      </c>
      <c r="B53" s="7" t="s">
        <v>1371</v>
      </c>
      <c r="C53" s="61">
        <v>5646</v>
      </c>
      <c r="D53" s="5">
        <v>2823</v>
      </c>
      <c r="E53" s="5"/>
    </row>
    <row r="54" spans="1:5">
      <c r="A54" s="7">
        <v>93152138</v>
      </c>
      <c r="B54" s="7" t="s">
        <v>1372</v>
      </c>
      <c r="C54" s="61">
        <v>6228</v>
      </c>
      <c r="D54" s="5">
        <v>3114</v>
      </c>
      <c r="E54" s="5"/>
    </row>
    <row r="55" spans="1:5">
      <c r="A55" s="7">
        <v>93152140</v>
      </c>
      <c r="B55" s="7" t="s">
        <v>1373</v>
      </c>
      <c r="C55" s="61">
        <v>6376</v>
      </c>
      <c r="D55" s="5">
        <v>3188</v>
      </c>
      <c r="E55" s="5"/>
    </row>
    <row r="56" spans="1:5">
      <c r="A56" s="7">
        <v>93152142</v>
      </c>
      <c r="B56" s="7" t="s">
        <v>1373</v>
      </c>
      <c r="C56" s="61">
        <v>7096</v>
      </c>
      <c r="D56" s="5">
        <v>3548</v>
      </c>
      <c r="E56" s="5"/>
    </row>
    <row r="57" spans="1:5">
      <c r="A57" s="7">
        <v>93152145</v>
      </c>
      <c r="B57" s="7" t="s">
        <v>1374</v>
      </c>
      <c r="C57" s="61">
        <v>7603</v>
      </c>
      <c r="D57" s="5">
        <v>3801.5</v>
      </c>
      <c r="E57" s="5"/>
    </row>
    <row r="58" spans="1:5">
      <c r="A58" s="7">
        <v>93152148</v>
      </c>
      <c r="B58" s="7" t="s">
        <v>1375</v>
      </c>
      <c r="C58" s="61">
        <v>8868</v>
      </c>
      <c r="D58" s="5">
        <v>4434</v>
      </c>
      <c r="E58" s="5"/>
    </row>
    <row r="59" spans="1:5">
      <c r="A59" s="7">
        <v>93152149</v>
      </c>
      <c r="B59" s="7" t="s">
        <v>1376</v>
      </c>
      <c r="C59" s="61">
        <v>9164</v>
      </c>
      <c r="D59" s="5">
        <v>4582</v>
      </c>
      <c r="E59" s="5"/>
    </row>
    <row r="60" spans="1:5">
      <c r="A60" s="7">
        <v>93152154</v>
      </c>
      <c r="B60" s="7" t="s">
        <v>1377</v>
      </c>
      <c r="C60" s="61">
        <v>11123</v>
      </c>
      <c r="D60" s="5">
        <v>5561.5</v>
      </c>
      <c r="E60" s="5"/>
    </row>
    <row r="61" spans="1:5">
      <c r="A61" s="7">
        <v>93152157</v>
      </c>
      <c r="B61" s="7" t="s">
        <v>1370</v>
      </c>
      <c r="C61" s="61">
        <v>4749</v>
      </c>
      <c r="D61" s="5">
        <v>2374.5</v>
      </c>
      <c r="E61" s="5"/>
    </row>
    <row r="62" spans="1:5">
      <c r="A62" s="7">
        <v>93152160</v>
      </c>
      <c r="B62" s="7" t="s">
        <v>1370</v>
      </c>
      <c r="C62" s="61">
        <v>5268</v>
      </c>
      <c r="D62" s="5">
        <v>2634</v>
      </c>
      <c r="E62" s="5"/>
    </row>
    <row r="63" spans="1:5">
      <c r="A63" s="7">
        <v>93152162</v>
      </c>
      <c r="B63" s="7" t="s">
        <v>1378</v>
      </c>
      <c r="C63" s="61">
        <v>6343</v>
      </c>
      <c r="D63" s="5">
        <v>3171.5</v>
      </c>
      <c r="E63" s="5"/>
    </row>
    <row r="64" spans="1:5">
      <c r="A64" s="7">
        <v>93152164</v>
      </c>
      <c r="B64" s="7" t="s">
        <v>1378</v>
      </c>
      <c r="C64" s="61">
        <v>7062</v>
      </c>
      <c r="D64" s="5">
        <v>3531</v>
      </c>
      <c r="E64" s="5"/>
    </row>
    <row r="65" spans="1:5">
      <c r="A65" s="7">
        <v>93152166</v>
      </c>
      <c r="B65" s="7" t="s">
        <v>1379</v>
      </c>
      <c r="C65" s="61">
        <v>7555</v>
      </c>
      <c r="D65" s="5">
        <v>3777.5</v>
      </c>
      <c r="E65" s="5"/>
    </row>
    <row r="66" spans="1:5">
      <c r="A66" s="7">
        <v>93152168</v>
      </c>
      <c r="B66" s="7" t="s">
        <v>1379</v>
      </c>
      <c r="C66" s="61">
        <v>8320</v>
      </c>
      <c r="D66" s="5">
        <v>4160</v>
      </c>
      <c r="E66" s="5"/>
    </row>
    <row r="67" spans="1:5">
      <c r="A67" s="7">
        <v>93152170</v>
      </c>
      <c r="B67" s="7" t="s">
        <v>1380</v>
      </c>
      <c r="C67" s="61">
        <v>8972</v>
      </c>
      <c r="D67" s="5">
        <v>4486</v>
      </c>
      <c r="E67" s="5"/>
    </row>
    <row r="68" spans="1:5">
      <c r="A68" s="7">
        <v>93152171</v>
      </c>
      <c r="B68" s="7" t="s">
        <v>1380</v>
      </c>
      <c r="C68" s="61">
        <v>10056</v>
      </c>
      <c r="D68" s="5">
        <v>5028</v>
      </c>
      <c r="E68" s="5"/>
    </row>
    <row r="69" spans="1:5">
      <c r="A69" s="7">
        <v>93152173</v>
      </c>
      <c r="B69" s="7" t="s">
        <v>1381</v>
      </c>
      <c r="C69" s="61">
        <v>10562</v>
      </c>
      <c r="D69" s="5">
        <v>5281</v>
      </c>
      <c r="E69" s="5"/>
    </row>
    <row r="70" spans="1:5">
      <c r="A70" s="7">
        <v>93152176</v>
      </c>
      <c r="B70" s="7" t="s">
        <v>1382</v>
      </c>
      <c r="C70" s="61">
        <v>13124</v>
      </c>
      <c r="D70" s="5">
        <v>6562</v>
      </c>
      <c r="E70" s="5"/>
    </row>
    <row r="71" spans="1:5">
      <c r="A71" s="7">
        <v>93152178</v>
      </c>
      <c r="B71" s="7" t="s">
        <v>1383</v>
      </c>
      <c r="C71" s="61">
        <v>13511</v>
      </c>
      <c r="D71" s="5">
        <v>6755.5</v>
      </c>
      <c r="E71" s="5"/>
    </row>
    <row r="72" spans="1:5">
      <c r="A72" s="7">
        <v>93152183</v>
      </c>
      <c r="B72" s="7" t="s">
        <v>1384</v>
      </c>
      <c r="C72" s="61">
        <v>16497</v>
      </c>
      <c r="D72" s="5">
        <v>8248.5</v>
      </c>
      <c r="E72" s="5"/>
    </row>
    <row r="73" spans="1:5">
      <c r="A73" s="7">
        <v>93152185</v>
      </c>
      <c r="B73" s="7" t="s">
        <v>1384</v>
      </c>
      <c r="C73" s="61">
        <v>15338</v>
      </c>
      <c r="D73" s="5">
        <v>7669</v>
      </c>
      <c r="E73" s="5"/>
    </row>
    <row r="74" spans="1:5">
      <c r="A74" s="7">
        <v>93152188</v>
      </c>
      <c r="B74" s="7" t="s">
        <v>1385</v>
      </c>
      <c r="C74" s="61">
        <v>5797</v>
      </c>
      <c r="D74" s="5">
        <v>2898.5</v>
      </c>
      <c r="E74" s="5"/>
    </row>
    <row r="75" spans="1:5">
      <c r="A75" s="7">
        <v>93152200</v>
      </c>
      <c r="B75" s="7" t="s">
        <v>1386</v>
      </c>
      <c r="C75" s="61">
        <v>7791</v>
      </c>
      <c r="D75" s="5">
        <v>3895.5</v>
      </c>
      <c r="E75" s="5"/>
    </row>
    <row r="76" spans="1:5">
      <c r="A76" s="7">
        <v>93152201</v>
      </c>
      <c r="B76" s="7" t="s">
        <v>1387</v>
      </c>
      <c r="C76" s="61">
        <v>9256</v>
      </c>
      <c r="D76" s="5">
        <v>4628</v>
      </c>
      <c r="E76" s="5"/>
    </row>
    <row r="77" spans="1:5">
      <c r="A77" s="7">
        <v>93152204</v>
      </c>
      <c r="B77" s="7" t="s">
        <v>1388</v>
      </c>
      <c r="C77" s="61">
        <v>10900</v>
      </c>
      <c r="D77" s="5">
        <v>5450</v>
      </c>
      <c r="E77" s="5"/>
    </row>
    <row r="78" spans="1:5">
      <c r="A78" s="7">
        <v>93152206</v>
      </c>
      <c r="B78" s="7" t="s">
        <v>1389</v>
      </c>
      <c r="C78" s="61">
        <v>13716</v>
      </c>
      <c r="D78" s="5">
        <v>6858</v>
      </c>
      <c r="E78" s="5"/>
    </row>
    <row r="79" spans="1:5">
      <c r="A79" s="7">
        <v>93152208</v>
      </c>
      <c r="B79" s="7" t="s">
        <v>1390</v>
      </c>
      <c r="C79" s="61">
        <v>13945</v>
      </c>
      <c r="D79" s="5">
        <v>6972.5</v>
      </c>
      <c r="E79" s="5"/>
    </row>
    <row r="80" spans="1:5">
      <c r="A80" s="7">
        <v>93152210</v>
      </c>
      <c r="B80" s="7" t="s">
        <v>1391</v>
      </c>
      <c r="C80" s="61">
        <v>16806</v>
      </c>
      <c r="D80" s="5">
        <v>8403</v>
      </c>
      <c r="E80" s="5"/>
    </row>
    <row r="81" spans="1:5">
      <c r="A81" s="7">
        <v>93152212</v>
      </c>
      <c r="B81" s="7" t="s">
        <v>1392</v>
      </c>
      <c r="C81" s="61">
        <v>17036</v>
      </c>
      <c r="D81" s="5">
        <v>8518</v>
      </c>
      <c r="E81" s="5"/>
    </row>
    <row r="82" spans="1:5">
      <c r="A82" s="7">
        <v>93156068</v>
      </c>
      <c r="B82" s="7" t="s">
        <v>1393</v>
      </c>
      <c r="C82" s="61">
        <v>13480</v>
      </c>
      <c r="D82" s="5">
        <v>6740</v>
      </c>
      <c r="E82" s="5"/>
    </row>
    <row r="83" spans="1:5">
      <c r="A83" s="7">
        <v>93156163</v>
      </c>
      <c r="B83" s="7" t="s">
        <v>1394</v>
      </c>
      <c r="C83" s="61">
        <v>20240</v>
      </c>
      <c r="D83" s="5">
        <v>10120</v>
      </c>
      <c r="E83" s="5"/>
    </row>
    <row r="84" spans="1:5">
      <c r="A84" s="7">
        <v>93208161</v>
      </c>
      <c r="B84" s="7" t="s">
        <v>1395</v>
      </c>
      <c r="C84" s="61">
        <v>22401</v>
      </c>
      <c r="D84" s="5">
        <v>11200.5</v>
      </c>
      <c r="E84" s="5"/>
    </row>
    <row r="85" spans="1:5">
      <c r="A85" s="7">
        <v>93208162</v>
      </c>
      <c r="B85" s="7" t="s">
        <v>1396</v>
      </c>
      <c r="C85" s="61">
        <v>26473</v>
      </c>
      <c r="D85" s="5">
        <v>13236.5</v>
      </c>
      <c r="E85" s="5"/>
    </row>
    <row r="86" spans="1:5">
      <c r="A86" s="7">
        <v>93208163</v>
      </c>
      <c r="B86" s="7" t="s">
        <v>1396</v>
      </c>
      <c r="C86" s="61">
        <v>28000</v>
      </c>
      <c r="D86" s="5">
        <v>14000</v>
      </c>
      <c r="E86" s="5"/>
    </row>
    <row r="87" spans="1:5">
      <c r="A87" s="7">
        <v>93208164</v>
      </c>
      <c r="B87" s="7" t="s">
        <v>1397</v>
      </c>
      <c r="C87" s="61">
        <v>30325</v>
      </c>
      <c r="D87" s="5">
        <v>15162.5</v>
      </c>
      <c r="E87" s="5"/>
    </row>
    <row r="88" spans="1:5">
      <c r="A88" s="7">
        <v>93208165</v>
      </c>
      <c r="B88" s="7" t="s">
        <v>1398</v>
      </c>
      <c r="C88" s="61">
        <v>21901</v>
      </c>
      <c r="D88" s="5">
        <v>10950.5</v>
      </c>
      <c r="E88" s="5"/>
    </row>
    <row r="89" spans="1:5">
      <c r="A89" s="7">
        <v>93208166</v>
      </c>
      <c r="B89" s="7" t="s">
        <v>1399</v>
      </c>
      <c r="C89" s="61">
        <v>26062</v>
      </c>
      <c r="D89" s="5">
        <v>13031</v>
      </c>
      <c r="E89" s="5"/>
    </row>
    <row r="90" spans="1:5">
      <c r="A90" s="7">
        <v>93208167</v>
      </c>
      <c r="B90" s="7" t="s">
        <v>1400</v>
      </c>
      <c r="C90" s="61">
        <v>29465</v>
      </c>
      <c r="D90" s="5">
        <v>14732.5</v>
      </c>
      <c r="E90" s="5"/>
    </row>
    <row r="91" spans="1:5">
      <c r="A91" s="7">
        <v>93208168</v>
      </c>
      <c r="B91" s="7" t="s">
        <v>1401</v>
      </c>
      <c r="C91" s="61">
        <v>22517</v>
      </c>
      <c r="D91" s="5">
        <v>11258.5</v>
      </c>
      <c r="E91" s="5"/>
    </row>
    <row r="92" spans="1:5">
      <c r="A92" s="7">
        <v>93208169</v>
      </c>
      <c r="B92" s="7" t="s">
        <v>1402</v>
      </c>
      <c r="C92" s="61">
        <v>26835</v>
      </c>
      <c r="D92" s="5">
        <v>13417.5</v>
      </c>
      <c r="E92" s="5"/>
    </row>
    <row r="93" spans="1:5">
      <c r="A93" s="7">
        <v>93208170</v>
      </c>
      <c r="B93" s="7" t="s">
        <v>1403</v>
      </c>
      <c r="C93" s="61">
        <v>28584</v>
      </c>
      <c r="D93" s="5">
        <v>14292</v>
      </c>
      <c r="E93" s="5"/>
    </row>
    <row r="94" spans="1:5">
      <c r="A94" s="7">
        <v>99332026</v>
      </c>
      <c r="B94" s="7" t="s">
        <v>1404</v>
      </c>
      <c r="C94" s="61">
        <v>19163</v>
      </c>
      <c r="D94" s="5">
        <v>9581.5</v>
      </c>
      <c r="E94" s="5"/>
    </row>
    <row r="95" spans="1:5">
      <c r="A95" s="7">
        <v>99332027</v>
      </c>
      <c r="B95" s="7" t="s">
        <v>1405</v>
      </c>
      <c r="C95" s="61">
        <v>18637</v>
      </c>
      <c r="D95" s="5">
        <v>9318.5</v>
      </c>
      <c r="E95" s="5"/>
    </row>
    <row r="96" spans="1:5">
      <c r="A96" s="7">
        <v>99332028</v>
      </c>
      <c r="B96" s="7" t="s">
        <v>1406</v>
      </c>
      <c r="C96" s="61">
        <v>18637</v>
      </c>
      <c r="D96" s="5">
        <v>9318.5</v>
      </c>
      <c r="E96" s="5"/>
    </row>
    <row r="97" spans="1:5">
      <c r="A97" s="7">
        <v>99353293</v>
      </c>
      <c r="B97" s="7" t="s">
        <v>1407</v>
      </c>
      <c r="C97" s="61">
        <v>12164</v>
      </c>
      <c r="D97" s="5">
        <v>6082</v>
      </c>
      <c r="E97" s="5"/>
    </row>
    <row r="98" spans="1:5">
      <c r="A98" s="7">
        <v>99357925</v>
      </c>
      <c r="B98" s="7" t="s">
        <v>1408</v>
      </c>
      <c r="C98" s="61">
        <v>14641</v>
      </c>
      <c r="D98" s="5">
        <v>7320.5</v>
      </c>
      <c r="E98" s="5"/>
    </row>
    <row r="99" spans="1:5">
      <c r="A99" s="7">
        <v>99444071</v>
      </c>
      <c r="B99" s="7" t="s">
        <v>1409</v>
      </c>
      <c r="C99" s="61">
        <v>11929</v>
      </c>
      <c r="D99" s="5">
        <v>5964.5</v>
      </c>
      <c r="E99" s="5"/>
    </row>
    <row r="100" spans="1:5">
      <c r="A100" s="7">
        <v>99597276</v>
      </c>
      <c r="B100" s="7" t="s">
        <v>1410</v>
      </c>
      <c r="C100" s="61">
        <v>7686</v>
      </c>
      <c r="D100" s="5">
        <v>3843</v>
      </c>
      <c r="E100" s="5"/>
    </row>
    <row r="101" spans="1:5">
      <c r="A101" s="7">
        <v>99845662</v>
      </c>
      <c r="B101" s="7" t="s">
        <v>1411</v>
      </c>
      <c r="C101" s="61">
        <v>7686</v>
      </c>
      <c r="D101" s="5">
        <v>3843</v>
      </c>
      <c r="E101" s="5"/>
    </row>
    <row r="102" spans="1:5">
      <c r="A102" s="7">
        <v>99847005</v>
      </c>
      <c r="B102" s="7" t="s">
        <v>1412</v>
      </c>
      <c r="C102" s="61">
        <v>14371</v>
      </c>
      <c r="D102" s="5">
        <v>7185.5</v>
      </c>
      <c r="E102" s="5"/>
    </row>
    <row r="103" spans="1:5">
      <c r="A103" s="7">
        <v>99847008</v>
      </c>
      <c r="B103" s="7" t="s">
        <v>1413</v>
      </c>
      <c r="C103" s="61">
        <v>14101</v>
      </c>
      <c r="D103" s="5">
        <v>7050.5</v>
      </c>
      <c r="E103" s="5"/>
    </row>
    <row r="104" spans="1:5">
      <c r="A104" s="7">
        <v>99852769</v>
      </c>
      <c r="B104" s="7" t="s">
        <v>1414</v>
      </c>
      <c r="C104" s="61">
        <v>18867</v>
      </c>
      <c r="D104" s="5">
        <v>9433.5</v>
      </c>
      <c r="E10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R554"/>
  <sheetViews>
    <sheetView workbookViewId="0"/>
  </sheetViews>
  <sheetFormatPr defaultColWidth="12.5703125" defaultRowHeight="15.75" customHeight="1"/>
  <sheetData>
    <row r="1" spans="1:18">
      <c r="A1" s="7" t="s">
        <v>66</v>
      </c>
      <c r="B1" s="7" t="s">
        <v>8</v>
      </c>
      <c r="C1" s="7" t="s">
        <v>701</v>
      </c>
      <c r="D1" s="7" t="s">
        <v>288</v>
      </c>
      <c r="E1" s="7" t="s">
        <v>703</v>
      </c>
      <c r="F1" s="7" t="s">
        <v>705</v>
      </c>
      <c r="G1" s="7" t="s">
        <v>722</v>
      </c>
      <c r="H1" s="7" t="s">
        <v>723</v>
      </c>
      <c r="I1" s="7" t="s">
        <v>695</v>
      </c>
      <c r="J1" s="7" t="s">
        <v>706</v>
      </c>
      <c r="K1" s="7" t="s">
        <v>724</v>
      </c>
      <c r="L1" s="8" t="s">
        <v>725</v>
      </c>
      <c r="M1" s="7" t="s">
        <v>726</v>
      </c>
      <c r="N1" s="7" t="s">
        <v>727</v>
      </c>
      <c r="O1" s="7" t="s">
        <v>728</v>
      </c>
      <c r="P1" s="7" t="s">
        <v>729</v>
      </c>
      <c r="Q1" s="7" t="s">
        <v>773</v>
      </c>
    </row>
    <row r="2" spans="1:18">
      <c r="A2" s="7">
        <v>92501229</v>
      </c>
      <c r="B2" s="7" t="s">
        <v>1415</v>
      </c>
      <c r="C2" s="61">
        <v>50110</v>
      </c>
      <c r="D2" s="5">
        <v>25055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7">
        <v>92501241</v>
      </c>
      <c r="B3" s="7" t="s">
        <v>1416</v>
      </c>
      <c r="C3" s="61">
        <v>62221</v>
      </c>
      <c r="D3" s="5">
        <v>31110.5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7">
        <v>92501258</v>
      </c>
      <c r="B4" s="7" t="s">
        <v>1417</v>
      </c>
      <c r="C4" s="61">
        <v>72528</v>
      </c>
      <c r="D4" s="5">
        <v>36264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7">
        <v>92501275</v>
      </c>
      <c r="B5" s="7" t="s">
        <v>1418</v>
      </c>
      <c r="C5" s="61">
        <v>86857</v>
      </c>
      <c r="D5" s="5">
        <v>43428.5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7">
        <v>92501288</v>
      </c>
      <c r="B6" s="7" t="s">
        <v>1419</v>
      </c>
      <c r="C6" s="61">
        <v>88878</v>
      </c>
      <c r="D6" s="5">
        <v>44439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7">
        <v>92501326</v>
      </c>
      <c r="B7" s="7" t="s">
        <v>1420</v>
      </c>
      <c r="C7" s="61">
        <v>103435</v>
      </c>
      <c r="D7" s="5">
        <v>51717.5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7">
        <v>92501790</v>
      </c>
      <c r="B8" s="7" t="s">
        <v>1421</v>
      </c>
      <c r="C8" s="61">
        <v>111594</v>
      </c>
      <c r="D8" s="5">
        <v>55797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7">
        <v>92501806</v>
      </c>
      <c r="B9" s="7" t="s">
        <v>1422</v>
      </c>
      <c r="C9" s="61">
        <v>111594</v>
      </c>
      <c r="D9" s="5">
        <v>55797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7">
        <v>92501843</v>
      </c>
      <c r="B10" s="7" t="s">
        <v>1423</v>
      </c>
      <c r="C10" s="61">
        <v>126584</v>
      </c>
      <c r="D10" s="5">
        <v>63292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7">
        <v>92501857</v>
      </c>
      <c r="B11" s="7" t="s">
        <v>1424</v>
      </c>
      <c r="C11" s="61">
        <v>126584</v>
      </c>
      <c r="D11" s="5">
        <v>63292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7">
        <v>92501881</v>
      </c>
      <c r="B12" s="7" t="s">
        <v>1425</v>
      </c>
      <c r="C12" s="61">
        <v>146854</v>
      </c>
      <c r="D12" s="5">
        <v>73427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7">
        <v>92501906</v>
      </c>
      <c r="B13" s="7" t="s">
        <v>1426</v>
      </c>
      <c r="C13" s="61">
        <v>146854</v>
      </c>
      <c r="D13" s="5">
        <v>73427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7">
        <v>92501928</v>
      </c>
      <c r="B14" s="7" t="s">
        <v>1427</v>
      </c>
      <c r="C14" s="61">
        <v>173263</v>
      </c>
      <c r="D14" s="5">
        <v>86631.5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7">
        <v>92501945</v>
      </c>
      <c r="B15" s="7" t="s">
        <v>1428</v>
      </c>
      <c r="C15" s="61">
        <v>173263</v>
      </c>
      <c r="D15" s="5">
        <v>86631.5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7">
        <v>92541301</v>
      </c>
      <c r="B16" s="7" t="s">
        <v>1429</v>
      </c>
      <c r="C16" s="61">
        <v>50110</v>
      </c>
      <c r="D16" s="5">
        <v>25055</v>
      </c>
      <c r="E16" s="5"/>
      <c r="F16" s="5"/>
      <c r="G16" s="5"/>
      <c r="H16" s="5"/>
      <c r="I16" s="5"/>
      <c r="J16" s="5"/>
      <c r="K16" s="5"/>
      <c r="L16" s="8"/>
      <c r="M16" s="5"/>
      <c r="N16" s="5"/>
      <c r="O16" s="5"/>
      <c r="P16" s="5"/>
      <c r="Q16" s="5"/>
      <c r="R16" s="5"/>
    </row>
    <row r="17" spans="1:18">
      <c r="A17" s="7">
        <v>92541302</v>
      </c>
      <c r="B17" s="7" t="s">
        <v>1430</v>
      </c>
      <c r="C17" s="61">
        <v>62221</v>
      </c>
      <c r="D17" s="5">
        <v>31110.5</v>
      </c>
      <c r="E17" s="5"/>
      <c r="F17" s="5"/>
      <c r="G17" s="5"/>
      <c r="H17" s="5"/>
      <c r="I17" s="5"/>
      <c r="J17" s="5"/>
      <c r="K17" s="5"/>
      <c r="L17" s="8"/>
      <c r="M17" s="5"/>
      <c r="N17" s="5"/>
      <c r="O17" s="5"/>
      <c r="P17" s="5"/>
      <c r="Q17" s="5"/>
      <c r="R17" s="5"/>
    </row>
    <row r="18" spans="1:18">
      <c r="A18" s="7">
        <v>92541303</v>
      </c>
      <c r="B18" s="7" t="s">
        <v>1431</v>
      </c>
      <c r="C18" s="61">
        <v>75317</v>
      </c>
      <c r="D18" s="5">
        <v>37658.5</v>
      </c>
      <c r="E18" s="5"/>
      <c r="F18" s="5"/>
      <c r="G18" s="5"/>
      <c r="H18" s="5"/>
      <c r="I18" s="5"/>
      <c r="J18" s="5"/>
      <c r="K18" s="5"/>
      <c r="L18" s="8"/>
      <c r="M18" s="5"/>
      <c r="N18" s="5"/>
      <c r="O18" s="5"/>
      <c r="P18" s="5"/>
      <c r="Q18" s="5"/>
      <c r="R18" s="5"/>
    </row>
    <row r="19" spans="1:18">
      <c r="A19" s="7">
        <v>92541304</v>
      </c>
      <c r="B19" s="7" t="s">
        <v>1432</v>
      </c>
      <c r="C19" s="61">
        <v>86857</v>
      </c>
      <c r="D19" s="5">
        <v>43428.5</v>
      </c>
      <c r="E19" s="5"/>
      <c r="F19" s="5"/>
      <c r="G19" s="5"/>
      <c r="H19" s="5"/>
      <c r="I19" s="5"/>
      <c r="J19" s="5"/>
      <c r="K19" s="5"/>
      <c r="L19" s="8"/>
      <c r="M19" s="5"/>
      <c r="N19" s="5"/>
      <c r="O19" s="5"/>
      <c r="P19" s="5"/>
      <c r="Q19" s="5"/>
      <c r="R19" s="5"/>
    </row>
    <row r="20" spans="1:18">
      <c r="A20" s="7">
        <v>92541305</v>
      </c>
      <c r="B20" s="7" t="s">
        <v>1433</v>
      </c>
      <c r="C20" s="61">
        <v>88878</v>
      </c>
      <c r="D20" s="5">
        <v>44439</v>
      </c>
      <c r="E20" s="5"/>
      <c r="F20" s="5"/>
      <c r="G20" s="5"/>
      <c r="H20" s="5"/>
      <c r="I20" s="5"/>
      <c r="J20" s="5"/>
      <c r="K20" s="5"/>
      <c r="L20" s="8"/>
      <c r="M20" s="5"/>
      <c r="N20" s="5"/>
      <c r="O20" s="5"/>
      <c r="P20" s="5"/>
      <c r="Q20" s="5"/>
      <c r="R20" s="5"/>
    </row>
    <row r="21" spans="1:18">
      <c r="A21" s="7">
        <v>92541306</v>
      </c>
      <c r="B21" s="7" t="s">
        <v>1434</v>
      </c>
      <c r="C21" s="61">
        <v>103435</v>
      </c>
      <c r="D21" s="5">
        <v>51717.5</v>
      </c>
      <c r="E21" s="5"/>
      <c r="F21" s="5"/>
      <c r="G21" s="5"/>
      <c r="H21" s="5"/>
      <c r="I21" s="5"/>
      <c r="J21" s="5"/>
      <c r="K21" s="5"/>
      <c r="L21" s="8"/>
      <c r="M21" s="5"/>
      <c r="N21" s="5"/>
      <c r="O21" s="5"/>
      <c r="P21" s="5"/>
      <c r="Q21" s="5"/>
      <c r="R21" s="5"/>
    </row>
    <row r="22" spans="1:18">
      <c r="A22" s="7">
        <v>92541308</v>
      </c>
      <c r="B22" s="7" t="s">
        <v>1435</v>
      </c>
      <c r="C22" s="61">
        <v>116061</v>
      </c>
      <c r="D22" s="5">
        <v>58030.5</v>
      </c>
      <c r="E22" s="5"/>
      <c r="F22" s="5"/>
      <c r="G22" s="5"/>
      <c r="H22" s="5"/>
      <c r="I22" s="5"/>
      <c r="J22" s="5"/>
      <c r="K22" s="5"/>
      <c r="L22" s="8"/>
      <c r="M22" s="5"/>
      <c r="N22" s="5"/>
      <c r="O22" s="5"/>
      <c r="P22" s="5"/>
      <c r="Q22" s="5"/>
      <c r="R22" s="5"/>
    </row>
    <row r="23" spans="1:18">
      <c r="A23" s="7">
        <v>92541309</v>
      </c>
      <c r="B23" s="7" t="s">
        <v>1436</v>
      </c>
      <c r="C23" s="61">
        <v>124563</v>
      </c>
      <c r="D23" s="5">
        <v>62281.5</v>
      </c>
      <c r="E23" s="5"/>
      <c r="F23" s="5"/>
      <c r="G23" s="5"/>
      <c r="H23" s="5"/>
      <c r="I23" s="5"/>
      <c r="J23" s="5"/>
      <c r="K23" s="5"/>
      <c r="L23" s="8"/>
      <c r="M23" s="5"/>
      <c r="N23" s="5"/>
      <c r="O23" s="5"/>
      <c r="P23" s="5"/>
      <c r="Q23" s="5"/>
      <c r="R23" s="5"/>
    </row>
    <row r="24" spans="1:18">
      <c r="A24" s="7">
        <v>92541311</v>
      </c>
      <c r="B24" s="7" t="s">
        <v>1437</v>
      </c>
      <c r="C24" s="61">
        <v>126584</v>
      </c>
      <c r="D24" s="5">
        <v>63292</v>
      </c>
      <c r="E24" s="5"/>
      <c r="F24" s="5"/>
      <c r="G24" s="5"/>
      <c r="H24" s="5"/>
      <c r="I24" s="5"/>
      <c r="J24" s="5"/>
      <c r="K24" s="5"/>
      <c r="L24" s="8"/>
      <c r="M24" s="5"/>
      <c r="N24" s="5"/>
      <c r="O24" s="5"/>
      <c r="P24" s="5"/>
      <c r="Q24" s="5"/>
      <c r="R24" s="5"/>
    </row>
    <row r="25" spans="1:18">
      <c r="A25" s="7">
        <v>92541312</v>
      </c>
      <c r="B25" s="7" t="s">
        <v>1438</v>
      </c>
      <c r="C25" s="61">
        <v>146854</v>
      </c>
      <c r="D25" s="5">
        <v>73427</v>
      </c>
      <c r="E25" s="5"/>
      <c r="F25" s="5"/>
      <c r="G25" s="5"/>
      <c r="H25" s="5"/>
      <c r="I25" s="5"/>
      <c r="J25" s="5"/>
      <c r="K25" s="5"/>
      <c r="L25" s="8"/>
      <c r="M25" s="5"/>
      <c r="N25" s="5"/>
      <c r="O25" s="5"/>
      <c r="P25" s="5"/>
      <c r="Q25" s="5"/>
      <c r="R25" s="5"/>
    </row>
    <row r="26" spans="1:18">
      <c r="A26" s="7">
        <v>92541313</v>
      </c>
      <c r="B26" s="7" t="s">
        <v>1439</v>
      </c>
      <c r="C26" s="61">
        <v>148875</v>
      </c>
      <c r="D26" s="5">
        <v>74437.5</v>
      </c>
      <c r="E26" s="5"/>
      <c r="F26" s="5"/>
      <c r="G26" s="5"/>
      <c r="H26" s="5"/>
      <c r="I26" s="5"/>
      <c r="J26" s="5"/>
      <c r="K26" s="5"/>
      <c r="L26" s="8"/>
      <c r="M26" s="5"/>
      <c r="N26" s="5"/>
      <c r="O26" s="5"/>
      <c r="P26" s="5"/>
      <c r="Q26" s="5"/>
      <c r="R26" s="5"/>
    </row>
    <row r="27" spans="1:18">
      <c r="A27" s="7">
        <v>92541314</v>
      </c>
      <c r="B27" s="7" t="s">
        <v>1440</v>
      </c>
      <c r="C27" s="61">
        <v>173263</v>
      </c>
      <c r="D27" s="5">
        <v>86631.5</v>
      </c>
      <c r="E27" s="5"/>
      <c r="F27" s="5"/>
      <c r="G27" s="5"/>
      <c r="H27" s="5"/>
      <c r="I27" s="5"/>
      <c r="J27" s="5"/>
      <c r="K27" s="5"/>
      <c r="L27" s="8"/>
      <c r="M27" s="5"/>
      <c r="N27" s="5"/>
      <c r="O27" s="5"/>
      <c r="P27" s="5"/>
      <c r="Q27" s="5"/>
      <c r="R27" s="5"/>
    </row>
    <row r="28" spans="1:18">
      <c r="A28" s="7">
        <v>92541317</v>
      </c>
      <c r="B28" s="7" t="s">
        <v>1441</v>
      </c>
      <c r="C28" s="61">
        <v>175283</v>
      </c>
      <c r="D28" s="5">
        <v>87641.5</v>
      </c>
      <c r="E28" s="5"/>
      <c r="F28" s="5"/>
      <c r="G28" s="5"/>
      <c r="H28" s="5"/>
      <c r="I28" s="5"/>
      <c r="J28" s="5"/>
      <c r="K28" s="5"/>
      <c r="L28" s="8"/>
      <c r="M28" s="5"/>
      <c r="N28" s="5"/>
      <c r="O28" s="5"/>
      <c r="P28" s="5"/>
      <c r="Q28" s="5"/>
      <c r="R28" s="5"/>
    </row>
    <row r="29" spans="1:18">
      <c r="A29" s="7">
        <v>92541523</v>
      </c>
      <c r="B29" s="7" t="s">
        <v>1442</v>
      </c>
      <c r="C29" s="61">
        <v>41885</v>
      </c>
      <c r="D29" s="5">
        <v>20942.5</v>
      </c>
      <c r="E29" s="5"/>
      <c r="F29" s="5"/>
      <c r="G29" s="5"/>
      <c r="H29" s="5"/>
      <c r="I29" s="5"/>
      <c r="J29" s="5"/>
      <c r="K29" s="5"/>
      <c r="L29" s="8"/>
      <c r="M29" s="5"/>
      <c r="N29" s="5"/>
      <c r="O29" s="5"/>
      <c r="P29" s="5"/>
      <c r="Q29" s="5"/>
      <c r="R29" s="5"/>
    </row>
    <row r="30" spans="1:18">
      <c r="A30" s="7">
        <v>92541525</v>
      </c>
      <c r="B30" s="7" t="s">
        <v>1443</v>
      </c>
      <c r="C30" s="61">
        <v>62245</v>
      </c>
      <c r="D30" s="5">
        <v>31122.5</v>
      </c>
      <c r="E30" s="5"/>
      <c r="F30" s="5"/>
      <c r="G30" s="5"/>
      <c r="H30" s="5"/>
      <c r="I30" s="5"/>
      <c r="J30" s="5"/>
      <c r="K30" s="5"/>
      <c r="L30" s="8"/>
      <c r="M30" s="5"/>
      <c r="N30" s="5"/>
      <c r="O30" s="5"/>
      <c r="P30" s="5"/>
      <c r="Q30" s="5"/>
      <c r="R30" s="5"/>
    </row>
    <row r="31" spans="1:18">
      <c r="A31" s="7">
        <v>92541527</v>
      </c>
      <c r="B31" s="7" t="s">
        <v>1444</v>
      </c>
      <c r="C31" s="61">
        <v>75347</v>
      </c>
      <c r="D31" s="5">
        <v>37673.5</v>
      </c>
      <c r="E31" s="5"/>
      <c r="F31" s="5"/>
      <c r="G31" s="5"/>
      <c r="H31" s="5"/>
      <c r="I31" s="5"/>
      <c r="J31" s="5"/>
      <c r="K31" s="5"/>
      <c r="L31" s="8"/>
      <c r="M31" s="5"/>
      <c r="N31" s="5"/>
      <c r="O31" s="5"/>
      <c r="P31" s="5"/>
      <c r="Q31" s="5"/>
      <c r="R31" s="5"/>
    </row>
    <row r="32" spans="1:18">
      <c r="A32" s="7">
        <v>92541530</v>
      </c>
      <c r="B32" s="7" t="s">
        <v>1445</v>
      </c>
      <c r="C32" s="61">
        <v>92331</v>
      </c>
      <c r="D32" s="5">
        <v>46165.5</v>
      </c>
      <c r="E32" s="5"/>
      <c r="F32" s="5"/>
      <c r="G32" s="5"/>
      <c r="H32" s="5"/>
      <c r="I32" s="5"/>
      <c r="J32" s="5"/>
      <c r="K32" s="5"/>
      <c r="L32" s="8"/>
      <c r="M32" s="5"/>
      <c r="N32" s="5"/>
      <c r="O32" s="5"/>
      <c r="P32" s="5"/>
      <c r="Q32" s="5"/>
      <c r="R32" s="5"/>
    </row>
    <row r="33" spans="1:18">
      <c r="A33" s="7">
        <v>92541532</v>
      </c>
      <c r="B33" s="7" t="s">
        <v>1446</v>
      </c>
      <c r="C33" s="61">
        <v>107454</v>
      </c>
      <c r="D33" s="5">
        <v>53727</v>
      </c>
      <c r="E33" s="5"/>
      <c r="F33" s="5"/>
      <c r="G33" s="5"/>
      <c r="H33" s="5"/>
      <c r="I33" s="5"/>
      <c r="J33" s="5"/>
      <c r="K33" s="5"/>
      <c r="L33" s="8"/>
      <c r="M33" s="5"/>
      <c r="N33" s="5"/>
      <c r="O33" s="5"/>
      <c r="P33" s="5"/>
      <c r="Q33" s="5"/>
      <c r="R33" s="5"/>
    </row>
    <row r="34" spans="1:18">
      <c r="A34" s="7">
        <v>92541533</v>
      </c>
      <c r="B34" s="7" t="s">
        <v>1447</v>
      </c>
      <c r="C34" s="61">
        <v>116106</v>
      </c>
      <c r="D34" s="5">
        <v>58053</v>
      </c>
      <c r="E34" s="5"/>
      <c r="F34" s="5"/>
      <c r="G34" s="5"/>
      <c r="H34" s="5"/>
      <c r="I34" s="5"/>
      <c r="J34" s="5"/>
      <c r="K34" s="5"/>
      <c r="L34" s="8"/>
      <c r="M34" s="5"/>
      <c r="N34" s="5"/>
      <c r="O34" s="5"/>
      <c r="P34" s="5"/>
      <c r="Q34" s="5"/>
      <c r="R34" s="5"/>
    </row>
    <row r="35" spans="1:18">
      <c r="A35" s="7">
        <v>92541536</v>
      </c>
      <c r="B35" s="7" t="s">
        <v>1448</v>
      </c>
      <c r="C35" s="61">
        <v>131699</v>
      </c>
      <c r="D35" s="5">
        <v>65849.5</v>
      </c>
      <c r="E35" s="5"/>
      <c r="F35" s="5"/>
      <c r="G35" s="5"/>
      <c r="H35" s="5"/>
      <c r="I35" s="5"/>
      <c r="J35" s="5"/>
      <c r="K35" s="5"/>
      <c r="L35" s="8"/>
      <c r="M35" s="5"/>
      <c r="N35" s="5"/>
      <c r="O35" s="5"/>
      <c r="P35" s="5"/>
      <c r="Q35" s="5"/>
      <c r="R35" s="5"/>
    </row>
    <row r="36" spans="1:18">
      <c r="A36" s="7">
        <v>92541538</v>
      </c>
      <c r="B36" s="7" t="s">
        <v>1449</v>
      </c>
      <c r="C36" s="61">
        <v>146910</v>
      </c>
      <c r="D36" s="5">
        <v>73455</v>
      </c>
      <c r="E36" s="5"/>
      <c r="F36" s="5"/>
      <c r="G36" s="5"/>
      <c r="H36" s="5"/>
      <c r="I36" s="5"/>
      <c r="J36" s="5"/>
      <c r="K36" s="5"/>
      <c r="L36" s="8"/>
      <c r="M36" s="5"/>
      <c r="N36" s="5"/>
      <c r="O36" s="5"/>
      <c r="P36" s="5"/>
      <c r="Q36" s="5"/>
      <c r="R36" s="5"/>
    </row>
    <row r="37" spans="1:18">
      <c r="A37" s="7">
        <v>92541539</v>
      </c>
      <c r="B37" s="7" t="s">
        <v>1450</v>
      </c>
      <c r="C37" s="61">
        <v>148932</v>
      </c>
      <c r="D37" s="5">
        <v>74466</v>
      </c>
      <c r="E37" s="5"/>
      <c r="F37" s="5"/>
      <c r="G37" s="5"/>
      <c r="H37" s="5"/>
      <c r="I37" s="5"/>
      <c r="J37" s="5"/>
      <c r="K37" s="5"/>
      <c r="L37" s="8"/>
      <c r="M37" s="5"/>
      <c r="N37" s="5"/>
      <c r="O37" s="5"/>
      <c r="P37" s="5"/>
      <c r="Q37" s="5"/>
      <c r="R37" s="5"/>
    </row>
    <row r="38" spans="1:18">
      <c r="A38" s="7">
        <v>92541542</v>
      </c>
      <c r="B38" s="7" t="s">
        <v>1451</v>
      </c>
      <c r="C38" s="61">
        <v>173329</v>
      </c>
      <c r="D38" s="5">
        <v>86664.5</v>
      </c>
      <c r="E38" s="5"/>
      <c r="F38" s="5"/>
      <c r="G38" s="5"/>
      <c r="H38" s="5"/>
      <c r="I38" s="5"/>
      <c r="J38" s="5"/>
      <c r="K38" s="5"/>
      <c r="L38" s="8"/>
      <c r="M38" s="5"/>
      <c r="N38" s="5"/>
      <c r="O38" s="5"/>
      <c r="P38" s="5"/>
      <c r="Q38" s="5"/>
      <c r="R38" s="5"/>
    </row>
    <row r="39" spans="1:18">
      <c r="A39" s="7">
        <v>92541543</v>
      </c>
      <c r="B39" s="7" t="s">
        <v>1452</v>
      </c>
      <c r="C39" s="61">
        <v>175350</v>
      </c>
      <c r="D39" s="5">
        <v>87675</v>
      </c>
      <c r="E39" s="5"/>
      <c r="F39" s="5"/>
      <c r="G39" s="5"/>
      <c r="H39" s="5"/>
      <c r="I39" s="5"/>
      <c r="J39" s="5"/>
      <c r="K39" s="5"/>
      <c r="L39" s="8"/>
      <c r="M39" s="5"/>
      <c r="N39" s="5"/>
      <c r="O39" s="5"/>
      <c r="P39" s="5"/>
      <c r="Q39" s="5"/>
      <c r="R39" s="5"/>
    </row>
    <row r="40" spans="1:18">
      <c r="A40" s="7">
        <v>92624407</v>
      </c>
      <c r="B40" s="7" t="s">
        <v>1453</v>
      </c>
      <c r="C40" s="61">
        <v>76672</v>
      </c>
      <c r="D40" s="5">
        <v>38336</v>
      </c>
      <c r="E40" s="5"/>
      <c r="F40" s="5"/>
      <c r="G40" s="5"/>
      <c r="H40" s="5"/>
      <c r="I40" s="5"/>
      <c r="J40" s="5"/>
      <c r="K40" s="5"/>
      <c r="L40" s="8"/>
      <c r="M40" s="5"/>
      <c r="N40" s="5"/>
      <c r="O40" s="5"/>
      <c r="P40" s="5"/>
      <c r="Q40" s="5"/>
      <c r="R40" s="5"/>
    </row>
    <row r="41" spans="1:18">
      <c r="A41" s="7">
        <v>92624408</v>
      </c>
      <c r="B41" s="7" t="s">
        <v>1454</v>
      </c>
      <c r="C41" s="61">
        <v>78150</v>
      </c>
      <c r="D41" s="5">
        <v>39075</v>
      </c>
      <c r="E41" s="5"/>
      <c r="F41" s="5"/>
      <c r="G41" s="5"/>
      <c r="H41" s="5"/>
      <c r="I41" s="5"/>
      <c r="J41" s="5"/>
      <c r="K41" s="5"/>
      <c r="L41" s="8"/>
      <c r="M41" s="5"/>
      <c r="N41" s="5"/>
      <c r="O41" s="5"/>
      <c r="P41" s="5"/>
      <c r="Q41" s="5"/>
      <c r="R41" s="5"/>
    </row>
    <row r="42" spans="1:18">
      <c r="A42" s="7">
        <v>92624409</v>
      </c>
      <c r="B42" s="7" t="s">
        <v>1455</v>
      </c>
      <c r="C42" s="61">
        <v>79627</v>
      </c>
      <c r="D42" s="5">
        <v>39813.5</v>
      </c>
      <c r="E42" s="5"/>
      <c r="F42" s="5"/>
      <c r="G42" s="5"/>
      <c r="H42" s="5"/>
      <c r="I42" s="5"/>
      <c r="J42" s="5"/>
      <c r="K42" s="5"/>
      <c r="L42" s="8"/>
      <c r="M42" s="5"/>
      <c r="N42" s="5"/>
      <c r="O42" s="5"/>
      <c r="P42" s="5"/>
      <c r="Q42" s="5"/>
      <c r="R42" s="5"/>
    </row>
    <row r="43" spans="1:18">
      <c r="A43" s="7">
        <v>92624410</v>
      </c>
      <c r="B43" s="7" t="s">
        <v>1456</v>
      </c>
      <c r="C43" s="61">
        <v>86804</v>
      </c>
      <c r="D43" s="5">
        <v>43402</v>
      </c>
      <c r="E43" s="5"/>
      <c r="F43" s="5"/>
      <c r="G43" s="5"/>
      <c r="H43" s="5"/>
      <c r="I43" s="5"/>
      <c r="J43" s="5"/>
      <c r="K43" s="5"/>
      <c r="L43" s="8"/>
      <c r="M43" s="5"/>
      <c r="N43" s="5"/>
      <c r="O43" s="5"/>
      <c r="P43" s="5"/>
      <c r="Q43" s="5"/>
      <c r="R43" s="5"/>
    </row>
    <row r="44" spans="1:18">
      <c r="A44" s="7">
        <v>92624411</v>
      </c>
      <c r="B44" s="7" t="s">
        <v>1457</v>
      </c>
      <c r="C44" s="61">
        <v>88282</v>
      </c>
      <c r="D44" s="5">
        <v>44141</v>
      </c>
      <c r="E44" s="5"/>
      <c r="F44" s="5"/>
      <c r="G44" s="5"/>
      <c r="H44" s="5"/>
      <c r="I44" s="5"/>
      <c r="J44" s="5"/>
      <c r="K44" s="5"/>
      <c r="L44" s="8"/>
      <c r="M44" s="5"/>
      <c r="N44" s="5"/>
      <c r="O44" s="5"/>
      <c r="P44" s="5"/>
      <c r="Q44" s="5"/>
      <c r="R44" s="5"/>
    </row>
    <row r="45" spans="1:18">
      <c r="A45" s="7">
        <v>92624426</v>
      </c>
      <c r="B45" s="7" t="s">
        <v>1458</v>
      </c>
      <c r="C45" s="61">
        <v>110606</v>
      </c>
      <c r="D45" s="5">
        <v>55303</v>
      </c>
      <c r="E45" s="5"/>
      <c r="F45" s="5"/>
      <c r="G45" s="5"/>
      <c r="H45" s="5"/>
      <c r="I45" s="5"/>
      <c r="J45" s="5"/>
      <c r="K45" s="5"/>
      <c r="L45" s="8"/>
      <c r="M45" s="5"/>
      <c r="N45" s="5"/>
      <c r="O45" s="5"/>
      <c r="P45" s="5"/>
      <c r="Q45" s="5"/>
      <c r="R45" s="5"/>
    </row>
    <row r="46" spans="1:18">
      <c r="A46" s="7">
        <v>92624428</v>
      </c>
      <c r="B46" s="7" t="s">
        <v>1459</v>
      </c>
      <c r="C46" s="61">
        <v>112438</v>
      </c>
      <c r="D46" s="5">
        <v>56219</v>
      </c>
      <c r="E46" s="5"/>
      <c r="F46" s="5"/>
      <c r="G46" s="5"/>
      <c r="H46" s="5"/>
      <c r="I46" s="5"/>
      <c r="J46" s="5"/>
      <c r="K46" s="5"/>
      <c r="L46" s="8"/>
      <c r="M46" s="5"/>
      <c r="N46" s="5"/>
      <c r="O46" s="5"/>
      <c r="P46" s="5"/>
      <c r="Q46" s="5"/>
      <c r="R46" s="5"/>
    </row>
    <row r="47" spans="1:18">
      <c r="A47" s="7">
        <v>92624450</v>
      </c>
      <c r="B47" s="7" t="s">
        <v>1460</v>
      </c>
      <c r="C47" s="61">
        <v>107705</v>
      </c>
      <c r="D47" s="5">
        <v>53852.5</v>
      </c>
      <c r="E47" s="5"/>
      <c r="F47" s="5"/>
      <c r="G47" s="5"/>
      <c r="H47" s="5"/>
      <c r="I47" s="5"/>
      <c r="J47" s="5"/>
      <c r="K47" s="5"/>
      <c r="L47" s="8"/>
      <c r="M47" s="5"/>
      <c r="N47" s="5"/>
      <c r="O47" s="5"/>
      <c r="P47" s="5"/>
      <c r="Q47" s="5"/>
      <c r="R47" s="5"/>
    </row>
    <row r="48" spans="1:18">
      <c r="A48" s="7">
        <v>92624451</v>
      </c>
      <c r="B48" s="7" t="s">
        <v>1461</v>
      </c>
      <c r="C48" s="61">
        <v>109489</v>
      </c>
      <c r="D48" s="5">
        <v>54744.5</v>
      </c>
      <c r="E48" s="5"/>
      <c r="F48" s="5"/>
      <c r="G48" s="5"/>
      <c r="H48" s="5"/>
      <c r="I48" s="5"/>
      <c r="J48" s="5"/>
      <c r="K48" s="5"/>
      <c r="L48" s="8"/>
      <c r="M48" s="5"/>
      <c r="N48" s="5"/>
      <c r="O48" s="5"/>
      <c r="P48" s="5"/>
      <c r="Q48" s="5"/>
      <c r="R48" s="5"/>
    </row>
    <row r="49" spans="1:18">
      <c r="A49" s="7">
        <v>92624452</v>
      </c>
      <c r="B49" s="7" t="s">
        <v>1462</v>
      </c>
      <c r="C49" s="61">
        <v>125816</v>
      </c>
      <c r="D49" s="5">
        <v>62908</v>
      </c>
      <c r="E49" s="5"/>
      <c r="F49" s="5"/>
      <c r="G49" s="5"/>
      <c r="H49" s="5"/>
      <c r="I49" s="5"/>
      <c r="J49" s="5"/>
      <c r="K49" s="5"/>
      <c r="L49" s="8"/>
      <c r="M49" s="5"/>
      <c r="N49" s="5"/>
      <c r="O49" s="5"/>
      <c r="P49" s="5"/>
      <c r="Q49" s="5"/>
      <c r="R49" s="5"/>
    </row>
    <row r="50" spans="1:18">
      <c r="A50" s="7">
        <v>92624453</v>
      </c>
      <c r="B50" s="7" t="s">
        <v>1463</v>
      </c>
      <c r="C50" s="61">
        <v>127599</v>
      </c>
      <c r="D50" s="5">
        <v>63799.5</v>
      </c>
      <c r="E50" s="5"/>
      <c r="F50" s="5"/>
      <c r="G50" s="5"/>
      <c r="H50" s="5"/>
      <c r="I50" s="5"/>
      <c r="J50" s="5"/>
      <c r="K50" s="5"/>
      <c r="L50" s="8"/>
      <c r="M50" s="5"/>
      <c r="N50" s="5"/>
      <c r="O50" s="5"/>
      <c r="P50" s="5"/>
      <c r="Q50" s="5"/>
      <c r="R50" s="5"/>
    </row>
    <row r="51" spans="1:18">
      <c r="A51" s="7">
        <v>92900013</v>
      </c>
      <c r="B51" s="7" t="s">
        <v>1464</v>
      </c>
      <c r="C51" s="61">
        <v>2461</v>
      </c>
      <c r="D51" s="5">
        <v>1230.5</v>
      </c>
      <c r="E51" s="5"/>
      <c r="F51" s="5"/>
      <c r="G51" s="5"/>
      <c r="H51" s="5"/>
      <c r="I51" s="5"/>
      <c r="J51" s="5"/>
      <c r="K51" s="5"/>
      <c r="L51" s="8"/>
      <c r="M51" s="5"/>
      <c r="N51" s="5"/>
      <c r="O51" s="5"/>
      <c r="P51" s="5"/>
      <c r="Q51" s="5"/>
      <c r="R51" s="5"/>
    </row>
    <row r="52" spans="1:18">
      <c r="A52" s="7">
        <v>92900014</v>
      </c>
      <c r="B52" s="7" t="s">
        <v>1465</v>
      </c>
      <c r="C52" s="61">
        <v>2547</v>
      </c>
      <c r="D52" s="5">
        <v>1273.5</v>
      </c>
      <c r="E52" s="5"/>
      <c r="F52" s="5"/>
      <c r="G52" s="5"/>
      <c r="H52" s="5"/>
      <c r="I52" s="5"/>
      <c r="J52" s="5"/>
      <c r="K52" s="5"/>
      <c r="L52" s="8"/>
      <c r="M52" s="5"/>
      <c r="N52" s="5"/>
      <c r="O52" s="5"/>
      <c r="P52" s="5"/>
      <c r="Q52" s="5"/>
      <c r="R52" s="5"/>
    </row>
    <row r="53" spans="1:18">
      <c r="A53" s="7">
        <v>92900015</v>
      </c>
      <c r="B53" s="7" t="s">
        <v>1466</v>
      </c>
      <c r="C53" s="61">
        <v>2630</v>
      </c>
      <c r="D53" s="5">
        <v>1315</v>
      </c>
      <c r="E53" s="5"/>
      <c r="F53" s="5"/>
      <c r="G53" s="5"/>
      <c r="H53" s="5"/>
      <c r="I53" s="5"/>
      <c r="J53" s="5"/>
      <c r="K53" s="5"/>
      <c r="L53" s="8"/>
      <c r="M53" s="5"/>
      <c r="N53" s="5"/>
      <c r="O53" s="5"/>
      <c r="P53" s="5"/>
      <c r="Q53" s="5"/>
      <c r="R53" s="5"/>
    </row>
    <row r="54" spans="1:18">
      <c r="A54" s="7">
        <v>92900016</v>
      </c>
      <c r="B54" s="7" t="s">
        <v>1467</v>
      </c>
      <c r="C54" s="61">
        <v>2715</v>
      </c>
      <c r="D54" s="5">
        <v>1357.5</v>
      </c>
      <c r="E54" s="5"/>
      <c r="F54" s="5"/>
      <c r="G54" s="5"/>
      <c r="H54" s="5"/>
      <c r="I54" s="5"/>
      <c r="J54" s="5"/>
      <c r="K54" s="5"/>
      <c r="L54" s="8"/>
      <c r="M54" s="5"/>
      <c r="N54" s="5"/>
      <c r="O54" s="5"/>
      <c r="P54" s="5"/>
      <c r="Q54" s="5"/>
      <c r="R54" s="5"/>
    </row>
    <row r="55" spans="1:18">
      <c r="A55" s="7">
        <v>92900017</v>
      </c>
      <c r="B55" s="7" t="s">
        <v>1468</v>
      </c>
      <c r="C55" s="61">
        <v>2798</v>
      </c>
      <c r="D55" s="5">
        <v>1399</v>
      </c>
      <c r="E55" s="5"/>
      <c r="F55" s="5"/>
      <c r="G55" s="5"/>
      <c r="H55" s="5"/>
      <c r="I55" s="5"/>
      <c r="J55" s="5"/>
      <c r="K55" s="5"/>
      <c r="L55" s="8"/>
      <c r="M55" s="5"/>
      <c r="N55" s="5"/>
      <c r="O55" s="5"/>
      <c r="P55" s="5"/>
      <c r="Q55" s="5"/>
      <c r="R55" s="5"/>
    </row>
    <row r="56" spans="1:18">
      <c r="A56" s="7">
        <v>92900018</v>
      </c>
      <c r="B56" s="7" t="s">
        <v>1469</v>
      </c>
      <c r="C56" s="61">
        <v>2884</v>
      </c>
      <c r="D56" s="5">
        <v>1442</v>
      </c>
      <c r="E56" s="5"/>
      <c r="F56" s="5"/>
      <c r="G56" s="5"/>
      <c r="H56" s="5"/>
      <c r="I56" s="5"/>
      <c r="J56" s="5"/>
      <c r="K56" s="5"/>
      <c r="L56" s="8"/>
      <c r="M56" s="5"/>
      <c r="N56" s="5"/>
      <c r="O56" s="5"/>
      <c r="P56" s="5"/>
      <c r="Q56" s="5"/>
      <c r="R56" s="5"/>
    </row>
    <row r="57" spans="1:18">
      <c r="A57" s="7">
        <v>92900019</v>
      </c>
      <c r="B57" s="7" t="s">
        <v>1470</v>
      </c>
      <c r="C57" s="61">
        <v>2968</v>
      </c>
      <c r="D57" s="5">
        <v>1484</v>
      </c>
      <c r="E57" s="5"/>
      <c r="F57" s="5"/>
      <c r="G57" s="5"/>
      <c r="H57" s="5"/>
      <c r="I57" s="5"/>
      <c r="J57" s="5"/>
      <c r="K57" s="5"/>
      <c r="L57" s="8"/>
      <c r="M57" s="5"/>
      <c r="N57" s="5"/>
      <c r="O57" s="5"/>
      <c r="P57" s="5"/>
      <c r="Q57" s="5"/>
      <c r="R57" s="5"/>
    </row>
    <row r="58" spans="1:18">
      <c r="A58" s="7">
        <v>92900020</v>
      </c>
      <c r="B58" s="7" t="s">
        <v>1471</v>
      </c>
      <c r="C58" s="61">
        <v>3051</v>
      </c>
      <c r="D58" s="5">
        <v>1525.5</v>
      </c>
      <c r="E58" s="5"/>
      <c r="F58" s="5"/>
      <c r="G58" s="5"/>
      <c r="H58" s="5"/>
      <c r="I58" s="5"/>
      <c r="J58" s="5"/>
      <c r="K58" s="5"/>
      <c r="L58" s="8"/>
      <c r="M58" s="5"/>
      <c r="N58" s="5"/>
      <c r="O58" s="5"/>
      <c r="P58" s="5"/>
      <c r="Q58" s="5"/>
      <c r="R58" s="5"/>
    </row>
    <row r="59" spans="1:18">
      <c r="A59" s="7">
        <v>92900021</v>
      </c>
      <c r="B59" s="7" t="s">
        <v>1472</v>
      </c>
      <c r="C59" s="61">
        <v>3137</v>
      </c>
      <c r="D59" s="5">
        <v>1568.5</v>
      </c>
      <c r="E59" s="5"/>
      <c r="F59" s="5"/>
      <c r="G59" s="5"/>
      <c r="H59" s="5"/>
      <c r="I59" s="5"/>
      <c r="J59" s="5"/>
      <c r="K59" s="5"/>
      <c r="L59" s="8"/>
      <c r="M59" s="5"/>
      <c r="N59" s="5"/>
      <c r="O59" s="5"/>
      <c r="P59" s="5"/>
      <c r="Q59" s="5"/>
      <c r="R59" s="5"/>
    </row>
    <row r="60" spans="1:18">
      <c r="A60" s="7">
        <v>92900022</v>
      </c>
      <c r="B60" s="7" t="s">
        <v>1473</v>
      </c>
      <c r="C60" s="61">
        <v>3220</v>
      </c>
      <c r="D60" s="5">
        <v>1610</v>
      </c>
      <c r="E60" s="5"/>
      <c r="F60" s="5"/>
      <c r="G60" s="5"/>
      <c r="H60" s="5"/>
      <c r="I60" s="5"/>
      <c r="J60" s="5"/>
      <c r="K60" s="5"/>
      <c r="L60" s="8"/>
      <c r="M60" s="5"/>
      <c r="N60" s="5"/>
      <c r="O60" s="5"/>
      <c r="P60" s="5"/>
      <c r="Q60" s="5"/>
      <c r="R60" s="5"/>
    </row>
    <row r="61" spans="1:18">
      <c r="A61" s="7">
        <v>92900023</v>
      </c>
      <c r="B61" s="7" t="s">
        <v>1474</v>
      </c>
      <c r="C61" s="61">
        <v>3305</v>
      </c>
      <c r="D61" s="5">
        <v>1652.5</v>
      </c>
      <c r="E61" s="5"/>
      <c r="F61" s="5"/>
      <c r="G61" s="5"/>
      <c r="H61" s="5"/>
      <c r="I61" s="5"/>
      <c r="J61" s="5"/>
      <c r="K61" s="5"/>
      <c r="L61" s="8"/>
      <c r="M61" s="5"/>
      <c r="N61" s="5"/>
      <c r="O61" s="5"/>
      <c r="P61" s="5"/>
      <c r="Q61" s="5"/>
      <c r="R61" s="5"/>
    </row>
    <row r="62" spans="1:18">
      <c r="A62" s="7">
        <v>92900024</v>
      </c>
      <c r="B62" s="7" t="s">
        <v>1475</v>
      </c>
      <c r="C62" s="61">
        <v>3389</v>
      </c>
      <c r="D62" s="5">
        <v>1694.5</v>
      </c>
      <c r="E62" s="5"/>
      <c r="F62" s="5"/>
      <c r="G62" s="5"/>
      <c r="H62" s="5"/>
      <c r="I62" s="5"/>
      <c r="J62" s="5"/>
      <c r="K62" s="5"/>
      <c r="L62" s="8"/>
      <c r="M62" s="5"/>
      <c r="N62" s="5"/>
      <c r="O62" s="5"/>
      <c r="P62" s="5"/>
      <c r="Q62" s="5"/>
      <c r="R62" s="5"/>
    </row>
    <row r="63" spans="1:18">
      <c r="A63" s="7">
        <v>92900026</v>
      </c>
      <c r="B63" s="7" t="s">
        <v>1476</v>
      </c>
      <c r="C63" s="61">
        <v>3537</v>
      </c>
      <c r="D63" s="5">
        <v>1768.5</v>
      </c>
      <c r="E63" s="5"/>
      <c r="F63" s="5"/>
      <c r="G63" s="5"/>
      <c r="H63" s="5"/>
      <c r="I63" s="5"/>
      <c r="J63" s="5"/>
      <c r="K63" s="5"/>
      <c r="L63" s="8"/>
      <c r="M63" s="5"/>
      <c r="N63" s="5"/>
      <c r="O63" s="5"/>
      <c r="P63" s="5"/>
      <c r="Q63" s="5"/>
      <c r="R63" s="5"/>
    </row>
    <row r="64" spans="1:18">
      <c r="A64" s="7">
        <v>92900027</v>
      </c>
      <c r="B64" s="7" t="s">
        <v>1477</v>
      </c>
      <c r="C64" s="61">
        <v>3744</v>
      </c>
      <c r="D64" s="5">
        <v>1872</v>
      </c>
      <c r="E64" s="5"/>
      <c r="F64" s="5"/>
      <c r="G64" s="5"/>
      <c r="H64" s="5"/>
      <c r="I64" s="5"/>
      <c r="J64" s="5"/>
      <c r="K64" s="5"/>
      <c r="L64" s="8"/>
      <c r="M64" s="5"/>
      <c r="N64" s="5"/>
      <c r="O64" s="5"/>
      <c r="P64" s="5"/>
      <c r="Q64" s="5"/>
      <c r="R64" s="5"/>
    </row>
    <row r="65" spans="1:18">
      <c r="A65" s="7">
        <v>92900028</v>
      </c>
      <c r="B65" s="7" t="s">
        <v>1478</v>
      </c>
      <c r="C65" s="61">
        <v>3951</v>
      </c>
      <c r="D65" s="5">
        <v>1975.5</v>
      </c>
      <c r="E65" s="5"/>
      <c r="F65" s="5"/>
      <c r="G65" s="5"/>
      <c r="H65" s="5"/>
      <c r="I65" s="5"/>
      <c r="J65" s="5"/>
      <c r="K65" s="5"/>
      <c r="L65" s="8"/>
      <c r="M65" s="5"/>
      <c r="N65" s="5"/>
      <c r="O65" s="5"/>
      <c r="P65" s="5"/>
      <c r="Q65" s="5"/>
      <c r="R65" s="5"/>
    </row>
    <row r="66" spans="1:18">
      <c r="A66" s="7">
        <v>92900029</v>
      </c>
      <c r="B66" s="7" t="s">
        <v>1479</v>
      </c>
      <c r="C66" s="61">
        <v>4430</v>
      </c>
      <c r="D66" s="5">
        <v>2215</v>
      </c>
      <c r="E66" s="5"/>
      <c r="F66" s="5"/>
      <c r="G66" s="5"/>
      <c r="H66" s="5"/>
      <c r="I66" s="5"/>
      <c r="J66" s="5"/>
      <c r="K66" s="5"/>
      <c r="L66" s="8"/>
      <c r="M66" s="5"/>
      <c r="N66" s="5"/>
      <c r="O66" s="5"/>
      <c r="P66" s="5"/>
      <c r="Q66" s="5"/>
      <c r="R66" s="5"/>
    </row>
    <row r="67" spans="1:18">
      <c r="A67" s="7">
        <v>92900030</v>
      </c>
      <c r="B67" s="7" t="s">
        <v>1480</v>
      </c>
      <c r="C67" s="61">
        <v>4639</v>
      </c>
      <c r="D67" s="5">
        <v>2319.5</v>
      </c>
      <c r="E67" s="5"/>
      <c r="F67" s="5"/>
      <c r="G67" s="5"/>
      <c r="H67" s="5"/>
      <c r="I67" s="5"/>
      <c r="J67" s="5"/>
      <c r="K67" s="5"/>
      <c r="L67" s="8"/>
      <c r="M67" s="5"/>
      <c r="N67" s="5"/>
      <c r="O67" s="5"/>
      <c r="P67" s="5"/>
      <c r="Q67" s="5"/>
      <c r="R67" s="5"/>
    </row>
    <row r="68" spans="1:18">
      <c r="A68" s="7">
        <v>92900031</v>
      </c>
      <c r="B68" s="7" t="s">
        <v>1481</v>
      </c>
      <c r="C68" s="61">
        <v>4851</v>
      </c>
      <c r="D68" s="5">
        <v>2425.5</v>
      </c>
      <c r="E68" s="5"/>
      <c r="F68" s="5"/>
      <c r="G68" s="5"/>
      <c r="H68" s="5"/>
      <c r="I68" s="5"/>
      <c r="J68" s="5"/>
      <c r="K68" s="5"/>
      <c r="L68" s="8"/>
      <c r="M68" s="5"/>
      <c r="N68" s="5"/>
      <c r="O68" s="5"/>
      <c r="P68" s="5"/>
      <c r="Q68" s="5"/>
      <c r="R68" s="5"/>
    </row>
    <row r="69" spans="1:18">
      <c r="A69" s="7">
        <v>92900116</v>
      </c>
      <c r="B69" s="7" t="s">
        <v>1464</v>
      </c>
      <c r="C69" s="61">
        <v>2677</v>
      </c>
      <c r="D69" s="5">
        <v>1338.5</v>
      </c>
      <c r="E69" s="5"/>
      <c r="F69" s="5"/>
      <c r="G69" s="5"/>
      <c r="H69" s="5"/>
      <c r="I69" s="5"/>
      <c r="J69" s="5"/>
      <c r="K69" s="5"/>
      <c r="L69" s="8"/>
      <c r="M69" s="5"/>
      <c r="N69" s="5"/>
      <c r="O69" s="5"/>
      <c r="P69" s="5"/>
      <c r="Q69" s="5"/>
      <c r="R69" s="5"/>
    </row>
    <row r="70" spans="1:18">
      <c r="A70" s="7">
        <v>92900117</v>
      </c>
      <c r="B70" s="7" t="s">
        <v>1465</v>
      </c>
      <c r="C70" s="61">
        <v>2764</v>
      </c>
      <c r="D70" s="5">
        <v>1382</v>
      </c>
      <c r="E70" s="5"/>
      <c r="F70" s="5"/>
      <c r="G70" s="5"/>
      <c r="H70" s="5"/>
      <c r="I70" s="5"/>
      <c r="J70" s="5"/>
      <c r="K70" s="5"/>
      <c r="L70" s="8"/>
      <c r="M70" s="5"/>
      <c r="N70" s="5"/>
      <c r="O70" s="5"/>
      <c r="P70" s="5"/>
      <c r="Q70" s="5"/>
      <c r="R70" s="5"/>
    </row>
    <row r="71" spans="1:18">
      <c r="A71" s="7">
        <v>92900118</v>
      </c>
      <c r="B71" s="7" t="s">
        <v>1466</v>
      </c>
      <c r="C71" s="61">
        <v>2847</v>
      </c>
      <c r="D71" s="5">
        <v>1423.5</v>
      </c>
      <c r="E71" s="5"/>
      <c r="F71" s="5"/>
      <c r="G71" s="5"/>
      <c r="H71" s="5"/>
      <c r="I71" s="5"/>
      <c r="J71" s="5"/>
      <c r="K71" s="5"/>
      <c r="L71" s="8"/>
      <c r="M71" s="5"/>
      <c r="N71" s="5"/>
      <c r="O71" s="5"/>
      <c r="P71" s="5"/>
      <c r="Q71" s="5"/>
      <c r="R71" s="5"/>
    </row>
    <row r="72" spans="1:18">
      <c r="A72" s="7">
        <v>92900130</v>
      </c>
      <c r="B72" s="7" t="s">
        <v>1467</v>
      </c>
      <c r="C72" s="61">
        <v>2932</v>
      </c>
      <c r="D72" s="5">
        <v>1466</v>
      </c>
      <c r="E72" s="5"/>
      <c r="F72" s="5"/>
      <c r="G72" s="5"/>
      <c r="H72" s="5"/>
      <c r="I72" s="5"/>
      <c r="J72" s="5"/>
      <c r="K72" s="5"/>
      <c r="L72" s="8"/>
      <c r="M72" s="5"/>
      <c r="N72" s="5"/>
      <c r="O72" s="5"/>
      <c r="P72" s="5"/>
      <c r="Q72" s="5"/>
      <c r="R72" s="5"/>
    </row>
    <row r="73" spans="1:18">
      <c r="A73" s="7">
        <v>92900131</v>
      </c>
      <c r="B73" s="7" t="s">
        <v>1468</v>
      </c>
      <c r="C73" s="61">
        <v>3015</v>
      </c>
      <c r="D73" s="5">
        <v>1507.5</v>
      </c>
      <c r="E73" s="5"/>
      <c r="F73" s="5"/>
      <c r="G73" s="5"/>
      <c r="H73" s="5"/>
      <c r="I73" s="5"/>
      <c r="J73" s="5"/>
      <c r="K73" s="5"/>
      <c r="L73" s="8"/>
      <c r="M73" s="5"/>
      <c r="N73" s="5"/>
      <c r="O73" s="5"/>
      <c r="P73" s="5"/>
      <c r="Q73" s="5"/>
      <c r="R73" s="5"/>
    </row>
    <row r="74" spans="1:18">
      <c r="A74" s="7">
        <v>92900133</v>
      </c>
      <c r="B74" s="7" t="s">
        <v>1469</v>
      </c>
      <c r="C74" s="61">
        <v>3100</v>
      </c>
      <c r="D74" s="5">
        <v>1550</v>
      </c>
      <c r="E74" s="5"/>
      <c r="F74" s="5"/>
      <c r="G74" s="5"/>
      <c r="H74" s="5"/>
      <c r="I74" s="5"/>
      <c r="J74" s="5"/>
      <c r="K74" s="5"/>
      <c r="L74" s="8"/>
      <c r="M74" s="5"/>
      <c r="N74" s="5"/>
      <c r="O74" s="5"/>
      <c r="P74" s="5"/>
      <c r="Q74" s="5"/>
      <c r="R74" s="5"/>
    </row>
    <row r="75" spans="1:18">
      <c r="A75" s="7">
        <v>92900134</v>
      </c>
      <c r="B75" s="7" t="s">
        <v>1470</v>
      </c>
      <c r="C75" s="61">
        <v>3184</v>
      </c>
      <c r="D75" s="5">
        <v>1592</v>
      </c>
      <c r="E75" s="5"/>
      <c r="F75" s="5"/>
      <c r="G75" s="5"/>
      <c r="H75" s="5"/>
      <c r="I75" s="5"/>
      <c r="J75" s="5"/>
      <c r="K75" s="5"/>
      <c r="L75" s="8"/>
      <c r="M75" s="5"/>
      <c r="N75" s="5"/>
      <c r="O75" s="5"/>
      <c r="P75" s="5"/>
      <c r="Q75" s="5"/>
      <c r="R75" s="5"/>
    </row>
    <row r="76" spans="1:18">
      <c r="A76" s="7">
        <v>92900135</v>
      </c>
      <c r="B76" s="7" t="s">
        <v>1471</v>
      </c>
      <c r="C76" s="61">
        <v>3267</v>
      </c>
      <c r="D76" s="5">
        <v>1633.5</v>
      </c>
      <c r="E76" s="5"/>
      <c r="F76" s="5"/>
      <c r="G76" s="5"/>
      <c r="H76" s="5"/>
      <c r="I76" s="5"/>
      <c r="J76" s="5"/>
      <c r="K76" s="5"/>
      <c r="L76" s="8"/>
      <c r="M76" s="5"/>
      <c r="N76" s="5"/>
      <c r="O76" s="5"/>
      <c r="P76" s="5"/>
      <c r="Q76" s="5"/>
      <c r="R76" s="5"/>
    </row>
    <row r="77" spans="1:18">
      <c r="A77" s="7">
        <v>92900137</v>
      </c>
      <c r="B77" s="7" t="s">
        <v>1472</v>
      </c>
      <c r="C77" s="61">
        <v>3353</v>
      </c>
      <c r="D77" s="5">
        <v>1676.5</v>
      </c>
      <c r="E77" s="5"/>
      <c r="F77" s="5"/>
      <c r="G77" s="5"/>
      <c r="H77" s="5"/>
      <c r="I77" s="5"/>
      <c r="J77" s="5"/>
      <c r="K77" s="5"/>
      <c r="L77" s="8"/>
      <c r="M77" s="5"/>
      <c r="N77" s="5"/>
      <c r="O77" s="5"/>
      <c r="P77" s="5"/>
      <c r="Q77" s="5"/>
      <c r="R77" s="5"/>
    </row>
    <row r="78" spans="1:18">
      <c r="A78" s="7">
        <v>92900138</v>
      </c>
      <c r="B78" s="7" t="s">
        <v>1473</v>
      </c>
      <c r="C78" s="61">
        <v>3437</v>
      </c>
      <c r="D78" s="5">
        <v>1718.5</v>
      </c>
      <c r="E78" s="5"/>
      <c r="F78" s="5"/>
      <c r="G78" s="5"/>
      <c r="H78" s="5"/>
      <c r="I78" s="5"/>
      <c r="J78" s="5"/>
      <c r="K78" s="5"/>
      <c r="L78" s="8"/>
      <c r="M78" s="5"/>
      <c r="N78" s="5"/>
      <c r="O78" s="5"/>
      <c r="P78" s="5"/>
      <c r="Q78" s="5"/>
      <c r="R78" s="5"/>
    </row>
    <row r="79" spans="1:18">
      <c r="A79" s="7">
        <v>92900139</v>
      </c>
      <c r="B79" s="7" t="s">
        <v>1474</v>
      </c>
      <c r="C79" s="61">
        <v>3522</v>
      </c>
      <c r="D79" s="5">
        <v>1761</v>
      </c>
      <c r="E79" s="5"/>
      <c r="F79" s="5"/>
      <c r="G79" s="5"/>
      <c r="H79" s="5"/>
      <c r="I79" s="5"/>
      <c r="J79" s="5"/>
      <c r="K79" s="5"/>
      <c r="L79" s="8"/>
      <c r="M79" s="5"/>
      <c r="N79" s="5"/>
      <c r="O79" s="5"/>
      <c r="P79" s="5"/>
      <c r="Q79" s="5"/>
      <c r="R79" s="5"/>
    </row>
    <row r="80" spans="1:18">
      <c r="A80" s="7">
        <v>92900140</v>
      </c>
      <c r="B80" s="7" t="s">
        <v>1475</v>
      </c>
      <c r="C80" s="61">
        <v>3606</v>
      </c>
      <c r="D80" s="5">
        <v>1803</v>
      </c>
      <c r="E80" s="5"/>
      <c r="F80" s="5"/>
      <c r="G80" s="5"/>
      <c r="H80" s="5"/>
      <c r="I80" s="5"/>
      <c r="J80" s="5"/>
      <c r="K80" s="5"/>
      <c r="L80" s="8"/>
      <c r="M80" s="5"/>
      <c r="N80" s="5"/>
      <c r="O80" s="5"/>
      <c r="P80" s="5"/>
      <c r="Q80" s="5"/>
      <c r="R80" s="5"/>
    </row>
    <row r="81" spans="1:18">
      <c r="A81" s="7">
        <v>92900141</v>
      </c>
      <c r="B81" s="7" t="s">
        <v>1476</v>
      </c>
      <c r="C81" s="61">
        <v>3754</v>
      </c>
      <c r="D81" s="5">
        <v>1877</v>
      </c>
      <c r="E81" s="5"/>
      <c r="F81" s="5"/>
      <c r="G81" s="5"/>
      <c r="H81" s="5"/>
      <c r="I81" s="5"/>
      <c r="J81" s="5"/>
      <c r="K81" s="5"/>
      <c r="L81" s="8"/>
      <c r="M81" s="5"/>
      <c r="N81" s="5"/>
      <c r="O81" s="5"/>
      <c r="P81" s="5"/>
      <c r="Q81" s="5"/>
      <c r="R81" s="5"/>
    </row>
    <row r="82" spans="1:18">
      <c r="A82" s="7">
        <v>92900142</v>
      </c>
      <c r="B82" s="7" t="s">
        <v>1477</v>
      </c>
      <c r="C82" s="61">
        <v>3961</v>
      </c>
      <c r="D82" s="5">
        <v>1980.5</v>
      </c>
      <c r="E82" s="5"/>
      <c r="F82" s="5"/>
      <c r="G82" s="5"/>
      <c r="H82" s="5"/>
      <c r="I82" s="5"/>
      <c r="J82" s="5"/>
      <c r="K82" s="5"/>
      <c r="L82" s="8"/>
      <c r="M82" s="5"/>
      <c r="N82" s="5"/>
      <c r="O82" s="5"/>
      <c r="P82" s="5"/>
      <c r="Q82" s="5"/>
      <c r="R82" s="5"/>
    </row>
    <row r="83" spans="1:18">
      <c r="A83" s="7">
        <v>92900143</v>
      </c>
      <c r="B83" s="7" t="s">
        <v>1478</v>
      </c>
      <c r="C83" s="61">
        <v>4168</v>
      </c>
      <c r="D83" s="5">
        <v>2084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7">
        <v>92900144</v>
      </c>
      <c r="B84" s="7" t="s">
        <v>1479</v>
      </c>
      <c r="C84" s="61">
        <v>4647</v>
      </c>
      <c r="D84" s="5">
        <v>2323.5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7">
        <v>92900145</v>
      </c>
      <c r="B85" s="7" t="s">
        <v>1480</v>
      </c>
      <c r="C85" s="61">
        <v>4855</v>
      </c>
      <c r="D85" s="5">
        <v>2427.5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7">
        <v>92900146</v>
      </c>
      <c r="B86" s="7" t="s">
        <v>1481</v>
      </c>
      <c r="C86" s="61">
        <v>5068</v>
      </c>
      <c r="D86" s="5">
        <v>2534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7">
        <v>92900194</v>
      </c>
      <c r="B87" s="7" t="s">
        <v>1482</v>
      </c>
      <c r="C87" s="61">
        <v>5283</v>
      </c>
      <c r="D87" s="5">
        <v>2641.5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7">
        <v>92900195</v>
      </c>
      <c r="B88" s="7" t="s">
        <v>1483</v>
      </c>
      <c r="C88" s="61">
        <v>5689</v>
      </c>
      <c r="D88" s="5">
        <v>2844.5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7">
        <v>92900196</v>
      </c>
      <c r="B89" s="7" t="s">
        <v>1484</v>
      </c>
      <c r="C89" s="61">
        <v>6011</v>
      </c>
      <c r="D89" s="5">
        <v>3005.5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7">
        <v>92900197</v>
      </c>
      <c r="B90" s="7" t="s">
        <v>1485</v>
      </c>
      <c r="C90" s="61">
        <v>6325</v>
      </c>
      <c r="D90" s="5">
        <v>3162.5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7">
        <v>92900211</v>
      </c>
      <c r="B91" s="7" t="s">
        <v>1482</v>
      </c>
      <c r="C91" s="61">
        <v>5500</v>
      </c>
      <c r="D91" s="5">
        <v>2750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7">
        <v>92900212</v>
      </c>
      <c r="B92" s="7" t="s">
        <v>1483</v>
      </c>
      <c r="C92" s="61">
        <v>5906</v>
      </c>
      <c r="D92" s="5">
        <v>2953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7">
        <v>92900214</v>
      </c>
      <c r="B93" s="7" t="s">
        <v>1484</v>
      </c>
      <c r="C93" s="61">
        <v>6228</v>
      </c>
      <c r="D93" s="5">
        <v>3114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7">
        <v>92900216</v>
      </c>
      <c r="B94" s="7" t="s">
        <v>1485</v>
      </c>
      <c r="C94" s="61">
        <v>6542</v>
      </c>
      <c r="D94" s="5">
        <v>3271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7">
        <v>92901253</v>
      </c>
      <c r="B95" s="7" t="s">
        <v>1486</v>
      </c>
      <c r="C95" s="61">
        <v>2461</v>
      </c>
      <c r="D95" s="5">
        <v>1230.5</v>
      </c>
      <c r="E95" s="5"/>
      <c r="G95" s="5"/>
      <c r="H95" s="5"/>
      <c r="I95" s="5"/>
      <c r="J95" s="5"/>
      <c r="K95" s="5"/>
      <c r="L95" s="8"/>
      <c r="M95" s="5"/>
      <c r="N95" s="5"/>
      <c r="O95" s="5"/>
      <c r="P95" s="5"/>
      <c r="Q95" s="5"/>
    </row>
    <row r="96" spans="1:18">
      <c r="A96" s="7">
        <v>92901254</v>
      </c>
      <c r="B96" s="7" t="s">
        <v>1487</v>
      </c>
      <c r="C96" s="61">
        <v>2547</v>
      </c>
      <c r="D96" s="5">
        <v>1273.5</v>
      </c>
      <c r="E96" s="5"/>
      <c r="G96" s="5"/>
      <c r="H96" s="5"/>
      <c r="I96" s="5"/>
      <c r="J96" s="5"/>
      <c r="K96" s="5"/>
      <c r="L96" s="8"/>
      <c r="M96" s="5"/>
      <c r="N96" s="5"/>
      <c r="O96" s="5"/>
      <c r="P96" s="5"/>
      <c r="Q96" s="5"/>
    </row>
    <row r="97" spans="1:17">
      <c r="A97" s="7">
        <v>92901255</v>
      </c>
      <c r="B97" s="7" t="s">
        <v>1488</v>
      </c>
      <c r="C97" s="61">
        <v>2630</v>
      </c>
      <c r="D97" s="5">
        <v>1315</v>
      </c>
      <c r="E97" s="5"/>
      <c r="G97" s="5"/>
      <c r="H97" s="5"/>
      <c r="I97" s="5"/>
      <c r="J97" s="5"/>
      <c r="K97" s="5"/>
      <c r="L97" s="8"/>
      <c r="M97" s="5"/>
      <c r="N97" s="5"/>
      <c r="O97" s="5"/>
      <c r="P97" s="5"/>
      <c r="Q97" s="5"/>
    </row>
    <row r="98" spans="1:17">
      <c r="A98" s="7">
        <v>92901256</v>
      </c>
      <c r="B98" s="7" t="s">
        <v>1489</v>
      </c>
      <c r="C98" s="61">
        <v>2715</v>
      </c>
      <c r="D98" s="5">
        <v>1357.5</v>
      </c>
      <c r="E98" s="5"/>
      <c r="G98" s="5"/>
      <c r="H98" s="5"/>
      <c r="I98" s="5"/>
      <c r="J98" s="5"/>
      <c r="K98" s="5"/>
      <c r="L98" s="8"/>
      <c r="M98" s="5"/>
      <c r="N98" s="5"/>
      <c r="O98" s="5"/>
      <c r="P98" s="5"/>
      <c r="Q98" s="5"/>
    </row>
    <row r="99" spans="1:17">
      <c r="A99" s="7">
        <v>92901257</v>
      </c>
      <c r="B99" s="7" t="s">
        <v>1490</v>
      </c>
      <c r="C99" s="61">
        <v>2798</v>
      </c>
      <c r="D99" s="5">
        <v>1399</v>
      </c>
      <c r="E99" s="5"/>
      <c r="G99" s="5"/>
      <c r="H99" s="5"/>
      <c r="I99" s="5"/>
      <c r="J99" s="5"/>
      <c r="K99" s="5"/>
      <c r="L99" s="8"/>
      <c r="M99" s="5"/>
      <c r="N99" s="5"/>
      <c r="O99" s="5"/>
      <c r="P99" s="5"/>
      <c r="Q99" s="5"/>
    </row>
    <row r="100" spans="1:17">
      <c r="A100" s="7">
        <v>92901258</v>
      </c>
      <c r="B100" s="7" t="s">
        <v>1491</v>
      </c>
      <c r="C100" s="61">
        <v>2884</v>
      </c>
      <c r="D100" s="5">
        <v>1442</v>
      </c>
      <c r="E100" s="5"/>
      <c r="G100" s="5"/>
      <c r="H100" s="5"/>
      <c r="I100" s="5"/>
      <c r="J100" s="5"/>
      <c r="K100" s="5"/>
      <c r="L100" s="8"/>
      <c r="M100" s="5"/>
      <c r="N100" s="5"/>
      <c r="O100" s="5"/>
      <c r="P100" s="5"/>
      <c r="Q100" s="5"/>
    </row>
    <row r="101" spans="1:17">
      <c r="A101" s="7">
        <v>92901260</v>
      </c>
      <c r="B101" s="7" t="s">
        <v>1492</v>
      </c>
      <c r="C101" s="61">
        <v>2986</v>
      </c>
      <c r="D101" s="5">
        <v>1493</v>
      </c>
      <c r="E101" s="5"/>
      <c r="G101" s="5"/>
      <c r="H101" s="5"/>
      <c r="I101" s="5"/>
      <c r="J101" s="5"/>
      <c r="K101" s="5"/>
      <c r="L101" s="8"/>
      <c r="M101" s="5"/>
      <c r="N101" s="5"/>
      <c r="O101" s="5"/>
      <c r="P101" s="5"/>
      <c r="Q101" s="5"/>
    </row>
    <row r="102" spans="1:17">
      <c r="A102" s="7">
        <v>92901261</v>
      </c>
      <c r="B102" s="7" t="s">
        <v>1493</v>
      </c>
      <c r="C102" s="61">
        <v>3054</v>
      </c>
      <c r="D102" s="5">
        <v>1527</v>
      </c>
      <c r="E102" s="5"/>
      <c r="G102" s="5"/>
      <c r="H102" s="5"/>
      <c r="I102" s="5"/>
      <c r="J102" s="5"/>
      <c r="K102" s="5"/>
      <c r="L102" s="8"/>
      <c r="M102" s="5"/>
      <c r="N102" s="5"/>
      <c r="O102" s="5"/>
      <c r="P102" s="5"/>
      <c r="Q102" s="5"/>
    </row>
    <row r="103" spans="1:17">
      <c r="A103" s="7">
        <v>92901262</v>
      </c>
      <c r="B103" s="7" t="s">
        <v>1494</v>
      </c>
      <c r="C103" s="61">
        <v>3185</v>
      </c>
      <c r="D103" s="5">
        <v>1592.5</v>
      </c>
      <c r="E103" s="5"/>
      <c r="G103" s="5"/>
      <c r="H103" s="5"/>
      <c r="I103" s="5"/>
      <c r="J103" s="5"/>
      <c r="K103" s="5"/>
      <c r="L103" s="8"/>
      <c r="M103" s="5"/>
      <c r="N103" s="5"/>
      <c r="O103" s="5"/>
      <c r="P103" s="5"/>
      <c r="Q103" s="5"/>
    </row>
    <row r="104" spans="1:17">
      <c r="A104" s="7">
        <v>92901263</v>
      </c>
      <c r="B104" s="7" t="s">
        <v>1495</v>
      </c>
      <c r="C104" s="61">
        <v>3307</v>
      </c>
      <c r="D104" s="5">
        <v>1653.5</v>
      </c>
      <c r="E104" s="5"/>
      <c r="G104" s="5"/>
      <c r="H104" s="5"/>
      <c r="I104" s="5"/>
      <c r="J104" s="5"/>
      <c r="K104" s="5"/>
      <c r="L104" s="8"/>
      <c r="M104" s="5"/>
      <c r="N104" s="5"/>
      <c r="O104" s="5"/>
      <c r="P104" s="5"/>
      <c r="Q104" s="5"/>
    </row>
    <row r="105" spans="1:17">
      <c r="A105" s="7">
        <v>92901264</v>
      </c>
      <c r="B105" s="7" t="s">
        <v>1496</v>
      </c>
      <c r="C105" s="61">
        <v>3557</v>
      </c>
      <c r="D105" s="5">
        <v>1778.5</v>
      </c>
      <c r="E105" s="5"/>
      <c r="G105" s="5"/>
      <c r="H105" s="5"/>
      <c r="I105" s="5"/>
      <c r="J105" s="5"/>
      <c r="K105" s="5"/>
      <c r="L105" s="8"/>
      <c r="M105" s="5"/>
      <c r="N105" s="5"/>
      <c r="O105" s="5"/>
      <c r="P105" s="5"/>
      <c r="Q105" s="5"/>
    </row>
    <row r="106" spans="1:17">
      <c r="A106" s="7">
        <v>92901265</v>
      </c>
      <c r="B106" s="7" t="s">
        <v>1497</v>
      </c>
      <c r="C106" s="61">
        <v>3680</v>
      </c>
      <c r="D106" s="5">
        <v>1840</v>
      </c>
      <c r="E106" s="5"/>
      <c r="G106" s="5"/>
      <c r="H106" s="5"/>
      <c r="I106" s="5"/>
      <c r="J106" s="5"/>
      <c r="K106" s="5"/>
      <c r="L106" s="8"/>
      <c r="M106" s="5"/>
      <c r="N106" s="5"/>
      <c r="O106" s="5"/>
      <c r="P106" s="5"/>
      <c r="Q106" s="5"/>
    </row>
    <row r="107" spans="1:17">
      <c r="A107" s="7">
        <v>92901267</v>
      </c>
      <c r="B107" s="7" t="s">
        <v>1498</v>
      </c>
      <c r="C107" s="61">
        <v>3933</v>
      </c>
      <c r="D107" s="5">
        <v>1966.5</v>
      </c>
      <c r="E107" s="5"/>
      <c r="G107" s="5"/>
      <c r="H107" s="5"/>
      <c r="I107" s="5"/>
      <c r="J107" s="5"/>
      <c r="K107" s="5"/>
      <c r="L107" s="8"/>
      <c r="M107" s="5"/>
      <c r="N107" s="5"/>
      <c r="O107" s="5"/>
      <c r="P107" s="5"/>
      <c r="Q107" s="5"/>
    </row>
    <row r="108" spans="1:17">
      <c r="A108" s="7">
        <v>92901268</v>
      </c>
      <c r="B108" s="7" t="s">
        <v>1499</v>
      </c>
      <c r="C108" s="61">
        <v>5828</v>
      </c>
      <c r="D108" s="5">
        <v>2914</v>
      </c>
      <c r="E108" s="5"/>
      <c r="G108" s="5"/>
      <c r="H108" s="5"/>
      <c r="I108" s="5"/>
      <c r="J108" s="5"/>
      <c r="K108" s="5"/>
      <c r="L108" s="8"/>
      <c r="M108" s="5"/>
      <c r="N108" s="5"/>
      <c r="O108" s="5"/>
      <c r="P108" s="5"/>
      <c r="Q108" s="5"/>
    </row>
    <row r="109" spans="1:17">
      <c r="A109" s="7">
        <v>92901269</v>
      </c>
      <c r="B109" s="7" t="s">
        <v>1500</v>
      </c>
      <c r="C109" s="61">
        <v>6073</v>
      </c>
      <c r="D109" s="5">
        <v>3036.5</v>
      </c>
      <c r="E109" s="5"/>
      <c r="G109" s="5"/>
      <c r="H109" s="5"/>
      <c r="I109" s="5"/>
      <c r="J109" s="5"/>
      <c r="K109" s="5"/>
      <c r="L109" s="8"/>
      <c r="M109" s="5"/>
      <c r="N109" s="5"/>
      <c r="O109" s="5"/>
      <c r="P109" s="5"/>
      <c r="Q109" s="5"/>
    </row>
    <row r="110" spans="1:17">
      <c r="A110" s="7">
        <v>92901270</v>
      </c>
      <c r="B110" s="7" t="s">
        <v>1501</v>
      </c>
      <c r="C110" s="61">
        <v>6441</v>
      </c>
      <c r="D110" s="5">
        <v>3220.5</v>
      </c>
      <c r="E110" s="5"/>
      <c r="G110" s="5"/>
      <c r="H110" s="5"/>
      <c r="I110" s="5"/>
      <c r="J110" s="5"/>
      <c r="K110" s="5"/>
      <c r="L110" s="8"/>
      <c r="M110" s="5"/>
      <c r="N110" s="5"/>
      <c r="O110" s="5"/>
      <c r="P110" s="5"/>
      <c r="Q110" s="5"/>
    </row>
    <row r="111" spans="1:17">
      <c r="A111" s="7">
        <v>92901271</v>
      </c>
      <c r="B111" s="7" t="s">
        <v>1502</v>
      </c>
      <c r="C111" s="61">
        <v>7225</v>
      </c>
      <c r="D111" s="5">
        <v>3612.5</v>
      </c>
      <c r="E111" s="5"/>
      <c r="G111" s="5"/>
      <c r="H111" s="5"/>
      <c r="I111" s="5"/>
      <c r="J111" s="5"/>
      <c r="K111" s="5"/>
      <c r="L111" s="8"/>
      <c r="M111" s="5"/>
      <c r="N111" s="5"/>
      <c r="O111" s="5"/>
      <c r="P111" s="5"/>
      <c r="Q111" s="5"/>
    </row>
    <row r="112" spans="1:17">
      <c r="A112" s="7">
        <v>92901272</v>
      </c>
      <c r="B112" s="7" t="s">
        <v>1503</v>
      </c>
      <c r="C112" s="61">
        <v>7590</v>
      </c>
      <c r="D112" s="5">
        <v>3795</v>
      </c>
      <c r="E112" s="5"/>
      <c r="G112" s="5"/>
      <c r="H112" s="5"/>
      <c r="I112" s="5"/>
      <c r="J112" s="5"/>
      <c r="K112" s="5"/>
      <c r="L112" s="8"/>
      <c r="M112" s="5"/>
      <c r="N112" s="5"/>
      <c r="O112" s="5"/>
      <c r="P112" s="5"/>
      <c r="Q112" s="5"/>
    </row>
    <row r="113" spans="1:17">
      <c r="A113" s="7">
        <v>92901343</v>
      </c>
      <c r="B113" s="7" t="s">
        <v>1486</v>
      </c>
      <c r="C113" s="61">
        <v>2677</v>
      </c>
      <c r="D113" s="5">
        <v>1338.5</v>
      </c>
      <c r="E113" s="5"/>
      <c r="F113" s="5"/>
      <c r="G113" s="5"/>
      <c r="H113" s="5"/>
      <c r="I113" s="5"/>
      <c r="J113" s="5"/>
      <c r="K113" s="5"/>
      <c r="L113" s="8"/>
      <c r="M113" s="5"/>
      <c r="N113" s="5"/>
      <c r="O113" s="5"/>
      <c r="P113" s="5"/>
      <c r="Q113" s="5"/>
    </row>
    <row r="114" spans="1:17">
      <c r="A114" s="7">
        <v>92901344</v>
      </c>
      <c r="B114" s="7" t="s">
        <v>1487</v>
      </c>
      <c r="C114" s="61">
        <v>2764</v>
      </c>
      <c r="D114" s="5">
        <v>1382</v>
      </c>
      <c r="E114" s="5"/>
      <c r="G114" s="5"/>
      <c r="H114" s="5"/>
      <c r="I114" s="5"/>
      <c r="J114" s="5"/>
      <c r="K114" s="5"/>
      <c r="L114" s="8"/>
      <c r="M114" s="5"/>
      <c r="N114" s="5"/>
      <c r="O114" s="5"/>
      <c r="P114" s="5"/>
      <c r="Q114" s="5"/>
    </row>
    <row r="115" spans="1:17">
      <c r="A115" s="7">
        <v>92901345</v>
      </c>
      <c r="B115" s="7" t="s">
        <v>1488</v>
      </c>
      <c r="C115" s="61">
        <v>2847</v>
      </c>
      <c r="D115" s="5">
        <v>1423.5</v>
      </c>
      <c r="E115" s="5"/>
      <c r="G115" s="5"/>
      <c r="H115" s="5"/>
      <c r="I115" s="5"/>
      <c r="J115" s="5"/>
      <c r="K115" s="5"/>
      <c r="L115" s="8"/>
      <c r="M115" s="5"/>
      <c r="N115" s="5"/>
      <c r="O115" s="5"/>
      <c r="P115" s="5"/>
      <c r="Q115" s="5"/>
    </row>
    <row r="116" spans="1:17">
      <c r="A116" s="7">
        <v>92901346</v>
      </c>
      <c r="B116" s="7" t="s">
        <v>1489</v>
      </c>
      <c r="C116" s="61">
        <v>2932</v>
      </c>
      <c r="D116" s="5">
        <v>1466</v>
      </c>
      <c r="E116" s="5"/>
      <c r="G116" s="5"/>
      <c r="H116" s="5"/>
      <c r="I116" s="5"/>
      <c r="J116" s="5"/>
      <c r="K116" s="5"/>
      <c r="L116" s="8"/>
      <c r="M116" s="5"/>
      <c r="N116" s="5"/>
      <c r="O116" s="5"/>
      <c r="P116" s="5"/>
      <c r="Q116" s="5"/>
    </row>
    <row r="117" spans="1:17">
      <c r="A117" s="7">
        <v>92901347</v>
      </c>
      <c r="B117" s="7" t="s">
        <v>1490</v>
      </c>
      <c r="C117" s="61">
        <v>3015</v>
      </c>
      <c r="D117" s="5">
        <v>1507.5</v>
      </c>
      <c r="E117" s="5"/>
      <c r="G117" s="5"/>
      <c r="H117" s="5"/>
      <c r="I117" s="5"/>
      <c r="J117" s="5"/>
      <c r="K117" s="5"/>
      <c r="L117" s="8"/>
      <c r="M117" s="5"/>
      <c r="N117" s="5"/>
      <c r="O117" s="5"/>
      <c r="P117" s="5"/>
      <c r="Q117" s="5"/>
    </row>
    <row r="118" spans="1:17">
      <c r="A118" s="7">
        <v>92901348</v>
      </c>
      <c r="B118" s="7" t="s">
        <v>1491</v>
      </c>
      <c r="C118" s="61">
        <v>3100</v>
      </c>
      <c r="D118" s="5">
        <v>1550</v>
      </c>
      <c r="E118" s="5"/>
      <c r="G118" s="5"/>
      <c r="H118" s="5"/>
      <c r="I118" s="5"/>
      <c r="J118" s="5"/>
      <c r="K118" s="5"/>
      <c r="L118" s="8"/>
      <c r="M118" s="5"/>
      <c r="N118" s="5"/>
      <c r="O118" s="5"/>
      <c r="P118" s="5"/>
      <c r="Q118" s="5"/>
    </row>
    <row r="119" spans="1:17">
      <c r="A119" s="7">
        <v>92901349</v>
      </c>
      <c r="B119" s="7" t="s">
        <v>1492</v>
      </c>
      <c r="C119" s="61">
        <v>3202</v>
      </c>
      <c r="D119" s="5">
        <v>1601</v>
      </c>
      <c r="E119" s="5"/>
      <c r="G119" s="5"/>
      <c r="H119" s="5"/>
      <c r="I119" s="5"/>
      <c r="J119" s="5"/>
      <c r="K119" s="5"/>
      <c r="L119" s="8"/>
      <c r="M119" s="5"/>
      <c r="N119" s="5"/>
      <c r="O119" s="5"/>
      <c r="P119" s="5"/>
      <c r="Q119" s="5"/>
    </row>
    <row r="120" spans="1:17">
      <c r="A120" s="7">
        <v>92901350</v>
      </c>
      <c r="B120" s="7" t="s">
        <v>1493</v>
      </c>
      <c r="C120" s="61">
        <v>3271</v>
      </c>
      <c r="D120" s="5">
        <v>1635.5</v>
      </c>
      <c r="E120" s="5"/>
      <c r="G120" s="5"/>
      <c r="H120" s="5"/>
      <c r="I120" s="5"/>
      <c r="J120" s="5"/>
      <c r="K120" s="5"/>
      <c r="L120" s="8"/>
      <c r="M120" s="5"/>
      <c r="N120" s="5"/>
      <c r="O120" s="5"/>
      <c r="P120" s="5"/>
      <c r="Q120" s="5"/>
    </row>
    <row r="121" spans="1:17">
      <c r="A121" s="7">
        <v>92901351</v>
      </c>
      <c r="B121" s="7" t="s">
        <v>1494</v>
      </c>
      <c r="C121" s="61">
        <v>3402</v>
      </c>
      <c r="D121" s="5">
        <v>1701</v>
      </c>
      <c r="E121" s="5"/>
      <c r="G121" s="5"/>
      <c r="H121" s="5"/>
      <c r="I121" s="5"/>
      <c r="J121" s="5"/>
      <c r="K121" s="5"/>
      <c r="L121" s="8"/>
      <c r="M121" s="5"/>
      <c r="N121" s="5"/>
      <c r="O121" s="5"/>
      <c r="P121" s="5"/>
      <c r="Q121" s="5"/>
    </row>
    <row r="122" spans="1:17">
      <c r="A122" s="7">
        <v>92901352</v>
      </c>
      <c r="B122" s="7" t="s">
        <v>1495</v>
      </c>
      <c r="C122" s="61">
        <v>3523</v>
      </c>
      <c r="D122" s="5">
        <v>1761.5</v>
      </c>
      <c r="E122" s="5"/>
      <c r="G122" s="5"/>
      <c r="H122" s="5"/>
      <c r="I122" s="5"/>
      <c r="J122" s="5"/>
      <c r="K122" s="5"/>
      <c r="L122" s="8"/>
      <c r="M122" s="5"/>
      <c r="N122" s="5"/>
      <c r="O122" s="5"/>
      <c r="P122" s="5"/>
      <c r="Q122" s="5"/>
    </row>
    <row r="123" spans="1:17">
      <c r="A123" s="7">
        <v>92901353</v>
      </c>
      <c r="B123" s="7" t="s">
        <v>1496</v>
      </c>
      <c r="C123" s="61">
        <v>3774</v>
      </c>
      <c r="D123" s="5">
        <v>1887</v>
      </c>
      <c r="E123" s="5"/>
      <c r="G123" s="5"/>
      <c r="H123" s="5"/>
      <c r="I123" s="5"/>
      <c r="J123" s="5"/>
      <c r="K123" s="5"/>
      <c r="L123" s="8"/>
      <c r="M123" s="5"/>
      <c r="N123" s="5"/>
      <c r="O123" s="5"/>
      <c r="P123" s="5"/>
      <c r="Q123" s="5"/>
    </row>
    <row r="124" spans="1:17">
      <c r="A124" s="7">
        <v>92901354</v>
      </c>
      <c r="B124" s="7" t="s">
        <v>1497</v>
      </c>
      <c r="C124" s="61">
        <v>3897</v>
      </c>
      <c r="D124" s="5">
        <v>1948.5</v>
      </c>
      <c r="E124" s="5"/>
      <c r="G124" s="5"/>
      <c r="H124" s="5"/>
      <c r="I124" s="5"/>
      <c r="J124" s="5"/>
      <c r="K124" s="5"/>
      <c r="L124" s="8"/>
      <c r="M124" s="5"/>
      <c r="N124" s="5"/>
      <c r="O124" s="5"/>
      <c r="P124" s="5"/>
      <c r="Q124" s="5"/>
    </row>
    <row r="125" spans="1:17">
      <c r="A125" s="7">
        <v>92901355</v>
      </c>
      <c r="B125" s="7" t="s">
        <v>1498</v>
      </c>
      <c r="C125" s="61">
        <v>4150</v>
      </c>
      <c r="D125" s="5">
        <v>2075</v>
      </c>
      <c r="E125" s="5"/>
      <c r="G125" s="5"/>
      <c r="H125" s="5"/>
      <c r="I125" s="5"/>
      <c r="J125" s="5"/>
      <c r="K125" s="5"/>
      <c r="L125" s="8"/>
      <c r="M125" s="5"/>
      <c r="N125" s="5"/>
      <c r="O125" s="5"/>
      <c r="P125" s="5"/>
      <c r="Q125" s="5"/>
    </row>
    <row r="126" spans="1:17">
      <c r="A126" s="7">
        <v>92901356</v>
      </c>
      <c r="B126" s="7" t="s">
        <v>1499</v>
      </c>
      <c r="C126" s="61">
        <v>6045</v>
      </c>
      <c r="D126" s="5">
        <v>3022.5</v>
      </c>
      <c r="E126" s="5"/>
      <c r="G126" s="5"/>
      <c r="H126" s="5"/>
      <c r="I126" s="5"/>
      <c r="J126" s="5"/>
      <c r="K126" s="5"/>
      <c r="L126" s="8"/>
      <c r="M126" s="5"/>
      <c r="N126" s="5"/>
      <c r="O126" s="5"/>
      <c r="P126" s="5"/>
      <c r="Q126" s="5"/>
    </row>
    <row r="127" spans="1:17">
      <c r="A127" s="7">
        <v>92901357</v>
      </c>
      <c r="B127" s="7" t="s">
        <v>1500</v>
      </c>
      <c r="C127" s="61">
        <v>6289</v>
      </c>
      <c r="D127" s="5">
        <v>3144.5</v>
      </c>
      <c r="E127" s="5"/>
      <c r="G127" s="5"/>
      <c r="H127" s="5"/>
      <c r="I127" s="5"/>
      <c r="J127" s="5"/>
      <c r="K127" s="5"/>
      <c r="L127" s="8"/>
      <c r="M127" s="5"/>
      <c r="N127" s="5"/>
      <c r="O127" s="5"/>
      <c r="P127" s="5"/>
      <c r="Q127" s="5"/>
    </row>
    <row r="128" spans="1:17">
      <c r="A128" s="7">
        <v>92901358</v>
      </c>
      <c r="B128" s="7" t="s">
        <v>1501</v>
      </c>
      <c r="C128" s="61">
        <v>6658</v>
      </c>
      <c r="D128" s="5">
        <v>3329</v>
      </c>
      <c r="E128" s="5"/>
      <c r="G128" s="5"/>
      <c r="H128" s="5"/>
      <c r="I128" s="5"/>
      <c r="J128" s="5"/>
      <c r="K128" s="5"/>
      <c r="L128" s="8"/>
      <c r="M128" s="5"/>
      <c r="N128" s="5"/>
      <c r="O128" s="5"/>
      <c r="P128" s="5"/>
      <c r="Q128" s="5"/>
    </row>
    <row r="129" spans="1:17">
      <c r="A129" s="7">
        <v>92901359</v>
      </c>
      <c r="B129" s="7" t="s">
        <v>1502</v>
      </c>
      <c r="C129" s="61">
        <v>7441</v>
      </c>
      <c r="D129" s="5">
        <v>3720.5</v>
      </c>
      <c r="E129" s="5"/>
      <c r="G129" s="5"/>
      <c r="H129" s="5"/>
      <c r="I129" s="5"/>
      <c r="J129" s="5"/>
      <c r="K129" s="5"/>
      <c r="L129" s="8"/>
      <c r="M129" s="5"/>
      <c r="N129" s="5"/>
      <c r="O129" s="5"/>
      <c r="P129" s="5"/>
      <c r="Q129" s="5"/>
    </row>
    <row r="130" spans="1:17">
      <c r="A130" s="7">
        <v>92901360</v>
      </c>
      <c r="B130" s="7" t="s">
        <v>1503</v>
      </c>
      <c r="C130" s="61">
        <v>7807</v>
      </c>
      <c r="D130" s="5">
        <v>3903.5</v>
      </c>
      <c r="E130" s="5"/>
      <c r="G130" s="5"/>
      <c r="H130" s="5"/>
      <c r="I130" s="5"/>
      <c r="J130" s="5"/>
      <c r="K130" s="5"/>
      <c r="L130" s="8"/>
      <c r="M130" s="5"/>
      <c r="N130" s="5"/>
      <c r="O130" s="5"/>
      <c r="P130" s="5"/>
      <c r="Q130" s="5"/>
    </row>
    <row r="131" spans="1:17">
      <c r="A131" s="7">
        <v>92901430</v>
      </c>
      <c r="B131" s="7" t="s">
        <v>1504</v>
      </c>
      <c r="C131" s="61">
        <v>4387</v>
      </c>
      <c r="D131" s="5">
        <v>2193.5</v>
      </c>
      <c r="E131" s="5"/>
      <c r="G131" s="5"/>
      <c r="H131" s="5"/>
      <c r="I131" s="5"/>
      <c r="J131" s="5"/>
      <c r="K131" s="5"/>
      <c r="L131" s="8"/>
      <c r="M131" s="5"/>
      <c r="N131" s="5"/>
      <c r="O131" s="5"/>
      <c r="P131" s="5"/>
      <c r="Q131" s="5"/>
    </row>
    <row r="132" spans="1:17">
      <c r="A132" s="7">
        <v>92901431</v>
      </c>
      <c r="B132" s="7" t="s">
        <v>1505</v>
      </c>
      <c r="C132" s="61">
        <v>4632</v>
      </c>
      <c r="D132" s="5">
        <v>2316</v>
      </c>
      <c r="E132" s="5"/>
      <c r="G132" s="5"/>
      <c r="H132" s="5"/>
      <c r="I132" s="5"/>
      <c r="J132" s="5"/>
      <c r="K132" s="5"/>
      <c r="L132" s="8"/>
      <c r="M132" s="5"/>
      <c r="N132" s="5"/>
      <c r="O132" s="5"/>
      <c r="P132" s="5"/>
      <c r="Q132" s="5"/>
    </row>
    <row r="133" spans="1:17">
      <c r="A133" s="7">
        <v>92901432</v>
      </c>
      <c r="B133" s="7" t="s">
        <v>1506</v>
      </c>
      <c r="C133" s="61">
        <v>4886</v>
      </c>
      <c r="D133" s="5">
        <v>2443</v>
      </c>
      <c r="E133" s="5"/>
      <c r="G133" s="5"/>
      <c r="H133" s="5"/>
      <c r="I133" s="5"/>
      <c r="J133" s="5"/>
      <c r="K133" s="5"/>
      <c r="L133" s="8"/>
      <c r="M133" s="5"/>
      <c r="N133" s="5"/>
      <c r="O133" s="5"/>
      <c r="P133" s="5"/>
      <c r="Q133" s="5"/>
    </row>
    <row r="134" spans="1:17">
      <c r="A134" s="7">
        <v>92901433</v>
      </c>
      <c r="B134" s="7" t="s">
        <v>1507</v>
      </c>
      <c r="C134" s="61">
        <v>5131</v>
      </c>
      <c r="D134" s="5">
        <v>2565.5</v>
      </c>
      <c r="E134" s="5"/>
      <c r="G134" s="5"/>
      <c r="H134" s="5"/>
      <c r="I134" s="5"/>
      <c r="J134" s="5"/>
      <c r="K134" s="5"/>
      <c r="L134" s="8"/>
      <c r="M134" s="5"/>
      <c r="N134" s="5"/>
      <c r="O134" s="5"/>
      <c r="P134" s="5"/>
      <c r="Q134" s="5"/>
    </row>
    <row r="135" spans="1:17">
      <c r="A135" s="7">
        <v>92901446</v>
      </c>
      <c r="B135" s="7" t="s">
        <v>1504</v>
      </c>
      <c r="C135" s="61">
        <v>4604</v>
      </c>
      <c r="D135" s="5">
        <v>2302</v>
      </c>
      <c r="E135" s="5"/>
      <c r="G135" s="5"/>
      <c r="H135" s="5"/>
      <c r="I135" s="5"/>
      <c r="J135" s="5"/>
      <c r="K135" s="5"/>
      <c r="L135" s="8"/>
      <c r="M135" s="5"/>
      <c r="N135" s="5"/>
      <c r="O135" s="5"/>
      <c r="P135" s="5"/>
      <c r="Q135" s="5"/>
    </row>
    <row r="136" spans="1:17">
      <c r="A136" s="7">
        <v>92901447</v>
      </c>
      <c r="B136" s="7" t="s">
        <v>1505</v>
      </c>
      <c r="C136" s="61">
        <v>4849</v>
      </c>
      <c r="D136" s="5">
        <v>2424.5</v>
      </c>
      <c r="E136" s="5"/>
      <c r="G136" s="5"/>
      <c r="H136" s="5"/>
      <c r="I136" s="5"/>
      <c r="J136" s="5"/>
      <c r="K136" s="5"/>
      <c r="L136" s="8"/>
      <c r="M136" s="5"/>
      <c r="N136" s="5"/>
      <c r="O136" s="5"/>
      <c r="P136" s="5"/>
      <c r="Q136" s="5"/>
    </row>
    <row r="137" spans="1:17">
      <c r="A137" s="7">
        <v>92901448</v>
      </c>
      <c r="B137" s="7" t="s">
        <v>1506</v>
      </c>
      <c r="C137" s="61">
        <v>5103</v>
      </c>
      <c r="D137" s="5">
        <v>2551.5</v>
      </c>
      <c r="E137" s="5"/>
      <c r="G137" s="5"/>
      <c r="H137" s="5"/>
      <c r="I137" s="5"/>
      <c r="J137" s="5"/>
      <c r="K137" s="5"/>
      <c r="L137" s="8"/>
      <c r="M137" s="5"/>
      <c r="N137" s="5"/>
      <c r="O137" s="5"/>
      <c r="P137" s="5"/>
      <c r="Q137" s="5"/>
    </row>
    <row r="138" spans="1:17">
      <c r="A138" s="7">
        <v>92901449</v>
      </c>
      <c r="B138" s="7" t="s">
        <v>1507</v>
      </c>
      <c r="C138" s="61">
        <v>5348</v>
      </c>
      <c r="D138" s="5">
        <v>2674</v>
      </c>
      <c r="E138" s="5"/>
      <c r="G138" s="5"/>
      <c r="H138" s="5"/>
      <c r="I138" s="5"/>
      <c r="J138" s="5"/>
      <c r="K138" s="5"/>
      <c r="L138" s="8"/>
      <c r="M138" s="5"/>
      <c r="N138" s="5"/>
      <c r="O138" s="5"/>
      <c r="P138" s="5"/>
      <c r="Q138" s="5"/>
    </row>
    <row r="139" spans="1:17">
      <c r="A139" s="7">
        <v>92902218</v>
      </c>
      <c r="B139" s="7" t="s">
        <v>1508</v>
      </c>
      <c r="C139" s="61">
        <v>2522</v>
      </c>
      <c r="D139" s="5">
        <v>1261</v>
      </c>
      <c r="E139" s="5"/>
      <c r="G139" s="5"/>
      <c r="H139" s="5"/>
      <c r="I139" s="5"/>
      <c r="J139" s="5"/>
      <c r="K139" s="5"/>
      <c r="L139" s="8"/>
      <c r="M139" s="5"/>
      <c r="N139" s="5"/>
      <c r="O139" s="5"/>
      <c r="P139" s="5"/>
      <c r="Q139" s="5"/>
    </row>
    <row r="140" spans="1:17">
      <c r="A140" s="7">
        <v>92902219</v>
      </c>
      <c r="B140" s="7" t="s">
        <v>1509</v>
      </c>
      <c r="C140" s="61">
        <v>2646</v>
      </c>
      <c r="D140" s="5">
        <v>1323</v>
      </c>
      <c r="E140" s="5"/>
      <c r="G140" s="5"/>
      <c r="H140" s="5"/>
      <c r="I140" s="5"/>
      <c r="J140" s="5"/>
      <c r="K140" s="5"/>
      <c r="L140" s="8"/>
      <c r="M140" s="5"/>
      <c r="N140" s="5"/>
      <c r="O140" s="5"/>
      <c r="P140" s="5"/>
      <c r="Q140" s="5"/>
    </row>
    <row r="141" spans="1:17">
      <c r="A141" s="7">
        <v>92902220</v>
      </c>
      <c r="B141" s="7" t="s">
        <v>1510</v>
      </c>
      <c r="C141" s="61">
        <v>2759</v>
      </c>
      <c r="D141" s="5">
        <v>1379.5</v>
      </c>
      <c r="E141" s="5"/>
      <c r="G141" s="5"/>
      <c r="H141" s="5"/>
      <c r="I141" s="5"/>
      <c r="J141" s="5"/>
      <c r="K141" s="5"/>
      <c r="L141" s="8"/>
      <c r="M141" s="5"/>
      <c r="N141" s="5"/>
      <c r="O141" s="5"/>
      <c r="P141" s="5"/>
      <c r="Q141" s="5"/>
    </row>
    <row r="142" spans="1:17">
      <c r="A142" s="7">
        <v>92902221</v>
      </c>
      <c r="B142" s="7" t="s">
        <v>1511</v>
      </c>
      <c r="C142" s="61">
        <v>2882</v>
      </c>
      <c r="D142" s="5">
        <v>1441</v>
      </c>
      <c r="E142" s="5"/>
      <c r="G142" s="5"/>
      <c r="H142" s="5"/>
      <c r="I142" s="5"/>
      <c r="J142" s="5"/>
      <c r="K142" s="5"/>
      <c r="L142" s="8"/>
      <c r="M142" s="5"/>
      <c r="N142" s="5"/>
      <c r="O142" s="5"/>
      <c r="P142" s="5"/>
      <c r="Q142" s="5"/>
    </row>
    <row r="143" spans="1:17">
      <c r="A143" s="7">
        <v>92902222</v>
      </c>
      <c r="B143" s="7" t="s">
        <v>1512</v>
      </c>
      <c r="C143" s="61">
        <v>3050</v>
      </c>
      <c r="D143" s="5">
        <v>1525</v>
      </c>
      <c r="E143" s="5"/>
      <c r="G143" s="5"/>
      <c r="H143" s="5"/>
      <c r="I143" s="5"/>
      <c r="J143" s="5"/>
      <c r="K143" s="5"/>
      <c r="L143" s="8"/>
      <c r="M143" s="5"/>
      <c r="N143" s="5"/>
      <c r="O143" s="5"/>
      <c r="P143" s="5"/>
      <c r="Q143" s="5"/>
    </row>
    <row r="144" spans="1:17">
      <c r="A144" s="7">
        <v>92902223</v>
      </c>
      <c r="B144" s="7" t="s">
        <v>1513</v>
      </c>
      <c r="C144" s="61">
        <v>3158</v>
      </c>
      <c r="D144" s="5">
        <v>1579</v>
      </c>
      <c r="E144" s="5"/>
      <c r="G144" s="5"/>
      <c r="H144" s="5"/>
      <c r="I144" s="5"/>
      <c r="J144" s="5"/>
      <c r="K144" s="5"/>
      <c r="L144" s="8"/>
      <c r="M144" s="5"/>
      <c r="N144" s="5"/>
      <c r="O144" s="5"/>
      <c r="P144" s="5"/>
      <c r="Q144" s="5"/>
    </row>
    <row r="145" spans="1:17">
      <c r="A145" s="7">
        <v>92902224</v>
      </c>
      <c r="B145" s="7" t="s">
        <v>1514</v>
      </c>
      <c r="C145" s="61">
        <v>3358</v>
      </c>
      <c r="D145" s="5">
        <v>1679</v>
      </c>
      <c r="E145" s="5"/>
      <c r="G145" s="5"/>
      <c r="H145" s="5"/>
      <c r="I145" s="5"/>
      <c r="J145" s="5"/>
      <c r="K145" s="5"/>
      <c r="L145" s="8"/>
      <c r="M145" s="5"/>
      <c r="N145" s="5"/>
      <c r="O145" s="5"/>
      <c r="P145" s="5"/>
      <c r="Q145" s="5"/>
    </row>
    <row r="146" spans="1:17">
      <c r="A146" s="7">
        <v>92902225</v>
      </c>
      <c r="B146" s="7" t="s">
        <v>1515</v>
      </c>
      <c r="C146" s="61">
        <v>3482</v>
      </c>
      <c r="D146" s="5">
        <v>1741</v>
      </c>
      <c r="E146" s="5"/>
      <c r="G146" s="5"/>
      <c r="H146" s="5"/>
      <c r="I146" s="5"/>
      <c r="J146" s="5"/>
      <c r="K146" s="5"/>
      <c r="L146" s="8"/>
      <c r="M146" s="5"/>
      <c r="N146" s="5"/>
      <c r="O146" s="5"/>
      <c r="P146" s="5"/>
      <c r="Q146" s="5"/>
    </row>
    <row r="147" spans="1:17">
      <c r="A147" s="7">
        <v>92902226</v>
      </c>
      <c r="B147" s="7" t="s">
        <v>1516</v>
      </c>
      <c r="C147" s="61">
        <v>3602</v>
      </c>
      <c r="D147" s="5">
        <v>1801</v>
      </c>
      <c r="E147" s="5"/>
      <c r="G147" s="5"/>
      <c r="H147" s="5"/>
      <c r="I147" s="5"/>
      <c r="J147" s="5"/>
      <c r="K147" s="5"/>
      <c r="L147" s="8"/>
      <c r="M147" s="5"/>
      <c r="N147" s="5"/>
      <c r="O147" s="5"/>
      <c r="P147" s="5"/>
      <c r="Q147" s="5"/>
    </row>
    <row r="148" spans="1:17">
      <c r="A148" s="7">
        <v>92902227</v>
      </c>
      <c r="B148" s="7" t="s">
        <v>1517</v>
      </c>
      <c r="C148" s="61">
        <v>3994</v>
      </c>
      <c r="D148" s="5">
        <v>1997</v>
      </c>
      <c r="E148" s="5"/>
      <c r="G148" s="5"/>
      <c r="H148" s="5"/>
      <c r="I148" s="5"/>
      <c r="J148" s="5"/>
      <c r="K148" s="5"/>
      <c r="L148" s="8"/>
      <c r="M148" s="5"/>
      <c r="N148" s="5"/>
      <c r="O148" s="5"/>
      <c r="P148" s="5"/>
      <c r="Q148" s="5"/>
    </row>
    <row r="149" spans="1:17">
      <c r="A149" s="7">
        <v>92902228</v>
      </c>
      <c r="B149" s="7" t="s">
        <v>1518</v>
      </c>
      <c r="C149" s="61">
        <v>4118</v>
      </c>
      <c r="D149" s="5">
        <v>2059</v>
      </c>
      <c r="E149" s="5"/>
      <c r="G149" s="5"/>
      <c r="H149" s="5"/>
      <c r="I149" s="5"/>
      <c r="J149" s="5"/>
      <c r="K149" s="5"/>
      <c r="L149" s="8"/>
      <c r="M149" s="5"/>
      <c r="N149" s="5"/>
      <c r="O149" s="5"/>
      <c r="P149" s="5"/>
      <c r="Q149" s="5"/>
    </row>
    <row r="150" spans="1:17">
      <c r="A150" s="7">
        <v>92902229</v>
      </c>
      <c r="B150" s="7" t="s">
        <v>1519</v>
      </c>
      <c r="C150" s="61">
        <v>4239</v>
      </c>
      <c r="D150" s="5">
        <v>2119.5</v>
      </c>
      <c r="E150" s="5"/>
      <c r="G150" s="5"/>
      <c r="H150" s="5"/>
      <c r="I150" s="5"/>
      <c r="J150" s="5"/>
      <c r="K150" s="5"/>
      <c r="L150" s="8"/>
      <c r="M150" s="5"/>
      <c r="N150" s="5"/>
      <c r="O150" s="5"/>
      <c r="P150" s="5"/>
      <c r="Q150" s="5"/>
    </row>
    <row r="151" spans="1:17">
      <c r="A151" s="7">
        <v>92902230</v>
      </c>
      <c r="B151" s="7" t="s">
        <v>1520</v>
      </c>
      <c r="C151" s="61">
        <v>4495</v>
      </c>
      <c r="D151" s="5">
        <v>2247.5</v>
      </c>
      <c r="E151" s="5"/>
      <c r="G151" s="5"/>
      <c r="H151" s="5"/>
      <c r="I151" s="5"/>
      <c r="J151" s="5"/>
      <c r="K151" s="5"/>
      <c r="L151" s="8"/>
      <c r="M151" s="5"/>
      <c r="N151" s="5"/>
      <c r="O151" s="5"/>
      <c r="P151" s="5"/>
      <c r="Q151" s="5"/>
    </row>
    <row r="152" spans="1:17">
      <c r="A152" s="7">
        <v>92902231</v>
      </c>
      <c r="B152" s="7" t="s">
        <v>1521</v>
      </c>
      <c r="C152" s="61">
        <v>5207</v>
      </c>
      <c r="D152" s="5">
        <v>2603.5</v>
      </c>
      <c r="E152" s="5"/>
      <c r="G152" s="5"/>
      <c r="H152" s="5"/>
      <c r="I152" s="5"/>
      <c r="J152" s="5"/>
      <c r="K152" s="5"/>
      <c r="L152" s="8"/>
      <c r="M152" s="5"/>
      <c r="N152" s="5"/>
      <c r="O152" s="5"/>
      <c r="P152" s="5"/>
      <c r="Q152" s="5"/>
    </row>
    <row r="153" spans="1:17">
      <c r="A153" s="7">
        <v>92902232</v>
      </c>
      <c r="B153" s="7" t="s">
        <v>1522</v>
      </c>
      <c r="C153" s="61">
        <v>5450</v>
      </c>
      <c r="D153" s="5">
        <v>2725</v>
      </c>
      <c r="E153" s="5"/>
      <c r="G153" s="5"/>
      <c r="H153" s="5"/>
      <c r="I153" s="5"/>
      <c r="J153" s="5"/>
      <c r="K153" s="5"/>
      <c r="L153" s="8"/>
      <c r="M153" s="5"/>
      <c r="N153" s="5"/>
      <c r="O153" s="5"/>
      <c r="P153" s="5"/>
      <c r="Q153" s="5"/>
    </row>
    <row r="154" spans="1:17">
      <c r="A154" s="7">
        <v>92902233</v>
      </c>
      <c r="B154" s="7" t="s">
        <v>1523</v>
      </c>
      <c r="C154" s="61">
        <v>5684</v>
      </c>
      <c r="D154" s="5">
        <v>2842</v>
      </c>
      <c r="E154" s="5"/>
      <c r="G154" s="5"/>
      <c r="H154" s="5"/>
      <c r="I154" s="5"/>
      <c r="J154" s="5"/>
      <c r="K154" s="5"/>
      <c r="L154" s="8"/>
      <c r="M154" s="5"/>
      <c r="N154" s="5"/>
      <c r="O154" s="5"/>
      <c r="P154" s="5"/>
      <c r="Q154" s="5"/>
    </row>
    <row r="155" spans="1:17">
      <c r="A155" s="7">
        <v>92902234</v>
      </c>
      <c r="B155" s="7" t="s">
        <v>1524</v>
      </c>
      <c r="C155" s="61">
        <v>5928</v>
      </c>
      <c r="D155" s="5">
        <v>2964</v>
      </c>
      <c r="E155" s="5"/>
      <c r="G155" s="5"/>
      <c r="H155" s="5"/>
      <c r="I155" s="5"/>
      <c r="J155" s="5"/>
      <c r="K155" s="5"/>
      <c r="L155" s="8"/>
      <c r="M155" s="5"/>
      <c r="N155" s="5"/>
      <c r="O155" s="5"/>
      <c r="P155" s="5"/>
      <c r="Q155" s="5"/>
    </row>
    <row r="156" spans="1:17">
      <c r="A156" s="7">
        <v>92902235</v>
      </c>
      <c r="B156" s="7" t="s">
        <v>1525</v>
      </c>
      <c r="C156" s="61">
        <v>6179</v>
      </c>
      <c r="D156" s="5">
        <v>3089.5</v>
      </c>
      <c r="E156" s="5"/>
      <c r="G156" s="5"/>
      <c r="H156" s="5"/>
      <c r="I156" s="5"/>
      <c r="J156" s="5"/>
      <c r="K156" s="5"/>
      <c r="L156" s="8"/>
      <c r="M156" s="5"/>
      <c r="N156" s="5"/>
      <c r="O156" s="5"/>
      <c r="P156" s="5"/>
      <c r="Q156" s="5"/>
    </row>
    <row r="157" spans="1:17">
      <c r="A157" s="7">
        <v>92902236</v>
      </c>
      <c r="B157" s="7" t="s">
        <v>1526</v>
      </c>
      <c r="C157" s="61">
        <v>6428</v>
      </c>
      <c r="D157" s="5">
        <v>3214</v>
      </c>
      <c r="E157" s="5"/>
      <c r="G157" s="5"/>
      <c r="H157" s="5"/>
      <c r="I157" s="5"/>
      <c r="J157" s="5"/>
      <c r="K157" s="5"/>
      <c r="L157" s="8"/>
      <c r="M157" s="5"/>
      <c r="N157" s="5"/>
      <c r="O157" s="5"/>
      <c r="P157" s="5"/>
      <c r="Q157" s="5"/>
    </row>
    <row r="158" spans="1:17">
      <c r="A158" s="7">
        <v>92902237</v>
      </c>
      <c r="B158" s="7" t="s">
        <v>1527</v>
      </c>
      <c r="C158" s="61">
        <v>6669</v>
      </c>
      <c r="D158" s="5">
        <v>3334.5</v>
      </c>
      <c r="E158" s="5"/>
      <c r="G158" s="5"/>
      <c r="H158" s="5"/>
      <c r="I158" s="5"/>
      <c r="J158" s="5"/>
      <c r="K158" s="5"/>
      <c r="L158" s="8"/>
      <c r="M158" s="5"/>
      <c r="N158" s="5"/>
      <c r="O158" s="5"/>
      <c r="P158" s="5"/>
      <c r="Q158" s="5"/>
    </row>
    <row r="159" spans="1:17">
      <c r="A159" s="7">
        <v>92902309</v>
      </c>
      <c r="B159" s="7" t="s">
        <v>1508</v>
      </c>
      <c r="C159" s="61">
        <v>2740</v>
      </c>
      <c r="D159" s="5">
        <v>1370</v>
      </c>
      <c r="E159" s="5"/>
      <c r="G159" s="5"/>
      <c r="H159" s="5"/>
      <c r="I159" s="5"/>
      <c r="J159" s="5"/>
      <c r="K159" s="5"/>
      <c r="L159" s="8"/>
      <c r="M159" s="5"/>
      <c r="N159" s="5"/>
      <c r="O159" s="5"/>
      <c r="P159" s="5"/>
      <c r="Q159" s="5"/>
    </row>
    <row r="160" spans="1:17">
      <c r="A160" s="7">
        <v>92902320</v>
      </c>
      <c r="B160" s="7" t="s">
        <v>1509</v>
      </c>
      <c r="C160" s="61">
        <v>2861</v>
      </c>
      <c r="D160" s="5">
        <v>1430.5</v>
      </c>
      <c r="E160" s="5"/>
      <c r="G160" s="5"/>
      <c r="H160" s="5"/>
      <c r="I160" s="5"/>
      <c r="J160" s="5"/>
      <c r="K160" s="5"/>
      <c r="L160" s="8"/>
      <c r="M160" s="5"/>
      <c r="N160" s="5"/>
      <c r="O160" s="5"/>
      <c r="P160" s="5"/>
      <c r="Q160" s="5"/>
    </row>
    <row r="161" spans="1:17">
      <c r="A161" s="7">
        <v>92902321</v>
      </c>
      <c r="B161" s="7" t="s">
        <v>1510</v>
      </c>
      <c r="C161" s="61">
        <v>2976</v>
      </c>
      <c r="D161" s="5">
        <v>1488</v>
      </c>
      <c r="E161" s="5"/>
      <c r="G161" s="5"/>
      <c r="H161" s="5"/>
      <c r="I161" s="5"/>
      <c r="J161" s="5"/>
      <c r="K161" s="5"/>
      <c r="L161" s="8"/>
      <c r="M161" s="5"/>
      <c r="N161" s="5"/>
      <c r="O161" s="5"/>
      <c r="P161" s="5"/>
      <c r="Q161" s="5"/>
    </row>
    <row r="162" spans="1:17">
      <c r="A162" s="7">
        <v>92902322</v>
      </c>
      <c r="B162" s="7" t="s">
        <v>1511</v>
      </c>
      <c r="C162" s="61">
        <v>3098</v>
      </c>
      <c r="D162" s="5">
        <v>1549</v>
      </c>
      <c r="E162" s="5"/>
      <c r="G162" s="5"/>
      <c r="H162" s="5"/>
      <c r="I162" s="5"/>
      <c r="J162" s="5"/>
      <c r="K162" s="5"/>
      <c r="L162" s="8"/>
      <c r="M162" s="5"/>
      <c r="N162" s="5"/>
      <c r="O162" s="5"/>
      <c r="P162" s="5"/>
      <c r="Q162" s="5"/>
    </row>
    <row r="163" spans="1:17">
      <c r="A163" s="7">
        <v>92902323</v>
      </c>
      <c r="B163" s="7" t="s">
        <v>1512</v>
      </c>
      <c r="C163" s="61">
        <v>3265</v>
      </c>
      <c r="D163" s="5">
        <v>1632.5</v>
      </c>
      <c r="E163" s="5"/>
      <c r="G163" s="5"/>
      <c r="H163" s="5"/>
      <c r="I163" s="5"/>
      <c r="J163" s="5"/>
      <c r="K163" s="5"/>
      <c r="L163" s="8"/>
      <c r="M163" s="5"/>
      <c r="N163" s="5"/>
      <c r="O163" s="5"/>
      <c r="P163" s="5"/>
      <c r="Q163" s="5"/>
    </row>
    <row r="164" spans="1:17">
      <c r="A164" s="7">
        <v>92902324</v>
      </c>
      <c r="B164" s="7" t="s">
        <v>1513</v>
      </c>
      <c r="C164" s="61">
        <v>3374</v>
      </c>
      <c r="D164" s="5">
        <v>1687</v>
      </c>
      <c r="E164" s="5"/>
      <c r="G164" s="5"/>
      <c r="H164" s="5"/>
      <c r="I164" s="5"/>
      <c r="J164" s="5"/>
      <c r="K164" s="5"/>
      <c r="L164" s="8"/>
      <c r="M164" s="5"/>
      <c r="N164" s="5"/>
      <c r="O164" s="5"/>
      <c r="P164" s="5"/>
      <c r="Q164" s="5"/>
    </row>
    <row r="165" spans="1:17">
      <c r="A165" s="7">
        <v>92902326</v>
      </c>
      <c r="B165" s="7" t="s">
        <v>1514</v>
      </c>
      <c r="C165" s="61">
        <v>3573</v>
      </c>
      <c r="D165" s="5">
        <v>1786.5</v>
      </c>
      <c r="E165" s="5"/>
      <c r="G165" s="5"/>
      <c r="H165" s="5"/>
      <c r="I165" s="5"/>
      <c r="J165" s="5"/>
      <c r="K165" s="5"/>
      <c r="L165" s="8"/>
      <c r="M165" s="5"/>
      <c r="N165" s="5"/>
      <c r="O165" s="5"/>
      <c r="P165" s="5"/>
      <c r="Q165" s="5"/>
    </row>
    <row r="166" spans="1:17">
      <c r="A166" s="7">
        <v>92902327</v>
      </c>
      <c r="B166" s="7" t="s">
        <v>1515</v>
      </c>
      <c r="C166" s="61">
        <v>3697</v>
      </c>
      <c r="D166" s="5">
        <v>1848.5</v>
      </c>
      <c r="E166" s="5"/>
      <c r="G166" s="5"/>
      <c r="H166" s="5"/>
      <c r="I166" s="5"/>
      <c r="J166" s="5"/>
      <c r="K166" s="5"/>
      <c r="L166" s="8"/>
      <c r="M166" s="5"/>
      <c r="N166" s="5"/>
      <c r="O166" s="5"/>
      <c r="P166" s="5"/>
      <c r="Q166" s="5"/>
    </row>
    <row r="167" spans="1:17">
      <c r="A167" s="7">
        <v>92902328</v>
      </c>
      <c r="B167" s="7" t="s">
        <v>1516</v>
      </c>
      <c r="C167" s="61">
        <v>3821</v>
      </c>
      <c r="D167" s="5">
        <v>1910.5</v>
      </c>
      <c r="E167" s="5"/>
      <c r="G167" s="5"/>
      <c r="H167" s="5"/>
      <c r="I167" s="5"/>
      <c r="J167" s="5"/>
      <c r="K167" s="5"/>
      <c r="L167" s="8"/>
      <c r="M167" s="5"/>
      <c r="N167" s="5"/>
      <c r="O167" s="5"/>
      <c r="P167" s="5"/>
      <c r="Q167" s="5"/>
    </row>
    <row r="168" spans="1:17">
      <c r="A168" s="7">
        <v>92902329</v>
      </c>
      <c r="B168" s="7" t="s">
        <v>1517</v>
      </c>
      <c r="C168" s="61">
        <v>4212</v>
      </c>
      <c r="D168" s="5">
        <v>2106</v>
      </c>
      <c r="E168" s="5"/>
      <c r="G168" s="5"/>
      <c r="H168" s="5"/>
      <c r="I168" s="5"/>
      <c r="J168" s="5"/>
      <c r="K168" s="5"/>
      <c r="L168" s="8"/>
      <c r="M168" s="5"/>
      <c r="N168" s="5"/>
      <c r="O168" s="5"/>
      <c r="P168" s="5"/>
      <c r="Q168" s="5"/>
    </row>
    <row r="169" spans="1:17">
      <c r="A169" s="7">
        <v>92902330</v>
      </c>
      <c r="B169" s="7" t="s">
        <v>1518</v>
      </c>
      <c r="C169" s="61">
        <v>4336</v>
      </c>
      <c r="D169" s="5">
        <v>2168</v>
      </c>
      <c r="E169" s="5"/>
      <c r="G169" s="5"/>
      <c r="H169" s="5"/>
      <c r="I169" s="5"/>
      <c r="J169" s="5"/>
      <c r="K169" s="5"/>
      <c r="L169" s="8"/>
      <c r="M169" s="5"/>
      <c r="N169" s="5"/>
      <c r="O169" s="5"/>
      <c r="P169" s="5"/>
      <c r="Q169" s="5"/>
    </row>
    <row r="170" spans="1:17">
      <c r="A170" s="7">
        <v>92902331</v>
      </c>
      <c r="B170" s="7" t="s">
        <v>1519</v>
      </c>
      <c r="C170" s="61">
        <v>4456</v>
      </c>
      <c r="D170" s="5">
        <v>2228</v>
      </c>
      <c r="E170" s="5"/>
      <c r="G170" s="5"/>
      <c r="H170" s="5"/>
      <c r="I170" s="5"/>
      <c r="J170" s="5"/>
      <c r="K170" s="5"/>
      <c r="L170" s="8"/>
      <c r="M170" s="5"/>
      <c r="N170" s="5"/>
      <c r="O170" s="5"/>
      <c r="P170" s="5"/>
      <c r="Q170" s="5"/>
    </row>
    <row r="171" spans="1:17">
      <c r="A171" s="7">
        <v>92902332</v>
      </c>
      <c r="B171" s="7" t="s">
        <v>1520</v>
      </c>
      <c r="C171" s="61">
        <v>4709</v>
      </c>
      <c r="D171" s="5">
        <v>2354.5</v>
      </c>
      <c r="E171" s="5"/>
      <c r="G171" s="5"/>
      <c r="H171" s="5"/>
      <c r="I171" s="5"/>
      <c r="J171" s="5"/>
      <c r="K171" s="5"/>
      <c r="L171" s="8"/>
      <c r="M171" s="5"/>
      <c r="N171" s="5"/>
      <c r="O171" s="5"/>
      <c r="P171" s="5"/>
      <c r="Q171" s="5"/>
    </row>
    <row r="172" spans="1:17">
      <c r="A172" s="7">
        <v>92902333</v>
      </c>
      <c r="B172" s="7" t="s">
        <v>1521</v>
      </c>
      <c r="C172" s="61">
        <v>5421</v>
      </c>
      <c r="D172" s="5">
        <v>2710.5</v>
      </c>
      <c r="E172" s="5"/>
      <c r="G172" s="5"/>
      <c r="H172" s="5"/>
      <c r="I172" s="5"/>
      <c r="J172" s="5"/>
      <c r="K172" s="5"/>
      <c r="L172" s="8"/>
      <c r="M172" s="5"/>
      <c r="N172" s="5"/>
      <c r="O172" s="5"/>
      <c r="P172" s="5"/>
      <c r="Q172" s="5"/>
    </row>
    <row r="173" spans="1:17">
      <c r="A173" s="7">
        <v>92902334</v>
      </c>
      <c r="B173" s="7" t="s">
        <v>1522</v>
      </c>
      <c r="C173" s="61">
        <v>5666</v>
      </c>
      <c r="D173" s="5">
        <v>2833</v>
      </c>
      <c r="E173" s="5"/>
      <c r="G173" s="5"/>
      <c r="H173" s="5"/>
      <c r="I173" s="5"/>
      <c r="J173" s="5"/>
      <c r="K173" s="5"/>
      <c r="L173" s="8"/>
      <c r="M173" s="5"/>
      <c r="N173" s="5"/>
      <c r="O173" s="5"/>
      <c r="P173" s="5"/>
      <c r="Q173" s="5"/>
    </row>
    <row r="174" spans="1:17">
      <c r="A174" s="7">
        <v>92902335</v>
      </c>
      <c r="B174" s="7" t="s">
        <v>1523</v>
      </c>
      <c r="C174" s="61">
        <v>5898</v>
      </c>
      <c r="D174" s="5">
        <v>2949</v>
      </c>
      <c r="E174" s="5"/>
      <c r="G174" s="5"/>
      <c r="H174" s="5"/>
      <c r="I174" s="5"/>
      <c r="J174" s="5"/>
      <c r="K174" s="5"/>
      <c r="L174" s="8"/>
      <c r="M174" s="5"/>
      <c r="N174" s="5"/>
      <c r="O174" s="5"/>
      <c r="P174" s="5"/>
      <c r="Q174" s="5"/>
    </row>
    <row r="175" spans="1:17">
      <c r="A175" s="7">
        <v>92902336</v>
      </c>
      <c r="B175" s="7" t="s">
        <v>1524</v>
      </c>
      <c r="C175" s="61">
        <v>6144</v>
      </c>
      <c r="D175" s="5">
        <v>3072</v>
      </c>
      <c r="E175" s="5"/>
      <c r="G175" s="5"/>
      <c r="H175" s="5"/>
      <c r="I175" s="5"/>
      <c r="J175" s="5"/>
      <c r="K175" s="5"/>
      <c r="L175" s="8"/>
      <c r="M175" s="5"/>
      <c r="N175" s="5"/>
      <c r="O175" s="5"/>
      <c r="P175" s="5"/>
      <c r="Q175" s="5"/>
    </row>
    <row r="176" spans="1:17">
      <c r="A176" s="7">
        <v>92902337</v>
      </c>
      <c r="B176" s="7" t="s">
        <v>1525</v>
      </c>
      <c r="C176" s="61">
        <v>6395</v>
      </c>
      <c r="D176" s="5">
        <v>3197.5</v>
      </c>
      <c r="E176" s="5"/>
      <c r="G176" s="5"/>
      <c r="H176" s="5"/>
      <c r="I176" s="5"/>
      <c r="J176" s="5"/>
      <c r="K176" s="5"/>
      <c r="L176" s="8"/>
      <c r="M176" s="5"/>
      <c r="N176" s="5"/>
      <c r="O176" s="5"/>
      <c r="P176" s="5"/>
      <c r="Q176" s="5"/>
    </row>
    <row r="177" spans="1:17">
      <c r="A177" s="7">
        <v>92902338</v>
      </c>
      <c r="B177" s="7" t="s">
        <v>1526</v>
      </c>
      <c r="C177" s="61">
        <v>6641</v>
      </c>
      <c r="D177" s="5">
        <v>3320.5</v>
      </c>
      <c r="E177" s="5"/>
      <c r="G177" s="5"/>
      <c r="H177" s="5"/>
      <c r="I177" s="5"/>
      <c r="J177" s="5"/>
      <c r="K177" s="5"/>
      <c r="L177" s="8"/>
      <c r="M177" s="5"/>
      <c r="N177" s="5"/>
      <c r="O177" s="5"/>
      <c r="P177" s="5"/>
      <c r="Q177" s="5"/>
    </row>
    <row r="178" spans="1:17">
      <c r="A178" s="7">
        <v>92902339</v>
      </c>
      <c r="B178" s="7" t="s">
        <v>1527</v>
      </c>
      <c r="C178" s="61">
        <v>6886</v>
      </c>
      <c r="D178" s="5">
        <v>3443</v>
      </c>
      <c r="E178" s="5"/>
      <c r="G178" s="5"/>
      <c r="H178" s="5"/>
      <c r="I178" s="5"/>
      <c r="J178" s="5"/>
      <c r="K178" s="5"/>
      <c r="L178" s="8"/>
      <c r="M178" s="5"/>
      <c r="N178" s="5"/>
      <c r="O178" s="5"/>
      <c r="P178" s="5"/>
      <c r="Q178" s="5"/>
    </row>
    <row r="179" spans="1:17">
      <c r="A179" s="7">
        <v>92902587</v>
      </c>
      <c r="B179" s="7" t="s">
        <v>1528</v>
      </c>
      <c r="C179" s="61">
        <v>2752</v>
      </c>
      <c r="D179" s="5">
        <v>1376</v>
      </c>
      <c r="E179" s="5"/>
    </row>
    <row r="180" spans="1:17">
      <c r="A180" s="7">
        <v>92902588</v>
      </c>
      <c r="B180" s="7" t="s">
        <v>1529</v>
      </c>
      <c r="C180" s="61">
        <v>2916</v>
      </c>
      <c r="D180" s="5">
        <v>1458</v>
      </c>
      <c r="E180" s="5"/>
    </row>
    <row r="181" spans="1:17">
      <c r="A181" s="7">
        <v>92902589</v>
      </c>
      <c r="B181" s="7" t="s">
        <v>1530</v>
      </c>
      <c r="C181" s="61">
        <v>3114</v>
      </c>
      <c r="D181" s="5">
        <v>1557</v>
      </c>
      <c r="E181" s="5"/>
    </row>
    <row r="182" spans="1:17">
      <c r="A182" s="7">
        <v>92902590</v>
      </c>
      <c r="B182" s="7" t="s">
        <v>1531</v>
      </c>
      <c r="C182" s="61">
        <v>3489</v>
      </c>
      <c r="D182" s="5">
        <v>1744.5</v>
      </c>
      <c r="E182" s="5"/>
    </row>
    <row r="183" spans="1:17">
      <c r="A183" s="7">
        <v>92902591</v>
      </c>
      <c r="B183" s="7" t="s">
        <v>1532</v>
      </c>
      <c r="C183" s="61">
        <v>3729</v>
      </c>
      <c r="D183" s="5">
        <v>1864.5</v>
      </c>
      <c r="E183" s="5"/>
    </row>
    <row r="184" spans="1:17">
      <c r="A184" s="7">
        <v>92902592</v>
      </c>
      <c r="B184" s="7" t="s">
        <v>1533</v>
      </c>
      <c r="C184" s="61">
        <v>3857</v>
      </c>
      <c r="D184" s="5">
        <v>1928.5</v>
      </c>
      <c r="E184" s="5"/>
    </row>
    <row r="185" spans="1:17">
      <c r="A185" s="7">
        <v>92902593</v>
      </c>
      <c r="B185" s="7" t="s">
        <v>1534</v>
      </c>
      <c r="C185" s="61">
        <v>3980</v>
      </c>
      <c r="D185" s="5">
        <v>1990</v>
      </c>
      <c r="E185" s="5"/>
    </row>
    <row r="186" spans="1:17">
      <c r="A186" s="7">
        <v>92902594</v>
      </c>
      <c r="B186" s="7" t="s">
        <v>1535</v>
      </c>
      <c r="C186" s="61">
        <v>4707</v>
      </c>
      <c r="D186" s="5">
        <v>2353.5</v>
      </c>
      <c r="E186" s="5"/>
    </row>
    <row r="187" spans="1:17">
      <c r="A187" s="7">
        <v>92902595</v>
      </c>
      <c r="B187" s="7" t="s">
        <v>1536</v>
      </c>
      <c r="C187" s="61">
        <v>4833</v>
      </c>
      <c r="D187" s="5">
        <v>2416.5</v>
      </c>
      <c r="E187" s="5"/>
    </row>
    <row r="188" spans="1:17">
      <c r="A188" s="7">
        <v>92902596</v>
      </c>
      <c r="B188" s="7" t="s">
        <v>1537</v>
      </c>
      <c r="C188" s="61">
        <v>5291</v>
      </c>
      <c r="D188" s="5">
        <v>2645.5</v>
      </c>
      <c r="E188" s="5"/>
    </row>
    <row r="189" spans="1:17">
      <c r="A189" s="7">
        <v>92902597</v>
      </c>
      <c r="B189" s="7" t="s">
        <v>1538</v>
      </c>
      <c r="C189" s="61">
        <v>5414</v>
      </c>
      <c r="D189" s="5">
        <v>2707</v>
      </c>
      <c r="E189" s="5"/>
    </row>
    <row r="190" spans="1:17">
      <c r="A190" s="7">
        <v>92902598</v>
      </c>
      <c r="B190" s="7" t="s">
        <v>1539</v>
      </c>
      <c r="C190" s="61">
        <v>5536</v>
      </c>
      <c r="D190" s="5">
        <v>2768</v>
      </c>
      <c r="E190" s="5"/>
    </row>
    <row r="191" spans="1:17">
      <c r="A191" s="7">
        <v>92902599</v>
      </c>
      <c r="B191" s="7" t="s">
        <v>1540</v>
      </c>
      <c r="C191" s="61">
        <v>5659</v>
      </c>
      <c r="D191" s="5">
        <v>2829.5</v>
      </c>
      <c r="E191" s="5"/>
    </row>
    <row r="192" spans="1:17">
      <c r="A192" s="7">
        <v>92902610</v>
      </c>
      <c r="B192" s="7" t="s">
        <v>1541</v>
      </c>
      <c r="C192" s="61">
        <v>5781</v>
      </c>
      <c r="D192" s="5">
        <v>2890.5</v>
      </c>
      <c r="E192" s="5"/>
    </row>
    <row r="193" spans="1:5">
      <c r="A193" s="7">
        <v>92902611</v>
      </c>
      <c r="B193" s="7" t="s">
        <v>1542</v>
      </c>
      <c r="C193" s="61">
        <v>5904</v>
      </c>
      <c r="D193" s="5">
        <v>2952</v>
      </c>
      <c r="E193" s="5"/>
    </row>
    <row r="194" spans="1:5">
      <c r="A194" s="7">
        <v>92902670</v>
      </c>
      <c r="B194" s="7" t="s">
        <v>1528</v>
      </c>
      <c r="C194" s="61">
        <v>2968</v>
      </c>
      <c r="D194" s="5">
        <v>1484</v>
      </c>
      <c r="E194" s="5"/>
    </row>
    <row r="195" spans="1:5">
      <c r="A195" s="7">
        <v>92902671</v>
      </c>
      <c r="B195" s="7" t="s">
        <v>1529</v>
      </c>
      <c r="C195" s="61">
        <v>3131</v>
      </c>
      <c r="D195" s="5">
        <v>1565.5</v>
      </c>
      <c r="E195" s="5"/>
    </row>
    <row r="196" spans="1:5">
      <c r="A196" s="7">
        <v>92902672</v>
      </c>
      <c r="B196" s="7" t="s">
        <v>1530</v>
      </c>
      <c r="C196" s="61">
        <v>3331</v>
      </c>
      <c r="D196" s="5">
        <v>1665.5</v>
      </c>
      <c r="E196" s="5"/>
    </row>
    <row r="197" spans="1:5">
      <c r="A197" s="7">
        <v>92902673</v>
      </c>
      <c r="B197" s="7" t="s">
        <v>1531</v>
      </c>
      <c r="C197" s="61">
        <v>3704</v>
      </c>
      <c r="D197" s="5">
        <v>1852</v>
      </c>
      <c r="E197" s="5"/>
    </row>
    <row r="198" spans="1:5">
      <c r="A198" s="7">
        <v>92902674</v>
      </c>
      <c r="B198" s="7" t="s">
        <v>1532</v>
      </c>
      <c r="C198" s="61">
        <v>3944</v>
      </c>
      <c r="D198" s="5">
        <v>1972</v>
      </c>
      <c r="E198" s="5"/>
    </row>
    <row r="199" spans="1:5">
      <c r="A199" s="7">
        <v>92902676</v>
      </c>
      <c r="B199" s="7" t="s">
        <v>1533</v>
      </c>
      <c r="C199" s="61">
        <v>4074</v>
      </c>
      <c r="D199" s="5">
        <v>2037</v>
      </c>
      <c r="E199" s="5"/>
    </row>
    <row r="200" spans="1:5">
      <c r="A200" s="7">
        <v>92902677</v>
      </c>
      <c r="B200" s="7" t="s">
        <v>1534</v>
      </c>
      <c r="C200" s="61">
        <v>4196</v>
      </c>
      <c r="D200" s="5">
        <v>2098</v>
      </c>
      <c r="E200" s="5"/>
    </row>
    <row r="201" spans="1:5">
      <c r="A201" s="7">
        <v>92902678</v>
      </c>
      <c r="B201" s="7" t="s">
        <v>1535</v>
      </c>
      <c r="C201" s="61">
        <v>4923</v>
      </c>
      <c r="D201" s="5">
        <v>2461.5</v>
      </c>
      <c r="E201" s="5"/>
    </row>
    <row r="202" spans="1:5">
      <c r="A202" s="7">
        <v>92902679</v>
      </c>
      <c r="B202" s="7" t="s">
        <v>1536</v>
      </c>
      <c r="C202" s="61">
        <v>5047</v>
      </c>
      <c r="D202" s="5">
        <v>2523.5</v>
      </c>
      <c r="E202" s="5"/>
    </row>
    <row r="203" spans="1:5">
      <c r="A203" s="7">
        <v>92902680</v>
      </c>
      <c r="B203" s="7" t="s">
        <v>1537</v>
      </c>
      <c r="C203" s="61">
        <v>5507</v>
      </c>
      <c r="D203" s="5">
        <v>2753.5</v>
      </c>
      <c r="E203" s="5"/>
    </row>
    <row r="204" spans="1:5">
      <c r="A204" s="7">
        <v>92902681</v>
      </c>
      <c r="B204" s="7" t="s">
        <v>1538</v>
      </c>
      <c r="C204" s="61">
        <v>5630</v>
      </c>
      <c r="D204" s="5">
        <v>2815</v>
      </c>
      <c r="E204" s="5"/>
    </row>
    <row r="205" spans="1:5">
      <c r="A205" s="7">
        <v>92902682</v>
      </c>
      <c r="B205" s="7" t="s">
        <v>1539</v>
      </c>
      <c r="C205" s="61">
        <v>5753</v>
      </c>
      <c r="D205" s="5">
        <v>2876.5</v>
      </c>
      <c r="E205" s="5"/>
    </row>
    <row r="206" spans="1:5">
      <c r="A206" s="7">
        <v>92902683</v>
      </c>
      <c r="B206" s="7" t="s">
        <v>1540</v>
      </c>
      <c r="C206" s="61">
        <v>5875</v>
      </c>
      <c r="D206" s="5">
        <v>2937.5</v>
      </c>
      <c r="E206" s="5"/>
    </row>
    <row r="207" spans="1:5">
      <c r="A207" s="7">
        <v>92902685</v>
      </c>
      <c r="B207" s="7" t="s">
        <v>1541</v>
      </c>
      <c r="C207" s="61">
        <v>5998</v>
      </c>
      <c r="D207" s="5">
        <v>2999</v>
      </c>
      <c r="E207" s="5"/>
    </row>
    <row r="208" spans="1:5">
      <c r="A208" s="7">
        <v>92902686</v>
      </c>
      <c r="B208" s="7" t="s">
        <v>1542</v>
      </c>
      <c r="C208" s="61">
        <v>6120</v>
      </c>
      <c r="D208" s="5">
        <v>3060</v>
      </c>
      <c r="E208" s="5"/>
    </row>
    <row r="209" spans="1:5">
      <c r="A209" s="7">
        <v>92982741</v>
      </c>
      <c r="B209" s="7" t="s">
        <v>1543</v>
      </c>
      <c r="C209" s="61">
        <v>6483</v>
      </c>
      <c r="D209" s="5">
        <v>3241.5</v>
      </c>
      <c r="E209" s="5"/>
    </row>
    <row r="210" spans="1:5">
      <c r="A210" s="7">
        <v>92982743</v>
      </c>
      <c r="B210" s="7" t="s">
        <v>1544</v>
      </c>
      <c r="C210" s="61">
        <v>6174</v>
      </c>
      <c r="D210" s="5">
        <v>3087</v>
      </c>
      <c r="E210" s="5"/>
    </row>
    <row r="211" spans="1:5">
      <c r="A211" s="7">
        <v>92982744</v>
      </c>
      <c r="B211" s="7" t="s">
        <v>1545</v>
      </c>
      <c r="C211" s="61">
        <v>6516</v>
      </c>
      <c r="D211" s="5">
        <v>3258</v>
      </c>
      <c r="E211" s="5"/>
    </row>
    <row r="212" spans="1:5">
      <c r="A212" s="7">
        <v>92983554</v>
      </c>
      <c r="B212" s="7" t="s">
        <v>1546</v>
      </c>
      <c r="C212" s="61">
        <v>4025</v>
      </c>
      <c r="D212" s="5">
        <v>2012.5</v>
      </c>
      <c r="E212" s="5"/>
    </row>
    <row r="213" spans="1:5">
      <c r="A213" s="7">
        <v>92983559</v>
      </c>
      <c r="B213" s="7" t="s">
        <v>1547</v>
      </c>
      <c r="C213" s="61">
        <v>4451</v>
      </c>
      <c r="D213" s="5">
        <v>2225.5</v>
      </c>
      <c r="E213" s="5"/>
    </row>
    <row r="214" spans="1:5">
      <c r="A214" s="7">
        <v>92983563</v>
      </c>
      <c r="B214" s="7" t="s">
        <v>1548</v>
      </c>
      <c r="C214" s="61">
        <v>5181</v>
      </c>
      <c r="D214" s="5">
        <v>2590.5</v>
      </c>
      <c r="E214" s="5"/>
    </row>
    <row r="215" spans="1:5">
      <c r="A215" s="7">
        <v>92983567</v>
      </c>
      <c r="B215" s="7" t="s">
        <v>1549</v>
      </c>
      <c r="C215" s="61">
        <v>5685</v>
      </c>
      <c r="D215" s="5">
        <v>2842.5</v>
      </c>
      <c r="E215" s="5"/>
    </row>
    <row r="216" spans="1:5">
      <c r="A216" s="7">
        <v>92983581</v>
      </c>
      <c r="B216" s="7" t="s">
        <v>1550</v>
      </c>
      <c r="C216" s="61">
        <v>5291</v>
      </c>
      <c r="D216" s="5">
        <v>2645.5</v>
      </c>
      <c r="E216" s="5"/>
    </row>
    <row r="217" spans="1:5">
      <c r="A217" s="7">
        <v>92983582</v>
      </c>
      <c r="B217" s="7" t="s">
        <v>1551</v>
      </c>
      <c r="C217" s="61">
        <v>5380</v>
      </c>
      <c r="D217" s="5">
        <v>2690</v>
      </c>
      <c r="E217" s="5"/>
    </row>
    <row r="218" spans="1:5">
      <c r="A218" s="7">
        <v>96122322</v>
      </c>
      <c r="B218" s="7" t="s">
        <v>1552</v>
      </c>
      <c r="C218" s="61">
        <v>7299</v>
      </c>
      <c r="D218" s="5">
        <v>3649.5</v>
      </c>
      <c r="E218" s="5"/>
    </row>
    <row r="219" spans="1:5">
      <c r="A219" s="7">
        <v>96122323</v>
      </c>
      <c r="B219" s="7" t="s">
        <v>1553</v>
      </c>
      <c r="C219" s="61">
        <v>7807</v>
      </c>
      <c r="D219" s="5">
        <v>3903.5</v>
      </c>
      <c r="E219" s="5"/>
    </row>
    <row r="220" spans="1:5">
      <c r="A220" s="7">
        <v>96122324</v>
      </c>
      <c r="B220" s="7" t="s">
        <v>1554</v>
      </c>
      <c r="C220" s="61">
        <v>8741</v>
      </c>
      <c r="D220" s="5">
        <v>4370.5</v>
      </c>
      <c r="E220" s="5"/>
    </row>
    <row r="221" spans="1:5">
      <c r="A221" s="7">
        <v>96122381</v>
      </c>
      <c r="B221" s="7" t="s">
        <v>1555</v>
      </c>
      <c r="C221" s="61">
        <v>9761</v>
      </c>
      <c r="D221" s="5">
        <v>4880.5</v>
      </c>
      <c r="E221" s="5"/>
    </row>
    <row r="222" spans="1:5">
      <c r="A222" s="7">
        <v>96122382</v>
      </c>
      <c r="B222" s="7" t="s">
        <v>1556</v>
      </c>
      <c r="C222" s="61">
        <v>12012</v>
      </c>
      <c r="D222" s="5">
        <v>6006</v>
      </c>
      <c r="E222" s="5"/>
    </row>
    <row r="223" spans="1:5">
      <c r="A223" s="7">
        <v>96122383</v>
      </c>
      <c r="B223" s="7" t="s">
        <v>1557</v>
      </c>
      <c r="C223" s="61">
        <v>12012</v>
      </c>
      <c r="D223" s="5">
        <v>6006</v>
      </c>
      <c r="E223" s="5"/>
    </row>
    <row r="224" spans="1:5">
      <c r="A224" s="7">
        <v>96122384</v>
      </c>
      <c r="B224" s="7" t="s">
        <v>1558</v>
      </c>
      <c r="C224" s="61">
        <v>14811</v>
      </c>
      <c r="D224" s="5">
        <v>7405.5</v>
      </c>
      <c r="E224" s="5"/>
    </row>
    <row r="225" spans="1:5">
      <c r="A225" s="7">
        <v>96122385</v>
      </c>
      <c r="B225" s="7" t="s">
        <v>1559</v>
      </c>
      <c r="C225" s="61">
        <v>14811</v>
      </c>
      <c r="D225" s="5">
        <v>7405.5</v>
      </c>
      <c r="E225" s="5"/>
    </row>
    <row r="226" spans="1:5">
      <c r="A226" s="7">
        <v>96122386</v>
      </c>
      <c r="B226" s="7" t="s">
        <v>1560</v>
      </c>
      <c r="C226" s="61">
        <v>18548</v>
      </c>
      <c r="D226" s="5">
        <v>9274</v>
      </c>
      <c r="E226" s="5"/>
    </row>
    <row r="227" spans="1:5">
      <c r="A227" s="7">
        <v>96122387</v>
      </c>
      <c r="B227" s="7" t="s">
        <v>1561</v>
      </c>
      <c r="C227" s="61">
        <v>18548</v>
      </c>
      <c r="D227" s="5">
        <v>9274</v>
      </c>
      <c r="E227" s="5"/>
    </row>
    <row r="228" spans="1:5">
      <c r="A228" s="7">
        <v>96122388</v>
      </c>
      <c r="B228" s="7" t="s">
        <v>1562</v>
      </c>
      <c r="C228" s="61">
        <v>19481</v>
      </c>
      <c r="D228" s="5">
        <v>9740.5</v>
      </c>
      <c r="E228" s="5"/>
    </row>
    <row r="229" spans="1:5">
      <c r="A229" s="7">
        <v>96122389</v>
      </c>
      <c r="B229" s="7" t="s">
        <v>1563</v>
      </c>
      <c r="C229" s="61">
        <v>19481</v>
      </c>
      <c r="D229" s="5">
        <v>9740.5</v>
      </c>
      <c r="E229" s="5"/>
    </row>
    <row r="230" spans="1:5">
      <c r="A230" s="7">
        <v>96122390</v>
      </c>
      <c r="B230" s="7" t="s">
        <v>1564</v>
      </c>
      <c r="C230" s="61">
        <v>23269</v>
      </c>
      <c r="D230" s="5">
        <v>11634.5</v>
      </c>
      <c r="E230" s="5"/>
    </row>
    <row r="231" spans="1:5">
      <c r="A231" s="7">
        <v>96122391</v>
      </c>
      <c r="B231" s="7" t="s">
        <v>1565</v>
      </c>
      <c r="C231" s="61">
        <v>23269</v>
      </c>
      <c r="D231" s="5">
        <v>11634.5</v>
      </c>
      <c r="E231" s="5"/>
    </row>
    <row r="232" spans="1:5">
      <c r="A232" s="7">
        <v>96122392</v>
      </c>
      <c r="B232" s="7" t="s">
        <v>1566</v>
      </c>
      <c r="C232" s="61">
        <v>24159</v>
      </c>
      <c r="D232" s="5">
        <v>12079.5</v>
      </c>
      <c r="E232" s="5"/>
    </row>
    <row r="233" spans="1:5">
      <c r="A233" s="7">
        <v>96122393</v>
      </c>
      <c r="B233" s="7" t="s">
        <v>1567</v>
      </c>
      <c r="C233" s="61">
        <v>24159</v>
      </c>
      <c r="D233" s="5">
        <v>12079.5</v>
      </c>
      <c r="E233" s="5"/>
    </row>
    <row r="234" spans="1:5">
      <c r="A234" s="7">
        <v>96122394</v>
      </c>
      <c r="B234" s="7" t="s">
        <v>1568</v>
      </c>
      <c r="C234" s="61">
        <v>27469</v>
      </c>
      <c r="D234" s="5">
        <v>13734.5</v>
      </c>
      <c r="E234" s="5"/>
    </row>
    <row r="235" spans="1:5">
      <c r="A235" s="7">
        <v>96122395</v>
      </c>
      <c r="B235" s="7" t="s">
        <v>1569</v>
      </c>
      <c r="C235" s="61">
        <v>27469</v>
      </c>
      <c r="D235" s="5">
        <v>13734.5</v>
      </c>
      <c r="E235" s="5"/>
    </row>
    <row r="236" spans="1:5">
      <c r="A236" s="7">
        <v>96122396</v>
      </c>
      <c r="B236" s="7" t="s">
        <v>1570</v>
      </c>
      <c r="C236" s="61">
        <v>28361</v>
      </c>
      <c r="D236" s="5">
        <v>14180.5</v>
      </c>
      <c r="E236" s="5"/>
    </row>
    <row r="237" spans="1:5">
      <c r="A237" s="7">
        <v>96122397</v>
      </c>
      <c r="B237" s="7" t="s">
        <v>1571</v>
      </c>
      <c r="C237" s="61">
        <v>28361</v>
      </c>
      <c r="D237" s="5">
        <v>14180.5</v>
      </c>
      <c r="E237" s="5"/>
    </row>
    <row r="238" spans="1:5">
      <c r="A238" s="7">
        <v>96122398</v>
      </c>
      <c r="B238" s="7" t="s">
        <v>1572</v>
      </c>
      <c r="C238" s="61">
        <v>31945</v>
      </c>
      <c r="D238" s="5">
        <v>15972.5</v>
      </c>
      <c r="E238" s="5"/>
    </row>
    <row r="239" spans="1:5">
      <c r="A239" s="7">
        <v>96122399</v>
      </c>
      <c r="B239" s="7" t="s">
        <v>1573</v>
      </c>
      <c r="C239" s="61">
        <v>31945</v>
      </c>
      <c r="D239" s="5">
        <v>15972.5</v>
      </c>
      <c r="E239" s="5"/>
    </row>
    <row r="240" spans="1:5">
      <c r="A240" s="7">
        <v>96122400</v>
      </c>
      <c r="B240" s="7" t="s">
        <v>1574</v>
      </c>
      <c r="C240" s="61">
        <v>32836</v>
      </c>
      <c r="D240" s="5">
        <v>16418</v>
      </c>
      <c r="E240" s="5"/>
    </row>
    <row r="241" spans="1:5">
      <c r="A241" s="7">
        <v>96122401</v>
      </c>
      <c r="B241" s="7" t="s">
        <v>1575</v>
      </c>
      <c r="C241" s="61">
        <v>32836</v>
      </c>
      <c r="D241" s="5">
        <v>16418</v>
      </c>
      <c r="E241" s="5"/>
    </row>
    <row r="242" spans="1:5">
      <c r="A242" s="7">
        <v>96122402</v>
      </c>
      <c r="B242" s="7" t="s">
        <v>1576</v>
      </c>
      <c r="C242" s="61">
        <v>36461</v>
      </c>
      <c r="D242" s="5">
        <v>18230.5</v>
      </c>
      <c r="E242" s="5"/>
    </row>
    <row r="243" spans="1:5">
      <c r="A243" s="7">
        <v>96122403</v>
      </c>
      <c r="B243" s="7" t="s">
        <v>1577</v>
      </c>
      <c r="C243" s="61">
        <v>36461</v>
      </c>
      <c r="D243" s="5">
        <v>18230.5</v>
      </c>
      <c r="E243" s="5"/>
    </row>
    <row r="244" spans="1:5">
      <c r="A244" s="7">
        <v>96122404</v>
      </c>
      <c r="B244" s="7" t="s">
        <v>1578</v>
      </c>
      <c r="C244" s="61">
        <v>37395</v>
      </c>
      <c r="D244" s="5">
        <v>18697.5</v>
      </c>
      <c r="E244" s="5"/>
    </row>
    <row r="245" spans="1:5">
      <c r="A245" s="7">
        <v>96122405</v>
      </c>
      <c r="B245" s="7" t="s">
        <v>1579</v>
      </c>
      <c r="C245" s="61">
        <v>37395</v>
      </c>
      <c r="D245" s="5">
        <v>18697.5</v>
      </c>
      <c r="E245" s="5"/>
    </row>
    <row r="246" spans="1:5">
      <c r="A246" s="7">
        <v>96123091</v>
      </c>
      <c r="B246" s="7" t="s">
        <v>1580</v>
      </c>
      <c r="C246" s="61">
        <v>8787</v>
      </c>
      <c r="D246" s="5">
        <v>4393.5</v>
      </c>
      <c r="E246" s="5"/>
    </row>
    <row r="247" spans="1:5">
      <c r="A247" s="7">
        <v>96123142</v>
      </c>
      <c r="B247" s="7" t="s">
        <v>1581</v>
      </c>
      <c r="C247" s="61">
        <v>10284</v>
      </c>
      <c r="D247" s="5">
        <v>5142</v>
      </c>
      <c r="E247" s="5"/>
    </row>
    <row r="248" spans="1:5">
      <c r="A248" s="7">
        <v>96123143</v>
      </c>
      <c r="B248" s="7" t="s">
        <v>1582</v>
      </c>
      <c r="C248" s="61">
        <v>12331</v>
      </c>
      <c r="D248" s="5">
        <v>6165.5</v>
      </c>
      <c r="E248" s="5"/>
    </row>
    <row r="249" spans="1:5">
      <c r="A249" s="7">
        <v>96123144</v>
      </c>
      <c r="B249" s="7" t="s">
        <v>1583</v>
      </c>
      <c r="C249" s="61">
        <v>14891</v>
      </c>
      <c r="D249" s="5">
        <v>7445.5</v>
      </c>
      <c r="E249" s="5"/>
    </row>
    <row r="250" spans="1:5">
      <c r="A250" s="7">
        <v>96123145</v>
      </c>
      <c r="B250" s="7" t="s">
        <v>1584</v>
      </c>
      <c r="C250" s="61">
        <v>18689</v>
      </c>
      <c r="D250" s="5">
        <v>9344.5</v>
      </c>
      <c r="E250" s="5"/>
    </row>
    <row r="251" spans="1:5">
      <c r="A251" s="7">
        <v>96123146</v>
      </c>
      <c r="B251" s="7" t="s">
        <v>1585</v>
      </c>
      <c r="C251" s="61">
        <v>18689</v>
      </c>
      <c r="D251" s="5">
        <v>9344.5</v>
      </c>
      <c r="E251" s="5"/>
    </row>
    <row r="252" spans="1:5">
      <c r="A252" s="7">
        <v>96123147</v>
      </c>
      <c r="B252" s="7" t="s">
        <v>1586</v>
      </c>
      <c r="C252" s="61">
        <v>23435</v>
      </c>
      <c r="D252" s="5">
        <v>11717.5</v>
      </c>
      <c r="E252" s="5"/>
    </row>
    <row r="253" spans="1:5">
      <c r="A253" s="7">
        <v>96123148</v>
      </c>
      <c r="B253" s="7" t="s">
        <v>1587</v>
      </c>
      <c r="C253" s="61">
        <v>23435</v>
      </c>
      <c r="D253" s="5">
        <v>11717.5</v>
      </c>
      <c r="E253" s="5"/>
    </row>
    <row r="254" spans="1:5">
      <c r="A254" s="7">
        <v>96123149</v>
      </c>
      <c r="B254" s="7" t="s">
        <v>1588</v>
      </c>
      <c r="C254" s="61">
        <v>27533</v>
      </c>
      <c r="D254" s="5">
        <v>13766.5</v>
      </c>
      <c r="E254" s="5"/>
    </row>
    <row r="255" spans="1:5">
      <c r="A255" s="7">
        <v>96123150</v>
      </c>
      <c r="B255" s="7" t="s">
        <v>1589</v>
      </c>
      <c r="C255" s="61">
        <v>27533</v>
      </c>
      <c r="D255" s="5">
        <v>13766.5</v>
      </c>
      <c r="E255" s="5"/>
    </row>
    <row r="256" spans="1:5">
      <c r="A256" s="7">
        <v>96123151</v>
      </c>
      <c r="B256" s="7" t="s">
        <v>1590</v>
      </c>
      <c r="C256" s="61">
        <v>31570</v>
      </c>
      <c r="D256" s="5">
        <v>15785</v>
      </c>
      <c r="E256" s="5"/>
    </row>
    <row r="257" spans="1:5">
      <c r="A257" s="7">
        <v>96123152</v>
      </c>
      <c r="B257" s="7" t="s">
        <v>1591</v>
      </c>
      <c r="C257" s="61">
        <v>31570</v>
      </c>
      <c r="D257" s="5">
        <v>15785</v>
      </c>
      <c r="E257" s="5"/>
    </row>
    <row r="258" spans="1:5">
      <c r="A258" s="7">
        <v>96123153</v>
      </c>
      <c r="B258" s="7" t="s">
        <v>1592</v>
      </c>
      <c r="C258" s="61">
        <v>35120</v>
      </c>
      <c r="D258" s="5">
        <v>17560</v>
      </c>
      <c r="E258" s="5"/>
    </row>
    <row r="259" spans="1:5">
      <c r="A259" s="7">
        <v>96123154</v>
      </c>
      <c r="B259" s="7" t="s">
        <v>1593</v>
      </c>
      <c r="C259" s="61">
        <v>35120</v>
      </c>
      <c r="D259" s="5">
        <v>17560</v>
      </c>
      <c r="E259" s="5"/>
    </row>
    <row r="260" spans="1:5">
      <c r="A260" s="7">
        <v>96123155</v>
      </c>
      <c r="B260" s="7" t="s">
        <v>1594</v>
      </c>
      <c r="C260" s="61">
        <v>36093</v>
      </c>
      <c r="D260" s="5">
        <v>18046.5</v>
      </c>
      <c r="E260" s="5"/>
    </row>
    <row r="261" spans="1:5">
      <c r="A261" s="7">
        <v>96123156</v>
      </c>
      <c r="B261" s="7" t="s">
        <v>1595</v>
      </c>
      <c r="C261" s="61">
        <v>36093</v>
      </c>
      <c r="D261" s="5">
        <v>18046.5</v>
      </c>
      <c r="E261" s="5"/>
    </row>
    <row r="262" spans="1:5">
      <c r="A262" s="7">
        <v>96123157</v>
      </c>
      <c r="B262" s="7" t="s">
        <v>1596</v>
      </c>
      <c r="C262" s="61">
        <v>37074</v>
      </c>
      <c r="D262" s="5">
        <v>18537</v>
      </c>
      <c r="E262" s="5"/>
    </row>
    <row r="263" spans="1:5">
      <c r="A263" s="7">
        <v>96123158</v>
      </c>
      <c r="B263" s="7" t="s">
        <v>1597</v>
      </c>
      <c r="C263" s="61">
        <v>40199</v>
      </c>
      <c r="D263" s="5">
        <v>20099.5</v>
      </c>
      <c r="E263" s="5"/>
    </row>
    <row r="264" spans="1:5">
      <c r="A264" s="7">
        <v>96123159</v>
      </c>
      <c r="B264" s="7" t="s">
        <v>1598</v>
      </c>
      <c r="C264" s="61">
        <v>41121</v>
      </c>
      <c r="D264" s="5">
        <v>20560.5</v>
      </c>
      <c r="E264" s="5"/>
    </row>
    <row r="265" spans="1:5">
      <c r="A265" s="7">
        <v>96123160</v>
      </c>
      <c r="B265" s="7" t="s">
        <v>1599</v>
      </c>
      <c r="C265" s="61">
        <v>41121</v>
      </c>
      <c r="D265" s="5">
        <v>20560.5</v>
      </c>
      <c r="E265" s="5"/>
    </row>
    <row r="266" spans="1:5">
      <c r="A266" s="7">
        <v>96123161</v>
      </c>
      <c r="B266" s="7" t="s">
        <v>1600</v>
      </c>
      <c r="C266" s="61">
        <v>52619</v>
      </c>
      <c r="D266" s="5">
        <v>26309.5</v>
      </c>
      <c r="E266" s="5"/>
    </row>
    <row r="267" spans="1:5">
      <c r="A267" s="7">
        <v>96123162</v>
      </c>
      <c r="B267" s="7" t="s">
        <v>1601</v>
      </c>
      <c r="C267" s="61">
        <v>52619</v>
      </c>
      <c r="D267" s="5">
        <v>26309.5</v>
      </c>
      <c r="E267" s="5"/>
    </row>
    <row r="268" spans="1:5">
      <c r="A268" s="7">
        <v>96123163</v>
      </c>
      <c r="B268" s="7" t="s">
        <v>1602</v>
      </c>
      <c r="C268" s="61">
        <v>53821</v>
      </c>
      <c r="D268" s="5">
        <v>26910.5</v>
      </c>
      <c r="E268" s="5"/>
    </row>
    <row r="269" spans="1:5">
      <c r="A269" s="7">
        <v>96123164</v>
      </c>
      <c r="B269" s="7" t="s">
        <v>1603</v>
      </c>
      <c r="C269" s="61">
        <v>53821</v>
      </c>
      <c r="D269" s="5">
        <v>26910.5</v>
      </c>
      <c r="E269" s="5"/>
    </row>
    <row r="270" spans="1:5">
      <c r="A270" s="7">
        <v>96123165</v>
      </c>
      <c r="B270" s="7" t="s">
        <v>1604</v>
      </c>
      <c r="C270" s="61">
        <v>55007</v>
      </c>
      <c r="D270" s="5">
        <v>27503.5</v>
      </c>
      <c r="E270" s="5"/>
    </row>
    <row r="271" spans="1:5">
      <c r="A271" s="7">
        <v>96123796</v>
      </c>
      <c r="B271" s="7" t="s">
        <v>1605</v>
      </c>
      <c r="C271" s="61">
        <v>10528</v>
      </c>
      <c r="D271" s="5">
        <v>5264</v>
      </c>
      <c r="E271" s="5"/>
    </row>
    <row r="272" spans="1:5">
      <c r="A272" s="7">
        <v>96123797</v>
      </c>
      <c r="B272" s="7" t="s">
        <v>1606</v>
      </c>
      <c r="C272" s="61">
        <v>12633</v>
      </c>
      <c r="D272" s="5">
        <v>6316.5</v>
      </c>
      <c r="E272" s="5"/>
    </row>
    <row r="273" spans="1:5">
      <c r="A273" s="7">
        <v>96123798</v>
      </c>
      <c r="B273" s="7" t="s">
        <v>1607</v>
      </c>
      <c r="C273" s="61">
        <v>15164</v>
      </c>
      <c r="D273" s="5">
        <v>7582</v>
      </c>
      <c r="E273" s="5"/>
    </row>
    <row r="274" spans="1:5">
      <c r="A274" s="7">
        <v>96123799</v>
      </c>
      <c r="B274" s="7" t="s">
        <v>1608</v>
      </c>
      <c r="C274" s="61">
        <v>17864</v>
      </c>
      <c r="D274" s="5">
        <v>8932</v>
      </c>
      <c r="E274" s="5"/>
    </row>
    <row r="275" spans="1:5">
      <c r="A275" s="7">
        <v>96123800</v>
      </c>
      <c r="B275" s="7" t="s">
        <v>1609</v>
      </c>
      <c r="C275" s="61">
        <v>17864</v>
      </c>
      <c r="D275" s="5">
        <v>8932</v>
      </c>
      <c r="E275" s="5"/>
    </row>
    <row r="276" spans="1:5">
      <c r="A276" s="7">
        <v>96123801</v>
      </c>
      <c r="B276" s="7" t="s">
        <v>1610</v>
      </c>
      <c r="C276" s="61">
        <v>22937</v>
      </c>
      <c r="D276" s="5">
        <v>11468.5</v>
      </c>
      <c r="E276" s="5"/>
    </row>
    <row r="277" spans="1:5">
      <c r="A277" s="7">
        <v>96123802</v>
      </c>
      <c r="B277" s="7" t="s">
        <v>1611</v>
      </c>
      <c r="C277" s="61">
        <v>22937</v>
      </c>
      <c r="D277" s="5">
        <v>11468.5</v>
      </c>
      <c r="E277" s="5"/>
    </row>
    <row r="278" spans="1:5">
      <c r="A278" s="7">
        <v>96123803</v>
      </c>
      <c r="B278" s="7" t="s">
        <v>1612</v>
      </c>
      <c r="C278" s="61">
        <v>26039</v>
      </c>
      <c r="D278" s="5">
        <v>13019.5</v>
      </c>
      <c r="E278" s="5"/>
    </row>
    <row r="279" spans="1:5">
      <c r="A279" s="7">
        <v>96123804</v>
      </c>
      <c r="B279" s="7" t="s">
        <v>1613</v>
      </c>
      <c r="C279" s="61">
        <v>27119</v>
      </c>
      <c r="D279" s="5">
        <v>13559.5</v>
      </c>
      <c r="E279" s="5"/>
    </row>
    <row r="280" spans="1:5">
      <c r="A280" s="7">
        <v>96123805</v>
      </c>
      <c r="B280" s="7" t="s">
        <v>1614</v>
      </c>
      <c r="C280" s="61">
        <v>30247</v>
      </c>
      <c r="D280" s="5">
        <v>15123.5</v>
      </c>
      <c r="E280" s="5"/>
    </row>
    <row r="281" spans="1:5">
      <c r="A281" s="7">
        <v>96123806</v>
      </c>
      <c r="B281" s="7" t="s">
        <v>1615</v>
      </c>
      <c r="C281" s="61">
        <v>30247</v>
      </c>
      <c r="D281" s="5">
        <v>15123.5</v>
      </c>
      <c r="E281" s="5"/>
    </row>
    <row r="282" spans="1:5">
      <c r="A282" s="7">
        <v>96123807</v>
      </c>
      <c r="B282" s="7" t="s">
        <v>1616</v>
      </c>
      <c r="C282" s="61">
        <v>32689</v>
      </c>
      <c r="D282" s="5">
        <v>16344.5</v>
      </c>
      <c r="E282" s="5"/>
    </row>
    <row r="283" spans="1:5">
      <c r="A283" s="7">
        <v>96123808</v>
      </c>
      <c r="B283" s="7" t="s">
        <v>1617</v>
      </c>
      <c r="C283" s="61">
        <v>32689</v>
      </c>
      <c r="D283" s="5">
        <v>16344.5</v>
      </c>
      <c r="E283" s="5"/>
    </row>
    <row r="284" spans="1:5">
      <c r="A284" s="7">
        <v>96123809</v>
      </c>
      <c r="B284" s="7" t="s">
        <v>1618</v>
      </c>
      <c r="C284" s="61">
        <v>32689</v>
      </c>
      <c r="D284" s="5">
        <v>16344.5</v>
      </c>
      <c r="E284" s="5"/>
    </row>
    <row r="285" spans="1:5">
      <c r="A285" s="7">
        <v>96123810</v>
      </c>
      <c r="B285" s="7" t="s">
        <v>1619</v>
      </c>
      <c r="C285" s="61">
        <v>33777</v>
      </c>
      <c r="D285" s="5">
        <v>16888.5</v>
      </c>
      <c r="E285" s="5"/>
    </row>
    <row r="286" spans="1:5">
      <c r="A286" s="7">
        <v>96123811</v>
      </c>
      <c r="B286" s="7" t="s">
        <v>1620</v>
      </c>
      <c r="C286" s="61">
        <v>39457</v>
      </c>
      <c r="D286" s="5">
        <v>19728.5</v>
      </c>
      <c r="E286" s="5"/>
    </row>
    <row r="287" spans="1:5">
      <c r="A287" s="7">
        <v>96123812</v>
      </c>
      <c r="B287" s="7" t="s">
        <v>1621</v>
      </c>
      <c r="C287" s="61">
        <v>39457</v>
      </c>
      <c r="D287" s="5">
        <v>19728.5</v>
      </c>
      <c r="E287" s="5"/>
    </row>
    <row r="288" spans="1:5">
      <c r="A288" s="7">
        <v>96123813</v>
      </c>
      <c r="B288" s="7" t="s">
        <v>1622</v>
      </c>
      <c r="C288" s="61">
        <v>40444</v>
      </c>
      <c r="D288" s="5">
        <v>20222</v>
      </c>
      <c r="E288" s="5"/>
    </row>
    <row r="289" spans="1:5">
      <c r="A289" s="7">
        <v>96123814</v>
      </c>
      <c r="B289" s="7" t="s">
        <v>1623</v>
      </c>
      <c r="C289" s="61">
        <v>40444</v>
      </c>
      <c r="D289" s="5">
        <v>20222</v>
      </c>
      <c r="E289" s="5"/>
    </row>
    <row r="290" spans="1:5">
      <c r="A290" s="7">
        <v>96123815</v>
      </c>
      <c r="B290" s="7" t="s">
        <v>1624</v>
      </c>
      <c r="C290" s="61">
        <v>53254</v>
      </c>
      <c r="D290" s="5">
        <v>26627</v>
      </c>
      <c r="E290" s="5"/>
    </row>
    <row r="291" spans="1:5">
      <c r="A291" s="7">
        <v>96123816</v>
      </c>
      <c r="B291" s="7" t="s">
        <v>1625</v>
      </c>
      <c r="C291" s="61">
        <v>54197</v>
      </c>
      <c r="D291" s="5">
        <v>27098.5</v>
      </c>
      <c r="E291" s="5"/>
    </row>
    <row r="292" spans="1:5">
      <c r="A292" s="7">
        <v>96123817</v>
      </c>
      <c r="B292" s="7" t="s">
        <v>1626</v>
      </c>
      <c r="C292" s="61">
        <v>54197</v>
      </c>
      <c r="D292" s="5">
        <v>27098.5</v>
      </c>
      <c r="E292" s="5"/>
    </row>
    <row r="293" spans="1:5">
      <c r="A293" s="7">
        <v>96480979</v>
      </c>
      <c r="B293" s="7" t="s">
        <v>1523</v>
      </c>
      <c r="C293" s="61">
        <v>5203</v>
      </c>
      <c r="D293" s="5">
        <v>2601.5</v>
      </c>
      <c r="E293" s="5"/>
    </row>
    <row r="294" spans="1:5">
      <c r="A294" s="7">
        <v>96481895</v>
      </c>
      <c r="B294" s="7" t="s">
        <v>1476</v>
      </c>
      <c r="C294" s="61">
        <v>3375</v>
      </c>
      <c r="D294" s="5">
        <v>1687.5</v>
      </c>
      <c r="E294" s="5"/>
    </row>
    <row r="295" spans="1:5">
      <c r="A295" s="7">
        <v>96486448</v>
      </c>
      <c r="B295" s="7" t="s">
        <v>1528</v>
      </c>
      <c r="C295" s="61">
        <v>2855</v>
      </c>
      <c r="D295" s="5">
        <v>1427.5</v>
      </c>
      <c r="E295" s="5"/>
    </row>
    <row r="296" spans="1:5">
      <c r="A296" s="7">
        <v>96487583</v>
      </c>
      <c r="B296" s="7" t="s">
        <v>1538</v>
      </c>
      <c r="C296" s="61">
        <v>4718</v>
      </c>
      <c r="D296" s="5">
        <v>2359</v>
      </c>
      <c r="E296" s="5"/>
    </row>
    <row r="297" spans="1:5">
      <c r="A297" s="7">
        <v>96496290</v>
      </c>
      <c r="B297" s="7" t="s">
        <v>1533</v>
      </c>
      <c r="C297" s="61">
        <v>3597</v>
      </c>
      <c r="D297" s="5">
        <v>1798.5</v>
      </c>
      <c r="E297" s="5"/>
    </row>
    <row r="298" spans="1:5">
      <c r="A298" s="7">
        <v>96500484</v>
      </c>
      <c r="B298" s="7" t="s">
        <v>1551</v>
      </c>
      <c r="C298" s="61">
        <v>4924</v>
      </c>
      <c r="D298" s="5">
        <v>2462</v>
      </c>
      <c r="E298" s="5"/>
    </row>
    <row r="299" spans="1:5">
      <c r="A299" s="7">
        <v>96500485</v>
      </c>
      <c r="B299" s="7" t="s">
        <v>1543</v>
      </c>
      <c r="C299" s="61">
        <v>5818</v>
      </c>
      <c r="D299" s="5">
        <v>2909</v>
      </c>
      <c r="E299" s="5"/>
    </row>
    <row r="300" spans="1:5">
      <c r="A300" s="7">
        <v>96500653</v>
      </c>
      <c r="B300" s="7" t="s">
        <v>1627</v>
      </c>
      <c r="C300" s="61">
        <v>8002</v>
      </c>
      <c r="D300" s="5">
        <v>4001</v>
      </c>
      <c r="E300" s="5"/>
    </row>
    <row r="301" spans="1:5">
      <c r="A301" s="7">
        <v>96500654</v>
      </c>
      <c r="B301" s="7" t="s">
        <v>1628</v>
      </c>
      <c r="C301" s="61">
        <v>9432</v>
      </c>
      <c r="D301" s="5">
        <v>4716</v>
      </c>
      <c r="E301" s="5"/>
    </row>
    <row r="302" spans="1:5">
      <c r="A302" s="7">
        <v>96500655</v>
      </c>
      <c r="B302" s="7" t="s">
        <v>1629</v>
      </c>
      <c r="C302" s="61">
        <v>9843</v>
      </c>
      <c r="D302" s="5">
        <v>4921.5</v>
      </c>
      <c r="E302" s="5"/>
    </row>
    <row r="303" spans="1:5">
      <c r="A303" s="7">
        <v>96500656</v>
      </c>
      <c r="B303" s="7" t="s">
        <v>1630</v>
      </c>
      <c r="C303" s="61">
        <v>11361</v>
      </c>
      <c r="D303" s="5">
        <v>5680.5</v>
      </c>
      <c r="E303" s="5"/>
    </row>
    <row r="304" spans="1:5">
      <c r="A304" s="7">
        <v>96500657</v>
      </c>
      <c r="B304" s="7" t="s">
        <v>1631</v>
      </c>
      <c r="C304" s="61">
        <v>11772</v>
      </c>
      <c r="D304" s="5">
        <v>5886</v>
      </c>
      <c r="E304" s="5"/>
    </row>
    <row r="305" spans="1:5">
      <c r="A305" s="7">
        <v>96500658</v>
      </c>
      <c r="B305" s="7" t="s">
        <v>1632</v>
      </c>
      <c r="C305" s="61">
        <v>14440</v>
      </c>
      <c r="D305" s="5">
        <v>7220</v>
      </c>
      <c r="E305" s="5"/>
    </row>
    <row r="306" spans="1:5">
      <c r="A306" s="7">
        <v>96500659</v>
      </c>
      <c r="B306" s="7" t="s">
        <v>1633</v>
      </c>
      <c r="C306" s="61">
        <v>15246</v>
      </c>
      <c r="D306" s="5">
        <v>7623</v>
      </c>
      <c r="E306" s="5"/>
    </row>
    <row r="307" spans="1:5">
      <c r="A307" s="7">
        <v>96500660</v>
      </c>
      <c r="B307" s="7" t="s">
        <v>1634</v>
      </c>
      <c r="C307" s="61">
        <v>18604</v>
      </c>
      <c r="D307" s="5">
        <v>9302</v>
      </c>
      <c r="E307" s="5"/>
    </row>
    <row r="308" spans="1:5">
      <c r="A308" s="7">
        <v>96500661</v>
      </c>
      <c r="B308" s="7" t="s">
        <v>1635</v>
      </c>
      <c r="C308" s="61">
        <v>19409</v>
      </c>
      <c r="D308" s="5">
        <v>9704.5</v>
      </c>
      <c r="E308" s="5"/>
    </row>
    <row r="309" spans="1:5">
      <c r="A309" s="7">
        <v>96500662</v>
      </c>
      <c r="B309" s="7" t="s">
        <v>1636</v>
      </c>
      <c r="C309" s="61">
        <v>22973</v>
      </c>
      <c r="D309" s="5">
        <v>11486.5</v>
      </c>
      <c r="E309" s="5"/>
    </row>
    <row r="310" spans="1:5">
      <c r="A310" s="7">
        <v>96501181</v>
      </c>
      <c r="B310" s="7" t="s">
        <v>1546</v>
      </c>
      <c r="C310" s="61">
        <v>3912</v>
      </c>
      <c r="D310" s="5">
        <v>1956</v>
      </c>
      <c r="E310" s="5"/>
    </row>
    <row r="311" spans="1:5">
      <c r="A311" s="7">
        <v>96501182</v>
      </c>
      <c r="B311" s="7" t="s">
        <v>1547</v>
      </c>
      <c r="C311" s="61">
        <v>4159</v>
      </c>
      <c r="D311" s="5">
        <v>2079.5</v>
      </c>
      <c r="E311" s="5"/>
    </row>
    <row r="312" spans="1:5">
      <c r="A312" s="7">
        <v>96501183</v>
      </c>
      <c r="B312" s="7" t="s">
        <v>1548</v>
      </c>
      <c r="C312" s="61">
        <v>4704</v>
      </c>
      <c r="D312" s="5">
        <v>2352</v>
      </c>
      <c r="E312" s="5"/>
    </row>
    <row r="313" spans="1:5">
      <c r="A313" s="7">
        <v>96501184</v>
      </c>
      <c r="B313" s="7" t="s">
        <v>1549</v>
      </c>
      <c r="C313" s="61">
        <v>5046</v>
      </c>
      <c r="D313" s="5">
        <v>2523</v>
      </c>
      <c r="E313" s="5"/>
    </row>
    <row r="314" spans="1:5">
      <c r="A314" s="7">
        <v>96501185</v>
      </c>
      <c r="B314" s="7" t="s">
        <v>1544</v>
      </c>
      <c r="C314" s="61">
        <v>5480</v>
      </c>
      <c r="D314" s="5">
        <v>2740</v>
      </c>
      <c r="E314" s="5"/>
    </row>
    <row r="315" spans="1:5">
      <c r="A315" s="7">
        <v>96501186</v>
      </c>
      <c r="B315" s="7" t="s">
        <v>1545</v>
      </c>
      <c r="C315" s="61">
        <v>5822</v>
      </c>
      <c r="D315" s="5">
        <v>2911</v>
      </c>
      <c r="E315" s="5"/>
    </row>
    <row r="316" spans="1:5">
      <c r="A316" s="7">
        <v>96501187</v>
      </c>
      <c r="B316" s="7" t="s">
        <v>1637</v>
      </c>
      <c r="C316" s="61">
        <v>6233</v>
      </c>
      <c r="D316" s="5">
        <v>3116.5</v>
      </c>
      <c r="E316" s="5"/>
    </row>
    <row r="317" spans="1:5">
      <c r="A317" s="7">
        <v>96501188</v>
      </c>
      <c r="B317" s="7" t="s">
        <v>1638</v>
      </c>
      <c r="C317" s="61">
        <v>6543</v>
      </c>
      <c r="D317" s="5">
        <v>3271.5</v>
      </c>
      <c r="E317" s="5"/>
    </row>
    <row r="318" spans="1:5">
      <c r="A318" s="7">
        <v>96501189</v>
      </c>
      <c r="B318" s="7" t="s">
        <v>1639</v>
      </c>
      <c r="C318" s="61">
        <v>6886</v>
      </c>
      <c r="D318" s="5">
        <v>3443</v>
      </c>
      <c r="E318" s="5"/>
    </row>
    <row r="319" spans="1:5">
      <c r="A319" s="7">
        <v>96501395</v>
      </c>
      <c r="B319" s="7" t="s">
        <v>1640</v>
      </c>
      <c r="C319" s="61">
        <v>7747</v>
      </c>
      <c r="D319" s="5">
        <v>3873.5</v>
      </c>
      <c r="E319" s="5"/>
    </row>
    <row r="320" spans="1:5">
      <c r="A320" s="7">
        <v>96501396</v>
      </c>
      <c r="B320" s="7" t="s">
        <v>1641</v>
      </c>
      <c r="C320" s="61">
        <v>8330</v>
      </c>
      <c r="D320" s="5">
        <v>4165</v>
      </c>
      <c r="E320" s="5"/>
    </row>
    <row r="321" spans="1:5">
      <c r="A321" s="7">
        <v>96501397</v>
      </c>
      <c r="B321" s="7" t="s">
        <v>1642</v>
      </c>
      <c r="C321" s="61">
        <v>9654</v>
      </c>
      <c r="D321" s="5">
        <v>4827</v>
      </c>
      <c r="E321" s="5"/>
    </row>
    <row r="322" spans="1:5">
      <c r="A322" s="7">
        <v>96501398</v>
      </c>
      <c r="B322" s="7" t="s">
        <v>1643</v>
      </c>
      <c r="C322" s="61">
        <v>10231</v>
      </c>
      <c r="D322" s="5">
        <v>5115.5</v>
      </c>
      <c r="E322" s="5"/>
    </row>
    <row r="323" spans="1:5">
      <c r="A323" s="7">
        <v>96501399</v>
      </c>
      <c r="B323" s="7" t="s">
        <v>1644</v>
      </c>
      <c r="C323" s="61">
        <v>11092</v>
      </c>
      <c r="D323" s="5">
        <v>5546</v>
      </c>
      <c r="E323" s="5"/>
    </row>
    <row r="324" spans="1:5">
      <c r="A324" s="7">
        <v>96501400</v>
      </c>
      <c r="B324" s="7" t="s">
        <v>1645</v>
      </c>
      <c r="C324" s="61">
        <v>11681</v>
      </c>
      <c r="D324" s="5">
        <v>5840.5</v>
      </c>
      <c r="E324" s="5"/>
    </row>
    <row r="325" spans="1:5">
      <c r="A325" s="7">
        <v>96501401</v>
      </c>
      <c r="B325" s="7" t="s">
        <v>1646</v>
      </c>
      <c r="C325" s="61">
        <v>12248</v>
      </c>
      <c r="D325" s="5">
        <v>6124</v>
      </c>
      <c r="E325" s="5"/>
    </row>
    <row r="326" spans="1:5">
      <c r="A326" s="7">
        <v>96501867</v>
      </c>
      <c r="B326" s="7" t="s">
        <v>1550</v>
      </c>
      <c r="C326" s="61">
        <v>4835</v>
      </c>
      <c r="D326" s="5">
        <v>2417.5</v>
      </c>
      <c r="E326" s="5"/>
    </row>
    <row r="327" spans="1:5">
      <c r="A327" s="7">
        <v>96501868</v>
      </c>
      <c r="B327" s="7" t="s">
        <v>1647</v>
      </c>
      <c r="C327" s="61">
        <v>5711</v>
      </c>
      <c r="D327" s="5">
        <v>2855.5</v>
      </c>
      <c r="E327" s="5"/>
    </row>
    <row r="328" spans="1:5">
      <c r="A328" s="7">
        <v>96501869</v>
      </c>
      <c r="B328" s="7" t="s">
        <v>1648</v>
      </c>
      <c r="C328" s="61">
        <v>6493</v>
      </c>
      <c r="D328" s="5">
        <v>3246.5</v>
      </c>
      <c r="E328" s="5"/>
    </row>
    <row r="329" spans="1:5">
      <c r="A329" s="7">
        <v>96502051</v>
      </c>
      <c r="B329" s="7" t="s">
        <v>1649</v>
      </c>
      <c r="C329" s="61">
        <v>7459</v>
      </c>
      <c r="D329" s="5">
        <v>3729.5</v>
      </c>
      <c r="E329" s="5"/>
    </row>
    <row r="330" spans="1:5">
      <c r="A330" s="7">
        <v>96502052</v>
      </c>
      <c r="B330" s="7" t="s">
        <v>1650</v>
      </c>
      <c r="C330" s="61">
        <v>7852</v>
      </c>
      <c r="D330" s="5">
        <v>3926</v>
      </c>
      <c r="E330" s="5"/>
    </row>
    <row r="331" spans="1:5">
      <c r="A331" s="7">
        <v>96502053</v>
      </c>
      <c r="B331" s="7" t="s">
        <v>1651</v>
      </c>
      <c r="C331" s="61">
        <v>9254</v>
      </c>
      <c r="D331" s="5">
        <v>4627</v>
      </c>
      <c r="E331" s="5"/>
    </row>
    <row r="332" spans="1:5">
      <c r="A332" s="7">
        <v>96502054</v>
      </c>
      <c r="B332" s="7" t="s">
        <v>1652</v>
      </c>
      <c r="C332" s="61">
        <v>9657</v>
      </c>
      <c r="D332" s="5">
        <v>4828.5</v>
      </c>
      <c r="E332" s="5"/>
    </row>
    <row r="333" spans="1:5">
      <c r="A333" s="7">
        <v>96502055</v>
      </c>
      <c r="B333" s="7" t="s">
        <v>1653</v>
      </c>
      <c r="C333" s="61">
        <v>11146</v>
      </c>
      <c r="D333" s="5">
        <v>5573</v>
      </c>
      <c r="E333" s="5"/>
    </row>
    <row r="334" spans="1:5">
      <c r="A334" s="7">
        <v>96502056</v>
      </c>
      <c r="B334" s="7" t="s">
        <v>1654</v>
      </c>
      <c r="C334" s="61">
        <v>11548</v>
      </c>
      <c r="D334" s="5">
        <v>5774</v>
      </c>
      <c r="E334" s="5"/>
    </row>
    <row r="335" spans="1:5">
      <c r="A335" s="7">
        <v>96502057</v>
      </c>
      <c r="B335" s="7" t="s">
        <v>1655</v>
      </c>
      <c r="C335" s="61">
        <v>13360</v>
      </c>
      <c r="D335" s="5">
        <v>6680</v>
      </c>
      <c r="E335" s="5"/>
    </row>
    <row r="336" spans="1:5">
      <c r="A336" s="7">
        <v>96502058</v>
      </c>
      <c r="B336" s="7" t="s">
        <v>1656</v>
      </c>
      <c r="C336" s="61">
        <v>14164</v>
      </c>
      <c r="D336" s="5">
        <v>7082</v>
      </c>
      <c r="E336" s="5"/>
    </row>
    <row r="337" spans="1:5">
      <c r="A337" s="7">
        <v>96502059</v>
      </c>
      <c r="B337" s="7" t="s">
        <v>1657</v>
      </c>
      <c r="C337" s="61">
        <v>14955</v>
      </c>
      <c r="D337" s="5">
        <v>7477.5</v>
      </c>
      <c r="E337" s="5"/>
    </row>
    <row r="338" spans="1:5">
      <c r="A338" s="7">
        <v>96502060</v>
      </c>
      <c r="B338" s="7" t="s">
        <v>1658</v>
      </c>
      <c r="C338" s="61">
        <v>19036</v>
      </c>
      <c r="D338" s="5">
        <v>9518</v>
      </c>
      <c r="E338" s="5"/>
    </row>
    <row r="339" spans="1:5">
      <c r="A339" s="7">
        <v>96505976</v>
      </c>
      <c r="B339" s="7" t="s">
        <v>1510</v>
      </c>
      <c r="C339" s="61">
        <v>2647</v>
      </c>
      <c r="D339" s="5">
        <v>1323.5</v>
      </c>
      <c r="E339" s="5"/>
    </row>
    <row r="340" spans="1:5">
      <c r="A340" s="7">
        <v>96514168</v>
      </c>
      <c r="B340" s="7" t="s">
        <v>1659</v>
      </c>
      <c r="C340" s="61">
        <v>6459</v>
      </c>
      <c r="D340" s="5">
        <v>3229.5</v>
      </c>
      <c r="E340" s="5"/>
    </row>
    <row r="341" spans="1:5">
      <c r="A341" s="7">
        <v>96514169</v>
      </c>
      <c r="B341" s="7" t="s">
        <v>1660</v>
      </c>
      <c r="C341" s="61">
        <v>6704</v>
      </c>
      <c r="D341" s="5">
        <v>3352</v>
      </c>
      <c r="E341" s="5"/>
    </row>
    <row r="342" spans="1:5">
      <c r="A342" s="7">
        <v>96514170</v>
      </c>
      <c r="B342" s="7" t="s">
        <v>1661</v>
      </c>
      <c r="C342" s="61">
        <v>6948</v>
      </c>
      <c r="D342" s="5">
        <v>3474</v>
      </c>
      <c r="E342" s="5"/>
    </row>
    <row r="343" spans="1:5">
      <c r="A343" s="7">
        <v>96514171</v>
      </c>
      <c r="B343" s="7" t="s">
        <v>1662</v>
      </c>
      <c r="C343" s="61">
        <v>7323</v>
      </c>
      <c r="D343" s="5">
        <v>3661.5</v>
      </c>
      <c r="E343" s="5"/>
    </row>
    <row r="344" spans="1:5">
      <c r="A344" s="7">
        <v>96514172</v>
      </c>
      <c r="B344" s="7" t="s">
        <v>1663</v>
      </c>
      <c r="C344" s="61">
        <v>8303</v>
      </c>
      <c r="D344" s="5">
        <v>4151.5</v>
      </c>
      <c r="E344" s="5"/>
    </row>
    <row r="345" spans="1:5">
      <c r="A345" s="7">
        <v>96514173</v>
      </c>
      <c r="B345" s="7" t="s">
        <v>1664</v>
      </c>
      <c r="C345" s="61">
        <v>8799</v>
      </c>
      <c r="D345" s="5">
        <v>4399.5</v>
      </c>
      <c r="E345" s="5"/>
    </row>
    <row r="346" spans="1:5">
      <c r="A346" s="7">
        <v>96514192</v>
      </c>
      <c r="B346" s="7" t="s">
        <v>1659</v>
      </c>
      <c r="C346" s="61">
        <v>6243</v>
      </c>
      <c r="D346" s="5">
        <v>3121.5</v>
      </c>
      <c r="E346" s="5"/>
    </row>
    <row r="347" spans="1:5">
      <c r="A347" s="7">
        <v>96514193</v>
      </c>
      <c r="B347" s="7" t="s">
        <v>1660</v>
      </c>
      <c r="C347" s="61">
        <v>6491</v>
      </c>
      <c r="D347" s="5">
        <v>3245.5</v>
      </c>
      <c r="E347" s="5"/>
    </row>
    <row r="348" spans="1:5">
      <c r="A348" s="7">
        <v>96514194</v>
      </c>
      <c r="B348" s="7" t="s">
        <v>1661</v>
      </c>
      <c r="C348" s="61">
        <v>6732</v>
      </c>
      <c r="D348" s="5">
        <v>3366</v>
      </c>
      <c r="E348" s="5"/>
    </row>
    <row r="349" spans="1:5">
      <c r="A349" s="7">
        <v>96514195</v>
      </c>
      <c r="B349" s="7" t="s">
        <v>1662</v>
      </c>
      <c r="C349" s="61">
        <v>7107</v>
      </c>
      <c r="D349" s="5">
        <v>3553.5</v>
      </c>
      <c r="E349" s="5"/>
    </row>
    <row r="350" spans="1:5">
      <c r="A350" s="7">
        <v>96514196</v>
      </c>
      <c r="B350" s="7" t="s">
        <v>1663</v>
      </c>
      <c r="C350" s="61">
        <v>8087</v>
      </c>
      <c r="D350" s="5">
        <v>4043.5</v>
      </c>
      <c r="E350" s="5"/>
    </row>
    <row r="351" spans="1:5">
      <c r="A351" s="7">
        <v>96514197</v>
      </c>
      <c r="B351" s="7" t="s">
        <v>1664</v>
      </c>
      <c r="C351" s="61">
        <v>8583</v>
      </c>
      <c r="D351" s="5">
        <v>4291.5</v>
      </c>
      <c r="E351" s="5"/>
    </row>
    <row r="352" spans="1:5">
      <c r="A352" s="7">
        <v>96515929</v>
      </c>
      <c r="B352" s="7" t="s">
        <v>1464</v>
      </c>
      <c r="C352" s="61">
        <v>2564</v>
      </c>
      <c r="D352" s="5">
        <v>1282</v>
      </c>
      <c r="E352" s="5"/>
    </row>
    <row r="353" spans="1:5">
      <c r="A353" s="7">
        <v>96515930</v>
      </c>
      <c r="B353" s="7" t="s">
        <v>1465</v>
      </c>
      <c r="C353" s="61">
        <v>2650</v>
      </c>
      <c r="D353" s="5">
        <v>1325</v>
      </c>
      <c r="E353" s="5"/>
    </row>
    <row r="354" spans="1:5">
      <c r="A354" s="7">
        <v>96515931</v>
      </c>
      <c r="B354" s="7" t="s">
        <v>1466</v>
      </c>
      <c r="C354" s="61">
        <v>2733</v>
      </c>
      <c r="D354" s="5">
        <v>1366.5</v>
      </c>
      <c r="E354" s="5"/>
    </row>
    <row r="355" spans="1:5">
      <c r="A355" s="7">
        <v>96515933</v>
      </c>
      <c r="B355" s="7" t="s">
        <v>1467</v>
      </c>
      <c r="C355" s="61">
        <v>2818</v>
      </c>
      <c r="D355" s="5">
        <v>1409</v>
      </c>
      <c r="E355" s="5"/>
    </row>
    <row r="356" spans="1:5">
      <c r="A356" s="7">
        <v>96515935</v>
      </c>
      <c r="B356" s="7" t="s">
        <v>1468</v>
      </c>
      <c r="C356" s="61">
        <v>2901</v>
      </c>
      <c r="D356" s="5">
        <v>1450.5</v>
      </c>
      <c r="E356" s="5"/>
    </row>
    <row r="357" spans="1:5">
      <c r="A357" s="7">
        <v>96515936</v>
      </c>
      <c r="B357" s="7" t="s">
        <v>1469</v>
      </c>
      <c r="C357" s="61">
        <v>2986</v>
      </c>
      <c r="D357" s="5">
        <v>1493</v>
      </c>
      <c r="E357" s="5"/>
    </row>
    <row r="358" spans="1:5">
      <c r="A358" s="7">
        <v>96515938</v>
      </c>
      <c r="B358" s="7" t="s">
        <v>1470</v>
      </c>
      <c r="C358" s="61">
        <v>3071</v>
      </c>
      <c r="D358" s="5">
        <v>1535.5</v>
      </c>
      <c r="E358" s="5"/>
    </row>
    <row r="359" spans="1:5">
      <c r="A359" s="7">
        <v>96515939</v>
      </c>
      <c r="B359" s="7" t="s">
        <v>1471</v>
      </c>
      <c r="C359" s="61">
        <v>3154</v>
      </c>
      <c r="D359" s="5">
        <v>1577</v>
      </c>
      <c r="E359" s="5"/>
    </row>
    <row r="360" spans="1:5">
      <c r="A360" s="7">
        <v>96515940</v>
      </c>
      <c r="B360" s="7" t="s">
        <v>1472</v>
      </c>
      <c r="C360" s="61">
        <v>3240</v>
      </c>
      <c r="D360" s="5">
        <v>1620</v>
      </c>
      <c r="E360" s="5"/>
    </row>
    <row r="361" spans="1:5">
      <c r="A361" s="7">
        <v>96515942</v>
      </c>
      <c r="B361" s="7" t="s">
        <v>1473</v>
      </c>
      <c r="C361" s="61">
        <v>3323</v>
      </c>
      <c r="D361" s="5">
        <v>1661.5</v>
      </c>
      <c r="E361" s="5"/>
    </row>
    <row r="362" spans="1:5">
      <c r="A362" s="7">
        <v>96515943</v>
      </c>
      <c r="B362" s="7" t="s">
        <v>1474</v>
      </c>
      <c r="C362" s="61">
        <v>3408</v>
      </c>
      <c r="D362" s="5">
        <v>1704</v>
      </c>
      <c r="E362" s="5"/>
    </row>
    <row r="363" spans="1:5">
      <c r="A363" s="7">
        <v>96515944</v>
      </c>
      <c r="B363" s="7" t="s">
        <v>1475</v>
      </c>
      <c r="C363" s="61">
        <v>3492</v>
      </c>
      <c r="D363" s="5">
        <v>1746</v>
      </c>
      <c r="E363" s="5"/>
    </row>
    <row r="364" spans="1:5">
      <c r="A364" s="7">
        <v>96515945</v>
      </c>
      <c r="B364" s="7" t="s">
        <v>1476</v>
      </c>
      <c r="C364" s="61">
        <v>3591</v>
      </c>
      <c r="D364" s="5">
        <v>1795.5</v>
      </c>
      <c r="E364" s="5"/>
    </row>
    <row r="365" spans="1:5">
      <c r="A365" s="7">
        <v>96515946</v>
      </c>
      <c r="B365" s="7" t="s">
        <v>1477</v>
      </c>
      <c r="C365" s="61">
        <v>3799</v>
      </c>
      <c r="D365" s="5">
        <v>1899.5</v>
      </c>
      <c r="E365" s="5"/>
    </row>
    <row r="366" spans="1:5">
      <c r="A366" s="7">
        <v>96515948</v>
      </c>
      <c r="B366" s="7" t="s">
        <v>1478</v>
      </c>
      <c r="C366" s="61">
        <v>4005</v>
      </c>
      <c r="D366" s="5">
        <v>2002.5</v>
      </c>
      <c r="E366" s="5"/>
    </row>
    <row r="367" spans="1:5">
      <c r="A367" s="7">
        <v>96515950</v>
      </c>
      <c r="B367" s="7" t="s">
        <v>1479</v>
      </c>
      <c r="C367" s="61">
        <v>4356</v>
      </c>
      <c r="D367" s="5">
        <v>2178</v>
      </c>
      <c r="E367" s="5"/>
    </row>
    <row r="368" spans="1:5">
      <c r="A368" s="7">
        <v>96515951</v>
      </c>
      <c r="B368" s="7" t="s">
        <v>1480</v>
      </c>
      <c r="C368" s="61">
        <v>4564</v>
      </c>
      <c r="D368" s="5">
        <v>2282</v>
      </c>
      <c r="E368" s="5"/>
    </row>
    <row r="369" spans="1:5">
      <c r="A369" s="7">
        <v>96515953</v>
      </c>
      <c r="B369" s="7" t="s">
        <v>1481</v>
      </c>
      <c r="C369" s="61">
        <v>4777</v>
      </c>
      <c r="D369" s="5">
        <v>2388.5</v>
      </c>
      <c r="E369" s="5"/>
    </row>
    <row r="370" spans="1:5">
      <c r="A370" s="7">
        <v>96515955</v>
      </c>
      <c r="B370" s="7" t="s">
        <v>1482</v>
      </c>
      <c r="C370" s="61">
        <v>5022</v>
      </c>
      <c r="D370" s="5">
        <v>2511</v>
      </c>
      <c r="E370" s="5"/>
    </row>
    <row r="371" spans="1:5">
      <c r="A371" s="7">
        <v>96515956</v>
      </c>
      <c r="B371" s="7" t="s">
        <v>1483</v>
      </c>
      <c r="C371" s="61">
        <v>5428</v>
      </c>
      <c r="D371" s="5">
        <v>2714</v>
      </c>
      <c r="E371" s="5"/>
    </row>
    <row r="372" spans="1:5">
      <c r="A372" s="7">
        <v>96515958</v>
      </c>
      <c r="B372" s="7" t="s">
        <v>1484</v>
      </c>
      <c r="C372" s="61">
        <v>5750</v>
      </c>
      <c r="D372" s="5">
        <v>2875</v>
      </c>
      <c r="E372" s="5"/>
    </row>
    <row r="373" spans="1:5">
      <c r="A373" s="7">
        <v>96515959</v>
      </c>
      <c r="B373" s="7" t="s">
        <v>1485</v>
      </c>
      <c r="C373" s="61">
        <v>6064</v>
      </c>
      <c r="D373" s="5">
        <v>3032</v>
      </c>
      <c r="E373" s="5"/>
    </row>
    <row r="374" spans="1:5">
      <c r="A374" s="7">
        <v>96516420</v>
      </c>
      <c r="B374" s="7" t="s">
        <v>1486</v>
      </c>
      <c r="C374" s="61">
        <v>2563</v>
      </c>
      <c r="D374" s="5">
        <v>1281.5</v>
      </c>
      <c r="E374" s="5"/>
    </row>
    <row r="375" spans="1:5">
      <c r="A375" s="7">
        <v>96516421</v>
      </c>
      <c r="B375" s="7" t="s">
        <v>1487</v>
      </c>
      <c r="C375" s="61">
        <v>2650</v>
      </c>
      <c r="D375" s="5">
        <v>1325</v>
      </c>
      <c r="E375" s="5"/>
    </row>
    <row r="376" spans="1:5">
      <c r="A376" s="7">
        <v>96516422</v>
      </c>
      <c r="B376" s="7" t="s">
        <v>1488</v>
      </c>
      <c r="C376" s="61">
        <v>2732</v>
      </c>
      <c r="D376" s="5">
        <v>1366</v>
      </c>
      <c r="E376" s="5"/>
    </row>
    <row r="377" spans="1:5">
      <c r="A377" s="7">
        <v>96516423</v>
      </c>
      <c r="B377" s="7" t="s">
        <v>1489</v>
      </c>
      <c r="C377" s="61">
        <v>2818</v>
      </c>
      <c r="D377" s="5">
        <v>1409</v>
      </c>
      <c r="E377" s="5"/>
    </row>
    <row r="378" spans="1:5">
      <c r="A378" s="7">
        <v>96516424</v>
      </c>
      <c r="B378" s="7" t="s">
        <v>1490</v>
      </c>
      <c r="C378" s="61">
        <v>2901</v>
      </c>
      <c r="D378" s="5">
        <v>1450.5</v>
      </c>
      <c r="E378" s="5"/>
    </row>
    <row r="379" spans="1:5">
      <c r="A379" s="7">
        <v>96516425</v>
      </c>
      <c r="B379" s="7" t="s">
        <v>1491</v>
      </c>
      <c r="C379" s="61">
        <v>2986</v>
      </c>
      <c r="D379" s="5">
        <v>1493</v>
      </c>
      <c r="E379" s="5"/>
    </row>
    <row r="380" spans="1:5">
      <c r="A380" s="7">
        <v>96516426</v>
      </c>
      <c r="B380" s="7" t="s">
        <v>1492</v>
      </c>
      <c r="C380" s="61">
        <v>3040</v>
      </c>
      <c r="D380" s="5">
        <v>1520</v>
      </c>
      <c r="E380" s="5"/>
    </row>
    <row r="381" spans="1:5">
      <c r="A381" s="7">
        <v>96516427</v>
      </c>
      <c r="B381" s="7" t="s">
        <v>1493</v>
      </c>
      <c r="C381" s="61">
        <v>3109</v>
      </c>
      <c r="D381" s="5">
        <v>1554.5</v>
      </c>
      <c r="E381" s="5"/>
    </row>
    <row r="382" spans="1:5">
      <c r="A382" s="7">
        <v>96516428</v>
      </c>
      <c r="B382" s="7" t="s">
        <v>1494</v>
      </c>
      <c r="C382" s="61">
        <v>3238</v>
      </c>
      <c r="D382" s="5">
        <v>1619</v>
      </c>
      <c r="E382" s="5"/>
    </row>
    <row r="383" spans="1:5">
      <c r="A383" s="7">
        <v>96516429</v>
      </c>
      <c r="B383" s="7" t="s">
        <v>1495</v>
      </c>
      <c r="C383" s="61">
        <v>3361</v>
      </c>
      <c r="D383" s="5">
        <v>1680.5</v>
      </c>
      <c r="E383" s="5"/>
    </row>
    <row r="384" spans="1:5">
      <c r="A384" s="7">
        <v>96516430</v>
      </c>
      <c r="B384" s="7" t="s">
        <v>1496</v>
      </c>
      <c r="C384" s="61">
        <v>3483</v>
      </c>
      <c r="D384" s="5">
        <v>1741.5</v>
      </c>
      <c r="E384" s="5"/>
    </row>
    <row r="385" spans="1:5">
      <c r="A385" s="7">
        <v>96516431</v>
      </c>
      <c r="B385" s="7" t="s">
        <v>1497</v>
      </c>
      <c r="C385" s="61">
        <v>3606</v>
      </c>
      <c r="D385" s="5">
        <v>1803</v>
      </c>
      <c r="E385" s="5"/>
    </row>
    <row r="386" spans="1:5">
      <c r="A386" s="7">
        <v>96516432</v>
      </c>
      <c r="B386" s="7" t="s">
        <v>1498</v>
      </c>
      <c r="C386" s="61">
        <v>3859</v>
      </c>
      <c r="D386" s="5">
        <v>1929.5</v>
      </c>
      <c r="E386" s="5"/>
    </row>
    <row r="387" spans="1:5">
      <c r="A387" s="7">
        <v>96516433</v>
      </c>
      <c r="B387" s="7" t="s">
        <v>1504</v>
      </c>
      <c r="C387" s="61">
        <v>4126</v>
      </c>
      <c r="D387" s="5">
        <v>2063</v>
      </c>
      <c r="E387" s="5"/>
    </row>
    <row r="388" spans="1:5">
      <c r="A388" s="7">
        <v>96516434</v>
      </c>
      <c r="B388" s="7" t="s">
        <v>1505</v>
      </c>
      <c r="C388" s="61">
        <v>4372</v>
      </c>
      <c r="D388" s="5">
        <v>2186</v>
      </c>
      <c r="E388" s="5"/>
    </row>
    <row r="389" spans="1:5">
      <c r="A389" s="7">
        <v>96516435</v>
      </c>
      <c r="B389" s="7" t="s">
        <v>1506</v>
      </c>
      <c r="C389" s="61">
        <v>4625</v>
      </c>
      <c r="D389" s="5">
        <v>2312.5</v>
      </c>
      <c r="E389" s="5"/>
    </row>
    <row r="390" spans="1:5">
      <c r="A390" s="7">
        <v>96516436</v>
      </c>
      <c r="B390" s="7" t="s">
        <v>1507</v>
      </c>
      <c r="C390" s="61">
        <v>4870</v>
      </c>
      <c r="D390" s="5">
        <v>2435</v>
      </c>
      <c r="E390" s="5"/>
    </row>
    <row r="391" spans="1:5">
      <c r="A391" s="7">
        <v>96516437</v>
      </c>
      <c r="B391" s="7" t="s">
        <v>1499</v>
      </c>
      <c r="C391" s="61">
        <v>5406</v>
      </c>
      <c r="D391" s="5">
        <v>2703</v>
      </c>
      <c r="E391" s="5"/>
    </row>
    <row r="392" spans="1:5">
      <c r="A392" s="7">
        <v>96516438</v>
      </c>
      <c r="B392" s="7" t="s">
        <v>1500</v>
      </c>
      <c r="C392" s="61">
        <v>5650</v>
      </c>
      <c r="D392" s="5">
        <v>2825</v>
      </c>
      <c r="E392" s="5"/>
    </row>
    <row r="393" spans="1:5">
      <c r="A393" s="7">
        <v>96516439</v>
      </c>
      <c r="B393" s="7" t="s">
        <v>1501</v>
      </c>
      <c r="C393" s="61">
        <v>6019</v>
      </c>
      <c r="D393" s="5">
        <v>3009.5</v>
      </c>
      <c r="E393" s="5"/>
    </row>
    <row r="394" spans="1:5">
      <c r="A394" s="7">
        <v>96516440</v>
      </c>
      <c r="B394" s="7" t="s">
        <v>1502</v>
      </c>
      <c r="C394" s="61">
        <v>6746</v>
      </c>
      <c r="D394" s="5">
        <v>3373</v>
      </c>
      <c r="E394" s="5"/>
    </row>
    <row r="395" spans="1:5">
      <c r="A395" s="7">
        <v>96516441</v>
      </c>
      <c r="B395" s="7" t="s">
        <v>1503</v>
      </c>
      <c r="C395" s="61">
        <v>7112</v>
      </c>
      <c r="D395" s="5">
        <v>3556</v>
      </c>
      <c r="E395" s="5"/>
    </row>
    <row r="396" spans="1:5">
      <c r="A396" s="7">
        <v>96516849</v>
      </c>
      <c r="B396" s="7" t="s">
        <v>1508</v>
      </c>
      <c r="C396" s="61">
        <v>2625</v>
      </c>
      <c r="D396" s="5">
        <v>1312.5</v>
      </c>
      <c r="E396" s="5"/>
    </row>
    <row r="397" spans="1:5">
      <c r="A397" s="7">
        <v>96516850</v>
      </c>
      <c r="B397" s="7" t="s">
        <v>1509</v>
      </c>
      <c r="C397" s="61">
        <v>2749</v>
      </c>
      <c r="D397" s="5">
        <v>1374.5</v>
      </c>
      <c r="E397" s="5"/>
    </row>
    <row r="398" spans="1:5">
      <c r="A398" s="7">
        <v>96516851</v>
      </c>
      <c r="B398" s="7" t="s">
        <v>1510</v>
      </c>
      <c r="C398" s="61">
        <v>2862</v>
      </c>
      <c r="D398" s="5">
        <v>1431</v>
      </c>
      <c r="E398" s="5"/>
    </row>
    <row r="399" spans="1:5">
      <c r="A399" s="7">
        <v>96516852</v>
      </c>
      <c r="B399" s="7" t="s">
        <v>1511</v>
      </c>
      <c r="C399" s="61">
        <v>2986</v>
      </c>
      <c r="D399" s="5">
        <v>1493</v>
      </c>
      <c r="E399" s="5"/>
    </row>
    <row r="400" spans="1:5">
      <c r="A400" s="7">
        <v>96516853</v>
      </c>
      <c r="B400" s="7" t="s">
        <v>1512</v>
      </c>
      <c r="C400" s="61">
        <v>3103</v>
      </c>
      <c r="D400" s="5">
        <v>1551.5</v>
      </c>
      <c r="E400" s="5"/>
    </row>
    <row r="401" spans="1:5">
      <c r="A401" s="7">
        <v>96516854</v>
      </c>
      <c r="B401" s="7" t="s">
        <v>1513</v>
      </c>
      <c r="C401" s="61">
        <v>3214</v>
      </c>
      <c r="D401" s="5">
        <v>1607</v>
      </c>
      <c r="E401" s="5"/>
    </row>
    <row r="402" spans="1:5">
      <c r="A402" s="7">
        <v>96516855</v>
      </c>
      <c r="B402" s="7" t="s">
        <v>1514</v>
      </c>
      <c r="C402" s="61">
        <v>3284</v>
      </c>
      <c r="D402" s="5">
        <v>1642</v>
      </c>
      <c r="E402" s="5"/>
    </row>
    <row r="403" spans="1:5">
      <c r="A403" s="7">
        <v>96516856</v>
      </c>
      <c r="B403" s="7" t="s">
        <v>1515</v>
      </c>
      <c r="C403" s="61">
        <v>3406</v>
      </c>
      <c r="D403" s="5">
        <v>1703</v>
      </c>
      <c r="E403" s="5"/>
    </row>
    <row r="404" spans="1:5">
      <c r="A404" s="7">
        <v>96516857</v>
      </c>
      <c r="B404" s="7" t="s">
        <v>1516</v>
      </c>
      <c r="C404" s="61">
        <v>3528</v>
      </c>
      <c r="D404" s="5">
        <v>1764</v>
      </c>
      <c r="E404" s="5"/>
    </row>
    <row r="405" spans="1:5">
      <c r="A405" s="7">
        <v>96516858</v>
      </c>
      <c r="B405" s="7" t="s">
        <v>1517</v>
      </c>
      <c r="C405" s="61">
        <v>3734</v>
      </c>
      <c r="D405" s="5">
        <v>1867</v>
      </c>
      <c r="E405" s="5"/>
    </row>
    <row r="406" spans="1:5">
      <c r="A406" s="7">
        <v>96516859</v>
      </c>
      <c r="B406" s="7" t="s">
        <v>1518</v>
      </c>
      <c r="C406" s="61">
        <v>3856</v>
      </c>
      <c r="D406" s="5">
        <v>1928</v>
      </c>
      <c r="E406" s="5"/>
    </row>
    <row r="407" spans="1:5">
      <c r="A407" s="7">
        <v>96516860</v>
      </c>
      <c r="B407" s="7" t="s">
        <v>1519</v>
      </c>
      <c r="C407" s="61">
        <v>3979</v>
      </c>
      <c r="D407" s="5">
        <v>1989.5</v>
      </c>
      <c r="E407" s="5"/>
    </row>
    <row r="408" spans="1:5">
      <c r="A408" s="7">
        <v>96516861</v>
      </c>
      <c r="B408" s="7" t="s">
        <v>1520</v>
      </c>
      <c r="C408" s="61">
        <v>4234</v>
      </c>
      <c r="D408" s="5">
        <v>2117</v>
      </c>
      <c r="E408" s="5"/>
    </row>
    <row r="409" spans="1:5">
      <c r="A409" s="7">
        <v>96516862</v>
      </c>
      <c r="B409" s="7" t="s">
        <v>1521</v>
      </c>
      <c r="C409" s="61">
        <v>4782</v>
      </c>
      <c r="D409" s="5">
        <v>2391</v>
      </c>
      <c r="E409" s="5"/>
    </row>
    <row r="410" spans="1:5">
      <c r="A410" s="7">
        <v>96516863</v>
      </c>
      <c r="B410" s="7" t="s">
        <v>1522</v>
      </c>
      <c r="C410" s="61">
        <v>5027</v>
      </c>
      <c r="D410" s="5">
        <v>2513.5</v>
      </c>
      <c r="E410" s="5"/>
    </row>
    <row r="411" spans="1:5">
      <c r="A411" s="7">
        <v>96516864</v>
      </c>
      <c r="B411" s="7" t="s">
        <v>1524</v>
      </c>
      <c r="C411" s="61">
        <v>5450</v>
      </c>
      <c r="D411" s="5">
        <v>2725</v>
      </c>
      <c r="E411" s="5"/>
    </row>
    <row r="412" spans="1:5">
      <c r="A412" s="7">
        <v>96516865</v>
      </c>
      <c r="B412" s="7" t="s">
        <v>1525</v>
      </c>
      <c r="C412" s="61">
        <v>5701</v>
      </c>
      <c r="D412" s="5">
        <v>2850.5</v>
      </c>
      <c r="E412" s="5"/>
    </row>
    <row r="413" spans="1:5">
      <c r="A413" s="7">
        <v>96516866</v>
      </c>
      <c r="B413" s="7" t="s">
        <v>1526</v>
      </c>
      <c r="C413" s="61">
        <v>5946</v>
      </c>
      <c r="D413" s="5">
        <v>2973</v>
      </c>
      <c r="E413" s="5"/>
    </row>
    <row r="414" spans="1:5">
      <c r="A414" s="7">
        <v>96516867</v>
      </c>
      <c r="B414" s="7" t="s">
        <v>1527</v>
      </c>
      <c r="C414" s="61">
        <v>6190</v>
      </c>
      <c r="D414" s="5">
        <v>3095</v>
      </c>
      <c r="E414" s="5"/>
    </row>
    <row r="415" spans="1:5">
      <c r="A415" s="7">
        <v>96516868</v>
      </c>
      <c r="B415" s="7" t="s">
        <v>1665</v>
      </c>
      <c r="C415" s="61">
        <v>6522</v>
      </c>
      <c r="D415" s="5">
        <v>3261</v>
      </c>
      <c r="E415" s="5"/>
    </row>
    <row r="416" spans="1:5">
      <c r="A416" s="7">
        <v>96516869</v>
      </c>
      <c r="B416" s="7" t="s">
        <v>1666</v>
      </c>
      <c r="C416" s="61">
        <v>6764</v>
      </c>
      <c r="D416" s="5">
        <v>3382</v>
      </c>
      <c r="E416" s="5"/>
    </row>
    <row r="417" spans="1:5">
      <c r="A417" s="7">
        <v>96516870</v>
      </c>
      <c r="B417" s="7" t="s">
        <v>1667</v>
      </c>
      <c r="C417" s="61">
        <v>7139</v>
      </c>
      <c r="D417" s="5">
        <v>3569.5</v>
      </c>
      <c r="E417" s="5"/>
    </row>
    <row r="418" spans="1:5">
      <c r="A418" s="7">
        <v>96517204</v>
      </c>
      <c r="B418" s="7" t="s">
        <v>1529</v>
      </c>
      <c r="C418" s="61">
        <v>2968</v>
      </c>
      <c r="D418" s="5">
        <v>1484</v>
      </c>
      <c r="E418" s="5"/>
    </row>
    <row r="419" spans="1:5">
      <c r="A419" s="7">
        <v>96517205</v>
      </c>
      <c r="B419" s="7" t="s">
        <v>1530</v>
      </c>
      <c r="C419" s="61">
        <v>3168</v>
      </c>
      <c r="D419" s="5">
        <v>1584</v>
      </c>
      <c r="E419" s="5"/>
    </row>
    <row r="420" spans="1:5">
      <c r="A420" s="7">
        <v>96517206</v>
      </c>
      <c r="B420" s="7" t="s">
        <v>1531</v>
      </c>
      <c r="C420" s="61">
        <v>3415</v>
      </c>
      <c r="D420" s="5">
        <v>1707.5</v>
      </c>
      <c r="E420" s="5"/>
    </row>
    <row r="421" spans="1:5">
      <c r="A421" s="7">
        <v>96517207</v>
      </c>
      <c r="B421" s="7" t="s">
        <v>1532</v>
      </c>
      <c r="C421" s="61">
        <v>3467</v>
      </c>
      <c r="D421" s="5">
        <v>1733.5</v>
      </c>
      <c r="E421" s="5"/>
    </row>
    <row r="422" spans="1:5">
      <c r="A422" s="7">
        <v>96517208</v>
      </c>
      <c r="B422" s="7" t="s">
        <v>1534</v>
      </c>
      <c r="C422" s="61">
        <v>3719</v>
      </c>
      <c r="D422" s="5">
        <v>1859.5</v>
      </c>
      <c r="E422" s="5"/>
    </row>
    <row r="423" spans="1:5">
      <c r="A423" s="7">
        <v>96517209</v>
      </c>
      <c r="B423" s="7" t="s">
        <v>1535</v>
      </c>
      <c r="C423" s="61">
        <v>4285</v>
      </c>
      <c r="D423" s="5">
        <v>2142.5</v>
      </c>
      <c r="E423" s="5"/>
    </row>
    <row r="424" spans="1:5">
      <c r="A424" s="7">
        <v>96517210</v>
      </c>
      <c r="B424" s="7" t="s">
        <v>1536</v>
      </c>
      <c r="C424" s="61">
        <v>4408</v>
      </c>
      <c r="D424" s="5">
        <v>2204</v>
      </c>
      <c r="E424" s="5"/>
    </row>
    <row r="425" spans="1:5">
      <c r="A425" s="7">
        <v>96517211</v>
      </c>
      <c r="B425" s="7" t="s">
        <v>1537</v>
      </c>
      <c r="C425" s="61">
        <v>4812</v>
      </c>
      <c r="D425" s="5">
        <v>2406</v>
      </c>
      <c r="E425" s="5"/>
    </row>
    <row r="426" spans="1:5">
      <c r="A426" s="7">
        <v>96517212</v>
      </c>
      <c r="B426" s="7" t="s">
        <v>1538</v>
      </c>
      <c r="C426" s="61">
        <v>4938</v>
      </c>
      <c r="D426" s="5">
        <v>2469</v>
      </c>
      <c r="E426" s="5"/>
    </row>
    <row r="427" spans="1:5">
      <c r="A427" s="7">
        <v>96517213</v>
      </c>
      <c r="B427" s="7" t="s">
        <v>1539</v>
      </c>
      <c r="C427" s="61">
        <v>5058</v>
      </c>
      <c r="D427" s="5">
        <v>2529</v>
      </c>
      <c r="E427" s="5"/>
    </row>
    <row r="428" spans="1:5">
      <c r="A428" s="7">
        <v>96517214</v>
      </c>
      <c r="B428" s="7" t="s">
        <v>1540</v>
      </c>
      <c r="C428" s="61">
        <v>5181</v>
      </c>
      <c r="D428" s="5">
        <v>2590.5</v>
      </c>
      <c r="E428" s="5"/>
    </row>
    <row r="429" spans="1:5">
      <c r="A429" s="7">
        <v>96517215</v>
      </c>
      <c r="B429" s="7" t="s">
        <v>1541</v>
      </c>
      <c r="C429" s="61">
        <v>5306</v>
      </c>
      <c r="D429" s="5">
        <v>2653</v>
      </c>
      <c r="E429" s="5"/>
    </row>
    <row r="430" spans="1:5">
      <c r="A430" s="7">
        <v>96517216</v>
      </c>
      <c r="B430" s="7" t="s">
        <v>1542</v>
      </c>
      <c r="C430" s="61">
        <v>5425</v>
      </c>
      <c r="D430" s="5">
        <v>2712.5</v>
      </c>
      <c r="E430" s="5"/>
    </row>
    <row r="431" spans="1:5">
      <c r="A431" s="7">
        <v>96517217</v>
      </c>
      <c r="B431" s="7" t="s">
        <v>1668</v>
      </c>
      <c r="C431" s="61">
        <v>6007</v>
      </c>
      <c r="D431" s="5">
        <v>3003.5</v>
      </c>
      <c r="E431" s="5"/>
    </row>
    <row r="432" spans="1:5">
      <c r="A432" s="7">
        <v>96517218</v>
      </c>
      <c r="B432" s="7" t="s">
        <v>1669</v>
      </c>
      <c r="C432" s="61">
        <v>6256</v>
      </c>
      <c r="D432" s="5">
        <v>3128</v>
      </c>
      <c r="E432" s="5"/>
    </row>
    <row r="433" spans="1:5">
      <c r="A433" s="7">
        <v>96520527</v>
      </c>
      <c r="B433" s="7" t="s">
        <v>1486</v>
      </c>
      <c r="C433" s="61">
        <v>2347</v>
      </c>
      <c r="D433" s="5">
        <v>1173.5</v>
      </c>
      <c r="E433" s="5"/>
    </row>
    <row r="434" spans="1:5">
      <c r="A434" s="7">
        <v>96520529</v>
      </c>
      <c r="B434" s="7" t="s">
        <v>1487</v>
      </c>
      <c r="C434" s="61">
        <v>2433</v>
      </c>
      <c r="D434" s="5">
        <v>1216.5</v>
      </c>
      <c r="E434" s="5"/>
    </row>
    <row r="435" spans="1:5">
      <c r="A435" s="7">
        <v>96520640</v>
      </c>
      <c r="B435" s="7" t="s">
        <v>1488</v>
      </c>
      <c r="C435" s="61">
        <v>2516</v>
      </c>
      <c r="D435" s="5">
        <v>1258</v>
      </c>
      <c r="E435" s="5"/>
    </row>
    <row r="436" spans="1:5">
      <c r="A436" s="7">
        <v>96520641</v>
      </c>
      <c r="B436" s="7" t="s">
        <v>1489</v>
      </c>
      <c r="C436" s="61">
        <v>2601</v>
      </c>
      <c r="D436" s="5">
        <v>1300.5</v>
      </c>
      <c r="E436" s="5"/>
    </row>
    <row r="437" spans="1:5">
      <c r="A437" s="7">
        <v>96520642</v>
      </c>
      <c r="B437" s="7" t="s">
        <v>1490</v>
      </c>
      <c r="C437" s="61">
        <v>2685</v>
      </c>
      <c r="D437" s="5">
        <v>1342.5</v>
      </c>
      <c r="E437" s="5"/>
    </row>
    <row r="438" spans="1:5">
      <c r="A438" s="7">
        <v>96520643</v>
      </c>
      <c r="B438" s="7" t="s">
        <v>1491</v>
      </c>
      <c r="C438" s="61">
        <v>2769</v>
      </c>
      <c r="D438" s="5">
        <v>1384.5</v>
      </c>
      <c r="E438" s="5"/>
    </row>
    <row r="439" spans="1:5">
      <c r="A439" s="7">
        <v>96520644</v>
      </c>
      <c r="B439" s="7" t="s">
        <v>1492</v>
      </c>
      <c r="C439" s="61">
        <v>2823</v>
      </c>
      <c r="D439" s="5">
        <v>1411.5</v>
      </c>
      <c r="E439" s="5"/>
    </row>
    <row r="440" spans="1:5">
      <c r="A440" s="7">
        <v>96520645</v>
      </c>
      <c r="B440" s="7" t="s">
        <v>1493</v>
      </c>
      <c r="C440" s="61">
        <v>2892</v>
      </c>
      <c r="D440" s="5">
        <v>1446</v>
      </c>
      <c r="E440" s="5"/>
    </row>
    <row r="441" spans="1:5">
      <c r="A441" s="7">
        <v>96520646</v>
      </c>
      <c r="B441" s="7" t="s">
        <v>1494</v>
      </c>
      <c r="C441" s="61">
        <v>3023</v>
      </c>
      <c r="D441" s="5">
        <v>1511.5</v>
      </c>
      <c r="E441" s="5"/>
    </row>
    <row r="442" spans="1:5">
      <c r="A442" s="7">
        <v>96520647</v>
      </c>
      <c r="B442" s="7" t="s">
        <v>1495</v>
      </c>
      <c r="C442" s="61">
        <v>3144</v>
      </c>
      <c r="D442" s="5">
        <v>1572</v>
      </c>
      <c r="E442" s="5"/>
    </row>
    <row r="443" spans="1:5">
      <c r="A443" s="7">
        <v>96520648</v>
      </c>
      <c r="B443" s="7" t="s">
        <v>1496</v>
      </c>
      <c r="C443" s="61">
        <v>3267</v>
      </c>
      <c r="D443" s="5">
        <v>1633.5</v>
      </c>
      <c r="E443" s="5"/>
    </row>
    <row r="444" spans="1:5">
      <c r="A444" s="7">
        <v>96520649</v>
      </c>
      <c r="B444" s="7" t="s">
        <v>1497</v>
      </c>
      <c r="C444" s="61">
        <v>3389</v>
      </c>
      <c r="D444" s="5">
        <v>1694.5</v>
      </c>
      <c r="E444" s="5"/>
    </row>
    <row r="445" spans="1:5">
      <c r="A445" s="7">
        <v>96520650</v>
      </c>
      <c r="B445" s="7" t="s">
        <v>1498</v>
      </c>
      <c r="C445" s="61">
        <v>3642</v>
      </c>
      <c r="D445" s="5">
        <v>1821</v>
      </c>
      <c r="E445" s="5"/>
    </row>
    <row r="446" spans="1:5">
      <c r="A446" s="7">
        <v>96520651</v>
      </c>
      <c r="B446" s="7" t="s">
        <v>1504</v>
      </c>
      <c r="C446" s="61">
        <v>3910</v>
      </c>
      <c r="D446" s="5">
        <v>1955</v>
      </c>
      <c r="E446" s="5"/>
    </row>
    <row r="447" spans="1:5">
      <c r="A447" s="7">
        <v>96520652</v>
      </c>
      <c r="B447" s="7" t="s">
        <v>1505</v>
      </c>
      <c r="C447" s="61">
        <v>4155</v>
      </c>
      <c r="D447" s="5">
        <v>2077.5</v>
      </c>
      <c r="E447" s="5"/>
    </row>
    <row r="448" spans="1:5">
      <c r="A448" s="7">
        <v>96520653</v>
      </c>
      <c r="B448" s="7" t="s">
        <v>1506</v>
      </c>
      <c r="C448" s="61">
        <v>4409</v>
      </c>
      <c r="D448" s="5">
        <v>2204.5</v>
      </c>
      <c r="E448" s="5"/>
    </row>
    <row r="449" spans="1:5">
      <c r="A449" s="7">
        <v>96520654</v>
      </c>
      <c r="B449" s="7" t="s">
        <v>1507</v>
      </c>
      <c r="C449" s="61">
        <v>4654</v>
      </c>
      <c r="D449" s="5">
        <v>2327</v>
      </c>
      <c r="E449" s="5"/>
    </row>
    <row r="450" spans="1:5">
      <c r="A450" s="7">
        <v>96520655</v>
      </c>
      <c r="B450" s="7" t="s">
        <v>1499</v>
      </c>
      <c r="C450" s="61">
        <v>5189</v>
      </c>
      <c r="D450" s="5">
        <v>2594.5</v>
      </c>
      <c r="E450" s="5"/>
    </row>
    <row r="451" spans="1:5">
      <c r="A451" s="7">
        <v>96520656</v>
      </c>
      <c r="B451" s="7" t="s">
        <v>1500</v>
      </c>
      <c r="C451" s="61">
        <v>5434</v>
      </c>
      <c r="D451" s="5">
        <v>2717</v>
      </c>
      <c r="E451" s="5"/>
    </row>
    <row r="452" spans="1:5">
      <c r="A452" s="7">
        <v>96520657</v>
      </c>
      <c r="B452" s="7" t="s">
        <v>1501</v>
      </c>
      <c r="C452" s="61">
        <v>5802</v>
      </c>
      <c r="D452" s="5">
        <v>2901</v>
      </c>
      <c r="E452" s="5"/>
    </row>
    <row r="453" spans="1:5">
      <c r="A453" s="7">
        <v>96520683</v>
      </c>
      <c r="B453" s="7" t="s">
        <v>1508</v>
      </c>
      <c r="C453" s="61">
        <v>2408</v>
      </c>
      <c r="D453" s="5">
        <v>1204</v>
      </c>
      <c r="E453" s="5"/>
    </row>
    <row r="454" spans="1:5">
      <c r="A454" s="7">
        <v>96520684</v>
      </c>
      <c r="B454" s="7" t="s">
        <v>1509</v>
      </c>
      <c r="C454" s="61">
        <v>2531</v>
      </c>
      <c r="D454" s="5">
        <v>1265.5</v>
      </c>
      <c r="E454" s="5"/>
    </row>
    <row r="455" spans="1:5">
      <c r="A455" s="7">
        <v>96520763</v>
      </c>
      <c r="B455" s="7" t="s">
        <v>1511</v>
      </c>
      <c r="C455" s="61">
        <v>2769</v>
      </c>
      <c r="D455" s="5">
        <v>1384.5</v>
      </c>
      <c r="E455" s="5"/>
    </row>
    <row r="456" spans="1:5">
      <c r="A456" s="7">
        <v>96520764</v>
      </c>
      <c r="B456" s="7" t="s">
        <v>1512</v>
      </c>
      <c r="C456" s="61">
        <v>2886</v>
      </c>
      <c r="D456" s="5">
        <v>1443</v>
      </c>
      <c r="E456" s="5"/>
    </row>
    <row r="457" spans="1:5">
      <c r="A457" s="7">
        <v>96520765</v>
      </c>
      <c r="B457" s="7" t="s">
        <v>1513</v>
      </c>
      <c r="C457" s="61">
        <v>2997</v>
      </c>
      <c r="D457" s="5">
        <v>1498.5</v>
      </c>
      <c r="E457" s="5"/>
    </row>
    <row r="458" spans="1:5">
      <c r="A458" s="7">
        <v>96520766</v>
      </c>
      <c r="B458" s="7" t="s">
        <v>1514</v>
      </c>
      <c r="C458" s="61">
        <v>3065</v>
      </c>
      <c r="D458" s="5">
        <v>1532.5</v>
      </c>
      <c r="E458" s="5"/>
    </row>
    <row r="459" spans="1:5">
      <c r="A459" s="7">
        <v>96520767</v>
      </c>
      <c r="B459" s="7" t="s">
        <v>1515</v>
      </c>
      <c r="C459" s="61">
        <v>3191</v>
      </c>
      <c r="D459" s="5">
        <v>1595.5</v>
      </c>
      <c r="E459" s="5"/>
    </row>
    <row r="460" spans="1:5">
      <c r="A460" s="7">
        <v>96520768</v>
      </c>
      <c r="B460" s="7" t="s">
        <v>1516</v>
      </c>
      <c r="C460" s="61">
        <v>3311</v>
      </c>
      <c r="D460" s="5">
        <v>1655.5</v>
      </c>
      <c r="E460" s="5"/>
    </row>
    <row r="461" spans="1:5">
      <c r="A461" s="7">
        <v>96520769</v>
      </c>
      <c r="B461" s="7" t="s">
        <v>1517</v>
      </c>
      <c r="C461" s="61">
        <v>3517</v>
      </c>
      <c r="D461" s="5">
        <v>1758.5</v>
      </c>
      <c r="E461" s="5"/>
    </row>
    <row r="462" spans="1:5">
      <c r="A462" s="7">
        <v>96520770</v>
      </c>
      <c r="B462" s="7" t="s">
        <v>1518</v>
      </c>
      <c r="C462" s="61">
        <v>3640</v>
      </c>
      <c r="D462" s="5">
        <v>1820</v>
      </c>
      <c r="E462" s="5"/>
    </row>
    <row r="463" spans="1:5">
      <c r="A463" s="7">
        <v>96520771</v>
      </c>
      <c r="B463" s="7" t="s">
        <v>1519</v>
      </c>
      <c r="C463" s="61">
        <v>3764</v>
      </c>
      <c r="D463" s="5">
        <v>1882</v>
      </c>
      <c r="E463" s="5"/>
    </row>
    <row r="464" spans="1:5">
      <c r="A464" s="7">
        <v>96520772</v>
      </c>
      <c r="B464" s="7" t="s">
        <v>1520</v>
      </c>
      <c r="C464" s="61">
        <v>4015</v>
      </c>
      <c r="D464" s="5">
        <v>2007.5</v>
      </c>
      <c r="E464" s="5"/>
    </row>
    <row r="465" spans="1:5">
      <c r="A465" s="7">
        <v>96520773</v>
      </c>
      <c r="B465" s="7" t="s">
        <v>1521</v>
      </c>
      <c r="C465" s="61">
        <v>4568</v>
      </c>
      <c r="D465" s="5">
        <v>2284</v>
      </c>
      <c r="E465" s="5"/>
    </row>
    <row r="466" spans="1:5">
      <c r="A466" s="7">
        <v>96520774</v>
      </c>
      <c r="B466" s="7" t="s">
        <v>1522</v>
      </c>
      <c r="C466" s="61">
        <v>4811</v>
      </c>
      <c r="D466" s="5">
        <v>2405.5</v>
      </c>
      <c r="E466" s="5"/>
    </row>
    <row r="467" spans="1:5">
      <c r="A467" s="7">
        <v>96520801</v>
      </c>
      <c r="B467" s="7" t="s">
        <v>1528</v>
      </c>
      <c r="C467" s="61">
        <v>2640</v>
      </c>
      <c r="D467" s="5">
        <v>1320</v>
      </c>
      <c r="E467" s="5"/>
    </row>
    <row r="468" spans="1:5">
      <c r="A468" s="7">
        <v>96520802</v>
      </c>
      <c r="B468" s="7" t="s">
        <v>1529</v>
      </c>
      <c r="C468" s="61">
        <v>2752</v>
      </c>
      <c r="D468" s="5">
        <v>1376</v>
      </c>
      <c r="E468" s="5"/>
    </row>
    <row r="469" spans="1:5">
      <c r="A469" s="7">
        <v>96520803</v>
      </c>
      <c r="B469" s="7" t="s">
        <v>1530</v>
      </c>
      <c r="C469" s="61">
        <v>2952</v>
      </c>
      <c r="D469" s="5">
        <v>1476</v>
      </c>
      <c r="E469" s="5"/>
    </row>
    <row r="470" spans="1:5">
      <c r="A470" s="7">
        <v>96520804</v>
      </c>
      <c r="B470" s="7" t="s">
        <v>1531</v>
      </c>
      <c r="C470" s="61">
        <v>3197</v>
      </c>
      <c r="D470" s="5">
        <v>1598.5</v>
      </c>
      <c r="E470" s="5"/>
    </row>
    <row r="471" spans="1:5">
      <c r="A471" s="7">
        <v>96520805</v>
      </c>
      <c r="B471" s="7" t="s">
        <v>1532</v>
      </c>
      <c r="C471" s="61">
        <v>3250</v>
      </c>
      <c r="D471" s="5">
        <v>1625</v>
      </c>
      <c r="E471" s="5"/>
    </row>
    <row r="472" spans="1:5">
      <c r="A472" s="7">
        <v>96520806</v>
      </c>
      <c r="B472" s="7" t="s">
        <v>1533</v>
      </c>
      <c r="C472" s="61">
        <v>3382</v>
      </c>
      <c r="D472" s="5">
        <v>1691</v>
      </c>
      <c r="E472" s="5"/>
    </row>
    <row r="473" spans="1:5">
      <c r="A473" s="7">
        <v>96520807</v>
      </c>
      <c r="B473" s="7" t="s">
        <v>1534</v>
      </c>
      <c r="C473" s="61">
        <v>3503</v>
      </c>
      <c r="D473" s="5">
        <v>1751.5</v>
      </c>
      <c r="E473" s="5"/>
    </row>
    <row r="474" spans="1:5">
      <c r="A474" s="7">
        <v>96520808</v>
      </c>
      <c r="B474" s="7" t="s">
        <v>1535</v>
      </c>
      <c r="C474" s="61">
        <v>4069</v>
      </c>
      <c r="D474" s="5">
        <v>2034.5</v>
      </c>
      <c r="E474" s="5"/>
    </row>
    <row r="475" spans="1:5">
      <c r="A475" s="7">
        <v>96520809</v>
      </c>
      <c r="B475" s="7" t="s">
        <v>1536</v>
      </c>
      <c r="C475" s="61">
        <v>4194</v>
      </c>
      <c r="D475" s="5">
        <v>2097</v>
      </c>
      <c r="E475" s="5"/>
    </row>
    <row r="476" spans="1:5">
      <c r="A476" s="7">
        <v>96531309</v>
      </c>
      <c r="B476" s="7" t="s">
        <v>1502</v>
      </c>
      <c r="C476" s="61">
        <v>6530</v>
      </c>
      <c r="D476" s="5">
        <v>3265</v>
      </c>
      <c r="E476" s="5"/>
    </row>
    <row r="477" spans="1:5">
      <c r="A477" s="7">
        <v>96531402</v>
      </c>
      <c r="B477" s="7" t="s">
        <v>1464</v>
      </c>
      <c r="C477" s="61">
        <v>2347</v>
      </c>
      <c r="D477" s="5">
        <v>1173.5</v>
      </c>
      <c r="E477" s="5"/>
    </row>
    <row r="478" spans="1:5">
      <c r="A478" s="7">
        <v>96531405</v>
      </c>
      <c r="B478" s="7" t="s">
        <v>1465</v>
      </c>
      <c r="C478" s="61">
        <v>2433</v>
      </c>
      <c r="D478" s="5">
        <v>1216.5</v>
      </c>
      <c r="E478" s="5"/>
    </row>
    <row r="479" spans="1:5">
      <c r="A479" s="7">
        <v>96531407</v>
      </c>
      <c r="B479" s="7" t="s">
        <v>1466</v>
      </c>
      <c r="C479" s="61">
        <v>2516</v>
      </c>
      <c r="D479" s="5">
        <v>1258</v>
      </c>
      <c r="E479" s="5"/>
    </row>
    <row r="480" spans="1:5">
      <c r="A480" s="7">
        <v>96531409</v>
      </c>
      <c r="B480" s="7" t="s">
        <v>1467</v>
      </c>
      <c r="C480" s="61">
        <v>2601</v>
      </c>
      <c r="D480" s="5">
        <v>1300.5</v>
      </c>
      <c r="E480" s="5"/>
    </row>
    <row r="481" spans="1:5">
      <c r="A481" s="7">
        <v>96531417</v>
      </c>
      <c r="B481" s="7" t="s">
        <v>1469</v>
      </c>
      <c r="C481" s="61">
        <v>2770</v>
      </c>
      <c r="D481" s="5">
        <v>1385</v>
      </c>
      <c r="E481" s="5"/>
    </row>
    <row r="482" spans="1:5">
      <c r="A482" s="7">
        <v>96531418</v>
      </c>
      <c r="B482" s="7" t="s">
        <v>1470</v>
      </c>
      <c r="C482" s="61">
        <v>2854</v>
      </c>
      <c r="D482" s="5">
        <v>1427</v>
      </c>
      <c r="E482" s="5"/>
    </row>
    <row r="483" spans="1:5">
      <c r="A483" s="7">
        <v>96531419</v>
      </c>
      <c r="B483" s="7" t="s">
        <v>1471</v>
      </c>
      <c r="C483" s="61">
        <v>2937</v>
      </c>
      <c r="D483" s="5">
        <v>1468.5</v>
      </c>
      <c r="E483" s="5"/>
    </row>
    <row r="484" spans="1:5">
      <c r="A484" s="7">
        <v>96531421</v>
      </c>
      <c r="B484" s="7" t="s">
        <v>1472</v>
      </c>
      <c r="C484" s="61">
        <v>3023</v>
      </c>
      <c r="D484" s="5">
        <v>1511.5</v>
      </c>
      <c r="E484" s="5"/>
    </row>
    <row r="485" spans="1:5">
      <c r="A485" s="7">
        <v>96531422</v>
      </c>
      <c r="B485" s="7" t="s">
        <v>1473</v>
      </c>
      <c r="C485" s="61">
        <v>3106</v>
      </c>
      <c r="D485" s="5">
        <v>1553</v>
      </c>
      <c r="E485" s="5"/>
    </row>
    <row r="486" spans="1:5">
      <c r="A486" s="7">
        <v>96531423</v>
      </c>
      <c r="B486" s="7" t="s">
        <v>1474</v>
      </c>
      <c r="C486" s="61">
        <v>3191</v>
      </c>
      <c r="D486" s="5">
        <v>1595.5</v>
      </c>
      <c r="E486" s="5"/>
    </row>
    <row r="487" spans="1:5">
      <c r="A487" s="7">
        <v>96531425</v>
      </c>
      <c r="B487" s="7" t="s">
        <v>1475</v>
      </c>
      <c r="C487" s="61">
        <v>3275</v>
      </c>
      <c r="D487" s="5">
        <v>1637.5</v>
      </c>
      <c r="E487" s="5"/>
    </row>
    <row r="488" spans="1:5">
      <c r="A488" s="7">
        <v>96531427</v>
      </c>
      <c r="B488" s="7" t="s">
        <v>1477</v>
      </c>
      <c r="C488" s="61">
        <v>3582</v>
      </c>
      <c r="D488" s="5">
        <v>1791</v>
      </c>
      <c r="E488" s="5"/>
    </row>
    <row r="489" spans="1:5">
      <c r="A489" s="7">
        <v>96531429</v>
      </c>
      <c r="B489" s="7" t="s">
        <v>1478</v>
      </c>
      <c r="C489" s="61">
        <v>3789</v>
      </c>
      <c r="D489" s="5">
        <v>1894.5</v>
      </c>
      <c r="E489" s="5"/>
    </row>
    <row r="490" spans="1:5">
      <c r="A490" s="7">
        <v>96531437</v>
      </c>
      <c r="B490" s="7" t="s">
        <v>1479</v>
      </c>
      <c r="C490" s="61">
        <v>4140</v>
      </c>
      <c r="D490" s="5">
        <v>2070</v>
      </c>
      <c r="E490" s="5"/>
    </row>
    <row r="491" spans="1:5">
      <c r="A491" s="7">
        <v>96531440</v>
      </c>
      <c r="B491" s="7" t="s">
        <v>1480</v>
      </c>
      <c r="C491" s="61">
        <v>4348</v>
      </c>
      <c r="D491" s="5">
        <v>2174</v>
      </c>
      <c r="E491" s="5"/>
    </row>
    <row r="492" spans="1:5">
      <c r="A492" s="7">
        <v>96531441</v>
      </c>
      <c r="B492" s="7" t="s">
        <v>1481</v>
      </c>
      <c r="C492" s="61">
        <v>4561</v>
      </c>
      <c r="D492" s="5">
        <v>2280.5</v>
      </c>
      <c r="E492" s="5"/>
    </row>
    <row r="493" spans="1:5">
      <c r="A493" s="7">
        <v>96531444</v>
      </c>
      <c r="B493" s="7" t="s">
        <v>1482</v>
      </c>
      <c r="C493" s="61">
        <v>4806</v>
      </c>
      <c r="D493" s="5">
        <v>2403</v>
      </c>
      <c r="E493" s="5"/>
    </row>
    <row r="494" spans="1:5">
      <c r="A494" s="7">
        <v>96531446</v>
      </c>
      <c r="B494" s="7" t="s">
        <v>1483</v>
      </c>
      <c r="C494" s="61">
        <v>5212</v>
      </c>
      <c r="D494" s="5">
        <v>2606</v>
      </c>
      <c r="E494" s="5"/>
    </row>
    <row r="495" spans="1:5">
      <c r="A495" s="7">
        <v>96531447</v>
      </c>
      <c r="B495" s="7" t="s">
        <v>1484</v>
      </c>
      <c r="C495" s="61">
        <v>5534</v>
      </c>
      <c r="D495" s="5">
        <v>2767</v>
      </c>
      <c r="E495" s="5"/>
    </row>
    <row r="496" spans="1:5">
      <c r="A496" s="7">
        <v>96531448</v>
      </c>
      <c r="B496" s="7" t="s">
        <v>1485</v>
      </c>
      <c r="C496" s="61">
        <v>5848</v>
      </c>
      <c r="D496" s="5">
        <v>2924</v>
      </c>
      <c r="E496" s="5"/>
    </row>
    <row r="497" spans="1:5">
      <c r="A497" s="7">
        <v>96531480</v>
      </c>
      <c r="B497" s="7" t="s">
        <v>1503</v>
      </c>
      <c r="C497" s="61">
        <v>6895</v>
      </c>
      <c r="D497" s="5">
        <v>3447.5</v>
      </c>
      <c r="E497" s="5"/>
    </row>
    <row r="498" spans="1:5">
      <c r="A498" s="7">
        <v>96532691</v>
      </c>
      <c r="B498" s="7" t="s">
        <v>1537</v>
      </c>
      <c r="C498" s="61">
        <v>4596</v>
      </c>
      <c r="D498" s="5">
        <v>2298</v>
      </c>
      <c r="E498" s="5"/>
    </row>
    <row r="499" spans="1:5">
      <c r="A499" s="7">
        <v>96532692</v>
      </c>
      <c r="B499" s="7" t="s">
        <v>1539</v>
      </c>
      <c r="C499" s="61">
        <v>4841</v>
      </c>
      <c r="D499" s="5">
        <v>2420.5</v>
      </c>
      <c r="E499" s="5"/>
    </row>
    <row r="500" spans="1:5">
      <c r="A500" s="7">
        <v>96532693</v>
      </c>
      <c r="B500" s="7" t="s">
        <v>1540</v>
      </c>
      <c r="C500" s="61">
        <v>4967</v>
      </c>
      <c r="D500" s="5">
        <v>2483.5</v>
      </c>
      <c r="E500" s="5"/>
    </row>
    <row r="501" spans="1:5">
      <c r="A501" s="7">
        <v>96532694</v>
      </c>
      <c r="B501" s="7" t="s">
        <v>1541</v>
      </c>
      <c r="C501" s="61">
        <v>5087</v>
      </c>
      <c r="D501" s="5">
        <v>2543.5</v>
      </c>
      <c r="E501" s="5"/>
    </row>
    <row r="502" spans="1:5">
      <c r="A502" s="7">
        <v>96532695</v>
      </c>
      <c r="B502" s="7" t="s">
        <v>1542</v>
      </c>
      <c r="C502" s="61">
        <v>5209</v>
      </c>
      <c r="D502" s="5">
        <v>2604.5</v>
      </c>
      <c r="E502" s="5"/>
    </row>
    <row r="503" spans="1:5">
      <c r="A503" s="7">
        <v>96532696</v>
      </c>
      <c r="B503" s="7" t="s">
        <v>1668</v>
      </c>
      <c r="C503" s="61">
        <v>5791</v>
      </c>
      <c r="D503" s="5">
        <v>2895.5</v>
      </c>
      <c r="E503" s="5"/>
    </row>
    <row r="504" spans="1:5">
      <c r="A504" s="7">
        <v>96532697</v>
      </c>
      <c r="B504" s="7" t="s">
        <v>1669</v>
      </c>
      <c r="C504" s="61">
        <v>6037</v>
      </c>
      <c r="D504" s="5">
        <v>3018.5</v>
      </c>
      <c r="E504" s="5"/>
    </row>
    <row r="505" spans="1:5">
      <c r="A505" s="7">
        <v>96532988</v>
      </c>
      <c r="B505" s="7" t="s">
        <v>1524</v>
      </c>
      <c r="C505" s="61">
        <v>5233</v>
      </c>
      <c r="D505" s="5">
        <v>2616.5</v>
      </c>
      <c r="E505" s="5"/>
    </row>
    <row r="506" spans="1:5">
      <c r="A506" s="7">
        <v>96532991</v>
      </c>
      <c r="B506" s="7" t="s">
        <v>1525</v>
      </c>
      <c r="C506" s="61">
        <v>5484</v>
      </c>
      <c r="D506" s="5">
        <v>2742</v>
      </c>
      <c r="E506" s="5"/>
    </row>
    <row r="507" spans="1:5">
      <c r="A507" s="7">
        <v>96532995</v>
      </c>
      <c r="B507" s="7" t="s">
        <v>1526</v>
      </c>
      <c r="C507" s="61">
        <v>5730</v>
      </c>
      <c r="D507" s="5">
        <v>2865</v>
      </c>
      <c r="E507" s="5"/>
    </row>
    <row r="508" spans="1:5">
      <c r="A508" s="7">
        <v>96532997</v>
      </c>
      <c r="B508" s="7" t="s">
        <v>1527</v>
      </c>
      <c r="C508" s="61">
        <v>5974</v>
      </c>
      <c r="D508" s="5">
        <v>2987</v>
      </c>
      <c r="E508" s="5"/>
    </row>
    <row r="509" spans="1:5">
      <c r="A509" s="7">
        <v>96533000</v>
      </c>
      <c r="B509" s="7" t="s">
        <v>1665</v>
      </c>
      <c r="C509" s="61">
        <v>6303</v>
      </c>
      <c r="D509" s="5">
        <v>3151.5</v>
      </c>
      <c r="E509" s="5"/>
    </row>
    <row r="510" spans="1:5">
      <c r="A510" s="7">
        <v>96533003</v>
      </c>
      <c r="B510" s="7" t="s">
        <v>1666</v>
      </c>
      <c r="C510" s="61">
        <v>6548</v>
      </c>
      <c r="D510" s="5">
        <v>3274</v>
      </c>
      <c r="E510" s="5"/>
    </row>
    <row r="511" spans="1:5">
      <c r="A511" s="7">
        <v>96533007</v>
      </c>
      <c r="B511" s="7" t="s">
        <v>1667</v>
      </c>
      <c r="C511" s="61">
        <v>6923</v>
      </c>
      <c r="D511" s="5">
        <v>3461.5</v>
      </c>
      <c r="E511" s="5"/>
    </row>
    <row r="512" spans="1:5">
      <c r="A512" s="7">
        <v>96533488</v>
      </c>
      <c r="B512" s="7" t="s">
        <v>1468</v>
      </c>
      <c r="C512" s="61">
        <v>2685</v>
      </c>
      <c r="D512" s="5">
        <v>1342.5</v>
      </c>
      <c r="E512" s="5"/>
    </row>
    <row r="513" spans="1:5">
      <c r="A513" s="7">
        <v>96735574</v>
      </c>
      <c r="B513" s="7" t="s">
        <v>1523</v>
      </c>
      <c r="C513" s="61">
        <v>4986</v>
      </c>
      <c r="D513" s="5">
        <v>2493</v>
      </c>
      <c r="E513" s="5"/>
    </row>
    <row r="514" spans="1:5">
      <c r="A514" s="7">
        <v>99141773</v>
      </c>
      <c r="B514" s="7" t="s">
        <v>1670</v>
      </c>
      <c r="C514" s="61">
        <v>13059</v>
      </c>
      <c r="D514" s="5">
        <v>6529.5</v>
      </c>
      <c r="E514" s="5"/>
    </row>
    <row r="515" spans="1:5">
      <c r="A515" s="7">
        <v>99141774</v>
      </c>
      <c r="B515" s="7" t="s">
        <v>1671</v>
      </c>
      <c r="C515" s="61">
        <v>16078</v>
      </c>
      <c r="D515" s="5">
        <v>8039</v>
      </c>
      <c r="E515" s="5"/>
    </row>
    <row r="516" spans="1:5">
      <c r="A516" s="7">
        <v>99141775</v>
      </c>
      <c r="B516" s="7" t="s">
        <v>1672</v>
      </c>
      <c r="C516" s="61">
        <v>20590</v>
      </c>
      <c r="D516" s="5">
        <v>10295</v>
      </c>
      <c r="E516" s="5"/>
    </row>
    <row r="517" spans="1:5">
      <c r="A517" s="7">
        <v>99141776</v>
      </c>
      <c r="B517" s="7" t="s">
        <v>1673</v>
      </c>
      <c r="C517" s="61">
        <v>25642</v>
      </c>
      <c r="D517" s="5">
        <v>12821</v>
      </c>
      <c r="E517" s="5"/>
    </row>
    <row r="518" spans="1:5">
      <c r="A518" s="7">
        <v>99141777</v>
      </c>
      <c r="B518" s="7" t="s">
        <v>1674</v>
      </c>
      <c r="C518" s="61">
        <v>28913</v>
      </c>
      <c r="D518" s="5">
        <v>14456.5</v>
      </c>
      <c r="E518" s="5"/>
    </row>
    <row r="519" spans="1:5">
      <c r="A519" s="7">
        <v>99141778</v>
      </c>
      <c r="B519" s="7" t="s">
        <v>1675</v>
      </c>
      <c r="C519" s="61">
        <v>32333</v>
      </c>
      <c r="D519" s="5">
        <v>16166.5</v>
      </c>
      <c r="E519" s="5"/>
    </row>
    <row r="520" spans="1:5">
      <c r="A520" s="7">
        <v>99141779</v>
      </c>
      <c r="B520" s="7" t="s">
        <v>1676</v>
      </c>
      <c r="C520" s="61">
        <v>36036</v>
      </c>
      <c r="D520" s="5">
        <v>18018</v>
      </c>
      <c r="E520" s="5"/>
    </row>
    <row r="521" spans="1:5">
      <c r="A521" s="7">
        <v>99141780</v>
      </c>
      <c r="B521" s="7" t="s">
        <v>1677</v>
      </c>
      <c r="C521" s="61">
        <v>41340</v>
      </c>
      <c r="D521" s="5">
        <v>20670</v>
      </c>
      <c r="E521" s="5"/>
    </row>
    <row r="522" spans="1:5">
      <c r="A522" s="7">
        <v>99142660</v>
      </c>
      <c r="B522" s="7" t="s">
        <v>1678</v>
      </c>
      <c r="C522" s="61">
        <v>20924</v>
      </c>
      <c r="D522" s="5">
        <v>10462</v>
      </c>
      <c r="E522" s="5"/>
    </row>
    <row r="523" spans="1:5">
      <c r="A523" s="7">
        <v>99142662</v>
      </c>
      <c r="B523" s="7" t="s">
        <v>1679</v>
      </c>
      <c r="C523" s="61">
        <v>26059</v>
      </c>
      <c r="D523" s="5">
        <v>13029.5</v>
      </c>
      <c r="E523" s="5"/>
    </row>
    <row r="524" spans="1:5">
      <c r="A524" s="7">
        <v>99142693</v>
      </c>
      <c r="B524" s="7" t="s">
        <v>1680</v>
      </c>
      <c r="C524" s="61">
        <v>30533</v>
      </c>
      <c r="D524" s="5">
        <v>15266.5</v>
      </c>
      <c r="E524" s="5"/>
    </row>
    <row r="525" spans="1:5">
      <c r="A525" s="7">
        <v>99142694</v>
      </c>
      <c r="B525" s="7" t="s">
        <v>1681</v>
      </c>
      <c r="C525" s="61">
        <v>34147</v>
      </c>
      <c r="D525" s="5">
        <v>17073.5</v>
      </c>
      <c r="E525" s="5"/>
    </row>
    <row r="526" spans="1:5">
      <c r="A526" s="7">
        <v>99143286</v>
      </c>
      <c r="B526" s="7" t="s">
        <v>1682</v>
      </c>
      <c r="C526" s="61">
        <v>20932</v>
      </c>
      <c r="D526" s="5">
        <v>10466</v>
      </c>
      <c r="E526" s="5"/>
    </row>
    <row r="527" spans="1:5">
      <c r="A527" s="7">
        <v>99143287</v>
      </c>
      <c r="B527" s="7" t="s">
        <v>1683</v>
      </c>
      <c r="C527" s="61">
        <v>26069</v>
      </c>
      <c r="D527" s="5">
        <v>13034.5</v>
      </c>
      <c r="E527" s="5"/>
    </row>
    <row r="528" spans="1:5">
      <c r="A528" s="7">
        <v>99143288</v>
      </c>
      <c r="B528" s="7" t="s">
        <v>1684</v>
      </c>
      <c r="C528" s="61">
        <v>34160</v>
      </c>
      <c r="D528" s="5">
        <v>17080</v>
      </c>
      <c r="E528" s="5"/>
    </row>
    <row r="529" spans="1:5">
      <c r="A529" s="7">
        <v>99143751</v>
      </c>
      <c r="B529" s="7" t="s">
        <v>1685</v>
      </c>
      <c r="C529" s="61">
        <v>35921</v>
      </c>
      <c r="D529" s="5">
        <v>17960.5</v>
      </c>
      <c r="E529" s="5"/>
    </row>
    <row r="530" spans="1:5">
      <c r="A530" s="7">
        <v>99143752</v>
      </c>
      <c r="B530" s="7" t="s">
        <v>1686</v>
      </c>
      <c r="C530" s="61">
        <v>39435</v>
      </c>
      <c r="D530" s="5">
        <v>19717.5</v>
      </c>
      <c r="E530" s="5"/>
    </row>
    <row r="531" spans="1:5">
      <c r="A531" s="7">
        <v>99144230</v>
      </c>
      <c r="B531" s="7" t="s">
        <v>1687</v>
      </c>
      <c r="C531" s="61">
        <v>39435</v>
      </c>
      <c r="D531" s="5">
        <v>19717.5</v>
      </c>
      <c r="E531" s="5"/>
    </row>
    <row r="532" spans="1:5">
      <c r="A532" s="7">
        <v>99751473</v>
      </c>
      <c r="B532" s="7" t="s">
        <v>1688</v>
      </c>
      <c r="C532" s="61">
        <v>45836</v>
      </c>
      <c r="D532" s="5">
        <v>22918</v>
      </c>
      <c r="E532" s="5"/>
    </row>
    <row r="533" spans="1:5">
      <c r="A533" s="7">
        <v>99751475</v>
      </c>
      <c r="B533" s="7" t="s">
        <v>1689</v>
      </c>
      <c r="C533" s="61">
        <v>54931</v>
      </c>
      <c r="D533" s="5">
        <v>27465.5</v>
      </c>
      <c r="E533" s="5"/>
    </row>
    <row r="534" spans="1:5">
      <c r="A534" s="7">
        <v>99751476</v>
      </c>
      <c r="B534" s="7" t="s">
        <v>1690</v>
      </c>
      <c r="C534" s="61">
        <v>56236</v>
      </c>
      <c r="D534" s="5">
        <v>28118</v>
      </c>
      <c r="E534" s="5"/>
    </row>
    <row r="535" spans="1:5">
      <c r="A535" s="7">
        <v>99751572</v>
      </c>
      <c r="B535" s="7" t="s">
        <v>1691</v>
      </c>
      <c r="C535" s="61">
        <v>32293</v>
      </c>
      <c r="D535" s="5">
        <v>16146.5</v>
      </c>
      <c r="E535" s="5"/>
    </row>
    <row r="536" spans="1:5">
      <c r="A536" s="7">
        <v>99751575</v>
      </c>
      <c r="B536" s="7" t="s">
        <v>1692</v>
      </c>
      <c r="C536" s="61">
        <v>36344</v>
      </c>
      <c r="D536" s="5">
        <v>18172</v>
      </c>
      <c r="E536" s="5"/>
    </row>
    <row r="537" spans="1:5">
      <c r="A537" s="7">
        <v>99751579</v>
      </c>
      <c r="B537" s="7" t="s">
        <v>1693</v>
      </c>
      <c r="C537" s="61">
        <v>37959</v>
      </c>
      <c r="D537" s="5">
        <v>18979.5</v>
      </c>
      <c r="E537" s="5"/>
    </row>
    <row r="538" spans="1:5">
      <c r="A538" s="7">
        <v>99751582</v>
      </c>
      <c r="B538" s="7" t="s">
        <v>1694</v>
      </c>
      <c r="C538" s="61">
        <v>46209</v>
      </c>
      <c r="D538" s="5">
        <v>23104.5</v>
      </c>
      <c r="E538" s="5"/>
    </row>
    <row r="539" spans="1:5">
      <c r="A539" s="7">
        <v>99751583</v>
      </c>
      <c r="B539" s="7" t="s">
        <v>1695</v>
      </c>
      <c r="C539" s="61">
        <v>56689</v>
      </c>
      <c r="D539" s="5">
        <v>28344.5</v>
      </c>
      <c r="E539" s="5"/>
    </row>
    <row r="540" spans="1:5">
      <c r="A540" s="7">
        <v>99751585</v>
      </c>
      <c r="B540" s="7" t="s">
        <v>1696</v>
      </c>
      <c r="C540" s="61">
        <v>68687</v>
      </c>
      <c r="D540" s="5">
        <v>34343.5</v>
      </c>
      <c r="E540" s="5"/>
    </row>
    <row r="541" spans="1:5">
      <c r="A541" s="7">
        <v>99751587</v>
      </c>
      <c r="B541" s="7" t="s">
        <v>1697</v>
      </c>
      <c r="C541" s="61">
        <v>70301</v>
      </c>
      <c r="D541" s="5">
        <v>35150.5</v>
      </c>
      <c r="E541" s="5"/>
    </row>
    <row r="542" spans="1:5">
      <c r="A542" s="7">
        <v>99751588</v>
      </c>
      <c r="B542" s="7" t="s">
        <v>1698</v>
      </c>
      <c r="C542" s="61">
        <v>74427</v>
      </c>
      <c r="D542" s="5">
        <v>37213.5</v>
      </c>
      <c r="E542" s="5"/>
    </row>
    <row r="543" spans="1:5">
      <c r="A543" s="7">
        <v>99751590</v>
      </c>
      <c r="B543" s="7" t="s">
        <v>1699</v>
      </c>
      <c r="C543" s="61">
        <v>76042</v>
      </c>
      <c r="D543" s="5">
        <v>38021</v>
      </c>
      <c r="E543" s="5"/>
    </row>
    <row r="544" spans="1:5">
      <c r="A544" s="7">
        <v>99751605</v>
      </c>
      <c r="B544" s="7" t="s">
        <v>1700</v>
      </c>
      <c r="C544" s="61">
        <v>32293</v>
      </c>
      <c r="D544" s="5">
        <v>16146.5</v>
      </c>
      <c r="E544" s="5"/>
    </row>
    <row r="545" spans="1:5">
      <c r="A545" s="62">
        <v>99751607</v>
      </c>
      <c r="B545" s="7" t="s">
        <v>1701</v>
      </c>
      <c r="C545" s="61">
        <v>37959</v>
      </c>
      <c r="D545" s="5">
        <v>18979.5</v>
      </c>
      <c r="E545" s="5"/>
    </row>
    <row r="546" spans="1:5">
      <c r="A546" s="7">
        <v>99751610</v>
      </c>
      <c r="B546" s="7" t="s">
        <v>1702</v>
      </c>
      <c r="C546" s="61">
        <v>46209</v>
      </c>
      <c r="D546" s="5">
        <v>23104.5</v>
      </c>
      <c r="E546" s="5"/>
    </row>
    <row r="547" spans="1:5">
      <c r="A547" s="7">
        <v>99751612</v>
      </c>
      <c r="B547" s="7" t="s">
        <v>1703</v>
      </c>
      <c r="C547" s="61">
        <v>58560</v>
      </c>
      <c r="D547" s="5">
        <v>29280</v>
      </c>
      <c r="E547" s="5"/>
    </row>
    <row r="548" spans="1:5">
      <c r="A548" s="7">
        <v>99751614</v>
      </c>
      <c r="B548" s="7" t="s">
        <v>1704</v>
      </c>
      <c r="C548" s="61">
        <v>70301</v>
      </c>
      <c r="D548" s="5">
        <v>35150.5</v>
      </c>
      <c r="E548" s="5"/>
    </row>
    <row r="549" spans="1:5">
      <c r="A549" s="7">
        <v>99751617</v>
      </c>
      <c r="B549" s="7" t="s">
        <v>1705</v>
      </c>
      <c r="C549" s="61">
        <v>70301</v>
      </c>
      <c r="D549" s="5">
        <v>35150.5</v>
      </c>
      <c r="E549" s="5"/>
    </row>
    <row r="550" spans="1:5">
      <c r="A550" s="7">
        <v>99751619</v>
      </c>
      <c r="B550" s="7" t="s">
        <v>1706</v>
      </c>
      <c r="C550" s="61">
        <v>77943</v>
      </c>
      <c r="D550" s="5">
        <v>38971.5</v>
      </c>
      <c r="E550" s="5"/>
    </row>
    <row r="551" spans="1:5">
      <c r="A551" s="7">
        <v>99751647</v>
      </c>
      <c r="B551" s="7" t="s">
        <v>1707</v>
      </c>
      <c r="C551" s="61">
        <v>86354</v>
      </c>
      <c r="D551" s="5">
        <v>43177</v>
      </c>
      <c r="E551" s="5"/>
    </row>
    <row r="552" spans="1:5">
      <c r="A552" s="7">
        <v>99751651</v>
      </c>
      <c r="B552" s="7" t="s">
        <v>1708</v>
      </c>
      <c r="C552" s="61">
        <v>87969</v>
      </c>
      <c r="D552" s="5">
        <v>43984.5</v>
      </c>
      <c r="E552" s="5"/>
    </row>
    <row r="553" spans="1:5">
      <c r="A553" s="7">
        <v>99751654</v>
      </c>
      <c r="B553" s="7" t="s">
        <v>1709</v>
      </c>
      <c r="C553" s="61">
        <v>86354</v>
      </c>
      <c r="D553" s="5">
        <v>43177</v>
      </c>
      <c r="E553" s="5"/>
    </row>
    <row r="554" spans="1:5">
      <c r="A554" s="7">
        <v>99751655</v>
      </c>
      <c r="B554" s="7" t="s">
        <v>1710</v>
      </c>
      <c r="C554" s="61">
        <v>87969</v>
      </c>
      <c r="D554" s="5">
        <v>43984.5</v>
      </c>
      <c r="E554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Q118"/>
  <sheetViews>
    <sheetView workbookViewId="0"/>
  </sheetViews>
  <sheetFormatPr defaultColWidth="12.5703125" defaultRowHeight="15.75" customHeight="1"/>
  <sheetData>
    <row r="1" spans="1:17">
      <c r="A1" s="7" t="s">
        <v>66</v>
      </c>
      <c r="B1" s="7" t="s">
        <v>8</v>
      </c>
      <c r="C1" s="7" t="s">
        <v>701</v>
      </c>
      <c r="D1" s="7" t="s">
        <v>288</v>
      </c>
      <c r="E1" s="7" t="s">
        <v>703</v>
      </c>
      <c r="F1" s="7" t="s">
        <v>705</v>
      </c>
      <c r="G1" s="7" t="s">
        <v>722</v>
      </c>
      <c r="H1" s="7" t="s">
        <v>723</v>
      </c>
      <c r="I1" s="7" t="s">
        <v>695</v>
      </c>
      <c r="J1" s="7" t="s">
        <v>706</v>
      </c>
      <c r="K1" s="7" t="s">
        <v>724</v>
      </c>
      <c r="L1" s="8" t="s">
        <v>725</v>
      </c>
      <c r="M1" s="7" t="s">
        <v>726</v>
      </c>
      <c r="N1" s="7" t="s">
        <v>727</v>
      </c>
      <c r="O1" s="7" t="s">
        <v>728</v>
      </c>
      <c r="P1" s="7" t="s">
        <v>729</v>
      </c>
      <c r="Q1" s="7" t="s">
        <v>773</v>
      </c>
    </row>
    <row r="2" spans="1:17">
      <c r="A2" s="7">
        <v>92959167</v>
      </c>
      <c r="B2" s="7" t="s">
        <v>1711</v>
      </c>
      <c r="C2" s="61">
        <v>31419</v>
      </c>
      <c r="D2" s="5">
        <v>15709.5</v>
      </c>
      <c r="E2" s="5"/>
    </row>
    <row r="3" spans="1:17">
      <c r="A3" s="7">
        <v>92959172</v>
      </c>
      <c r="B3" s="7" t="s">
        <v>1712</v>
      </c>
      <c r="C3" s="61">
        <v>36195</v>
      </c>
      <c r="D3" s="5">
        <v>18097.5</v>
      </c>
      <c r="E3" s="5"/>
    </row>
    <row r="4" spans="1:17">
      <c r="A4" s="7">
        <v>92959178</v>
      </c>
      <c r="B4" s="7" t="s">
        <v>1713</v>
      </c>
      <c r="C4" s="61">
        <v>40640</v>
      </c>
      <c r="D4" s="5">
        <v>20320</v>
      </c>
      <c r="E4" s="5"/>
    </row>
    <row r="5" spans="1:17">
      <c r="A5" s="7">
        <v>92959207</v>
      </c>
      <c r="B5" s="7" t="s">
        <v>1714</v>
      </c>
      <c r="C5" s="61">
        <v>29447</v>
      </c>
      <c r="D5" s="5">
        <v>14723.5</v>
      </c>
      <c r="E5" s="5"/>
    </row>
    <row r="6" spans="1:17">
      <c r="A6" s="7">
        <v>92959217</v>
      </c>
      <c r="B6" s="7" t="s">
        <v>1715</v>
      </c>
      <c r="C6" s="61">
        <v>36927</v>
      </c>
      <c r="D6" s="5">
        <v>18463.5</v>
      </c>
      <c r="E6" s="5"/>
    </row>
    <row r="7" spans="1:17">
      <c r="A7" s="7">
        <v>92959229</v>
      </c>
      <c r="B7" s="7" t="s">
        <v>1716</v>
      </c>
      <c r="C7" s="61">
        <v>36450</v>
      </c>
      <c r="D7" s="5">
        <v>18225</v>
      </c>
      <c r="E7" s="5"/>
    </row>
    <row r="8" spans="1:17">
      <c r="A8" s="7">
        <v>92962319</v>
      </c>
      <c r="B8" s="7" t="s">
        <v>1717</v>
      </c>
      <c r="C8" s="61">
        <v>29534</v>
      </c>
      <c r="D8" s="5">
        <v>14767</v>
      </c>
      <c r="E8" s="5"/>
    </row>
    <row r="9" spans="1:17">
      <c r="A9" s="7">
        <v>92962320</v>
      </c>
      <c r="B9" s="7" t="s">
        <v>1718</v>
      </c>
      <c r="C9" s="61">
        <v>30322</v>
      </c>
      <c r="D9" s="5">
        <v>15161</v>
      </c>
      <c r="E9" s="5"/>
    </row>
    <row r="10" spans="1:17">
      <c r="A10" s="7">
        <v>92962321</v>
      </c>
      <c r="B10" s="7" t="s">
        <v>1719</v>
      </c>
      <c r="C10" s="61">
        <v>33251</v>
      </c>
      <c r="D10" s="5">
        <v>16625.5</v>
      </c>
      <c r="E10" s="5"/>
    </row>
    <row r="11" spans="1:17">
      <c r="A11" s="7">
        <v>92962322</v>
      </c>
      <c r="B11" s="7" t="s">
        <v>1720</v>
      </c>
      <c r="C11" s="61">
        <v>34039</v>
      </c>
      <c r="D11" s="5">
        <v>17019.5</v>
      </c>
      <c r="E11" s="5"/>
    </row>
    <row r="12" spans="1:17">
      <c r="A12" s="7">
        <v>92962323</v>
      </c>
      <c r="B12" s="7" t="s">
        <v>1720</v>
      </c>
      <c r="C12" s="61">
        <v>35685</v>
      </c>
      <c r="D12" s="5">
        <v>17842.5</v>
      </c>
      <c r="E12" s="5"/>
    </row>
    <row r="13" spans="1:17">
      <c r="A13" s="7">
        <v>92962324</v>
      </c>
      <c r="B13" s="7" t="s">
        <v>1721</v>
      </c>
      <c r="C13" s="61">
        <v>38856</v>
      </c>
      <c r="D13" s="5">
        <v>19428</v>
      </c>
      <c r="E13" s="5"/>
    </row>
    <row r="14" spans="1:17">
      <c r="A14" s="7">
        <v>92962325</v>
      </c>
      <c r="B14" s="7" t="s">
        <v>1721</v>
      </c>
      <c r="C14" s="61">
        <v>40111</v>
      </c>
      <c r="D14" s="5">
        <v>20055.5</v>
      </c>
      <c r="E14" s="5"/>
    </row>
    <row r="15" spans="1:17">
      <c r="A15" s="7">
        <v>92962335</v>
      </c>
      <c r="B15" s="7" t="s">
        <v>1722</v>
      </c>
      <c r="C15" s="61">
        <v>29581</v>
      </c>
      <c r="D15" s="5">
        <v>14790.5</v>
      </c>
      <c r="E15" s="5"/>
    </row>
    <row r="16" spans="1:17">
      <c r="A16" s="7">
        <v>92962336</v>
      </c>
      <c r="B16" s="7" t="s">
        <v>1723</v>
      </c>
      <c r="C16" s="61">
        <v>33189</v>
      </c>
      <c r="D16" s="5">
        <v>16594.5</v>
      </c>
      <c r="E16" s="5"/>
    </row>
    <row r="17" spans="1:5">
      <c r="A17" s="7">
        <v>92962337</v>
      </c>
      <c r="B17" s="7" t="s">
        <v>1723</v>
      </c>
      <c r="C17" s="61">
        <v>34834</v>
      </c>
      <c r="D17" s="5">
        <v>17417</v>
      </c>
      <c r="E17" s="5"/>
    </row>
    <row r="18" spans="1:5">
      <c r="A18" s="7">
        <v>92962339</v>
      </c>
      <c r="B18" s="7" t="s">
        <v>1724</v>
      </c>
      <c r="C18" s="61">
        <v>39651</v>
      </c>
      <c r="D18" s="5">
        <v>19825.5</v>
      </c>
      <c r="E18" s="5"/>
    </row>
    <row r="19" spans="1:5">
      <c r="A19" s="7">
        <v>92962361</v>
      </c>
      <c r="B19" s="7" t="s">
        <v>1725</v>
      </c>
      <c r="C19" s="61">
        <v>28827</v>
      </c>
      <c r="D19" s="5">
        <v>14413.5</v>
      </c>
      <c r="E19" s="5"/>
    </row>
    <row r="20" spans="1:5">
      <c r="A20" s="7">
        <v>92962362</v>
      </c>
      <c r="B20" s="7" t="s">
        <v>1726</v>
      </c>
      <c r="C20" s="61">
        <v>33950</v>
      </c>
      <c r="D20" s="5">
        <v>16975</v>
      </c>
      <c r="E20" s="5"/>
    </row>
    <row r="21" spans="1:5">
      <c r="A21" s="7">
        <v>92962365</v>
      </c>
      <c r="B21" s="7" t="s">
        <v>1727</v>
      </c>
      <c r="C21" s="61">
        <v>38361</v>
      </c>
      <c r="D21" s="5">
        <v>19180.5</v>
      </c>
      <c r="E21" s="5"/>
    </row>
    <row r="22" spans="1:5">
      <c r="A22" s="7">
        <v>93151355</v>
      </c>
      <c r="B22" s="7" t="s">
        <v>1728</v>
      </c>
      <c r="C22" s="61">
        <v>4405</v>
      </c>
      <c r="D22" s="5">
        <v>2202.5</v>
      </c>
      <c r="E22" s="5"/>
    </row>
    <row r="23" spans="1:5">
      <c r="A23" s="7">
        <v>93151356</v>
      </c>
      <c r="B23" s="7" t="s">
        <v>1729</v>
      </c>
      <c r="C23" s="61">
        <v>4504</v>
      </c>
      <c r="D23" s="5">
        <v>2252</v>
      </c>
      <c r="E23" s="5"/>
    </row>
    <row r="24" spans="1:5">
      <c r="A24" s="7">
        <v>93151357</v>
      </c>
      <c r="B24" s="7" t="s">
        <v>1730</v>
      </c>
      <c r="C24" s="61">
        <v>4713</v>
      </c>
      <c r="D24" s="5">
        <v>2356.5</v>
      </c>
      <c r="E24" s="5"/>
    </row>
    <row r="25" spans="1:5">
      <c r="A25" s="7">
        <v>93151358</v>
      </c>
      <c r="B25" s="7" t="s">
        <v>1731</v>
      </c>
      <c r="C25" s="61">
        <v>4814</v>
      </c>
      <c r="D25" s="5">
        <v>2407</v>
      </c>
      <c r="E25" s="5"/>
    </row>
    <row r="26" spans="1:5">
      <c r="A26" s="7">
        <v>93151359</v>
      </c>
      <c r="B26" s="7" t="s">
        <v>1731</v>
      </c>
      <c r="C26" s="61">
        <v>4906</v>
      </c>
      <c r="D26" s="5">
        <v>2453</v>
      </c>
      <c r="E26" s="5"/>
    </row>
    <row r="27" spans="1:5">
      <c r="A27" s="7">
        <v>93151361</v>
      </c>
      <c r="B27" s="7" t="s">
        <v>1732</v>
      </c>
      <c r="C27" s="61">
        <v>5247</v>
      </c>
      <c r="D27" s="5">
        <v>2623.5</v>
      </c>
      <c r="E27" s="5"/>
    </row>
    <row r="28" spans="1:5">
      <c r="A28" s="7">
        <v>93151364</v>
      </c>
      <c r="B28" s="7" t="s">
        <v>1733</v>
      </c>
      <c r="C28" s="61">
        <v>6071</v>
      </c>
      <c r="D28" s="5">
        <v>3035.5</v>
      </c>
      <c r="E28" s="5"/>
    </row>
    <row r="29" spans="1:5">
      <c r="A29" s="7">
        <v>93151365</v>
      </c>
      <c r="B29" s="7" t="s">
        <v>1734</v>
      </c>
      <c r="C29" s="61">
        <v>7327</v>
      </c>
      <c r="D29" s="5">
        <v>3663.5</v>
      </c>
      <c r="E29" s="5"/>
    </row>
    <row r="30" spans="1:5">
      <c r="A30" s="7">
        <v>93151366</v>
      </c>
      <c r="B30" s="7" t="s">
        <v>1735</v>
      </c>
      <c r="C30" s="61">
        <v>4320</v>
      </c>
      <c r="D30" s="5">
        <v>2160</v>
      </c>
      <c r="E30" s="5"/>
    </row>
    <row r="31" spans="1:5">
      <c r="A31" s="7">
        <v>93151367</v>
      </c>
      <c r="B31" s="7" t="s">
        <v>1736</v>
      </c>
      <c r="C31" s="61">
        <v>4492</v>
      </c>
      <c r="D31" s="5">
        <v>2246</v>
      </c>
      <c r="E31" s="5"/>
    </row>
    <row r="32" spans="1:5">
      <c r="A32" s="7">
        <v>93151370</v>
      </c>
      <c r="B32" s="7" t="s">
        <v>1737</v>
      </c>
      <c r="C32" s="61">
        <v>4669</v>
      </c>
      <c r="D32" s="5">
        <v>2334.5</v>
      </c>
      <c r="E32" s="5"/>
    </row>
    <row r="33" spans="1:5">
      <c r="A33" s="7">
        <v>93151372</v>
      </c>
      <c r="B33" s="7" t="s">
        <v>1738</v>
      </c>
      <c r="C33" s="61">
        <v>5354</v>
      </c>
      <c r="D33" s="5">
        <v>2677</v>
      </c>
      <c r="E33" s="5"/>
    </row>
    <row r="34" spans="1:5">
      <c r="A34" s="7">
        <v>93151375</v>
      </c>
      <c r="B34" s="7" t="s">
        <v>1739</v>
      </c>
      <c r="C34" s="61">
        <v>6496</v>
      </c>
      <c r="D34" s="5">
        <v>3248</v>
      </c>
      <c r="E34" s="5"/>
    </row>
    <row r="35" spans="1:5">
      <c r="A35" s="7">
        <v>93151376</v>
      </c>
      <c r="B35" s="7" t="s">
        <v>1740</v>
      </c>
      <c r="C35" s="61">
        <v>4531</v>
      </c>
      <c r="D35" s="5">
        <v>2265.5</v>
      </c>
      <c r="E35" s="5"/>
    </row>
    <row r="36" spans="1:5">
      <c r="A36" s="7">
        <v>93151377</v>
      </c>
      <c r="B36" s="7" t="s">
        <v>1740</v>
      </c>
      <c r="C36" s="61">
        <v>4623</v>
      </c>
      <c r="D36" s="5">
        <v>2311.5</v>
      </c>
      <c r="E36" s="5"/>
    </row>
    <row r="37" spans="1:5">
      <c r="A37" s="7">
        <v>93151378</v>
      </c>
      <c r="B37" s="7" t="s">
        <v>1741</v>
      </c>
      <c r="C37" s="61">
        <v>5042</v>
      </c>
      <c r="D37" s="5">
        <v>2521</v>
      </c>
      <c r="E37" s="5"/>
    </row>
    <row r="38" spans="1:5">
      <c r="A38" s="7">
        <v>93151380</v>
      </c>
      <c r="B38" s="7" t="s">
        <v>1742</v>
      </c>
      <c r="C38" s="61">
        <v>5601</v>
      </c>
      <c r="D38" s="5">
        <v>2800.5</v>
      </c>
      <c r="E38" s="5"/>
    </row>
    <row r="39" spans="1:5">
      <c r="A39" s="7">
        <v>93151382</v>
      </c>
      <c r="B39" s="7" t="s">
        <v>1728</v>
      </c>
      <c r="C39" s="61">
        <v>4795</v>
      </c>
      <c r="D39" s="5">
        <v>2397.5</v>
      </c>
      <c r="E39" s="5"/>
    </row>
    <row r="40" spans="1:5">
      <c r="A40" s="7">
        <v>93151383</v>
      </c>
      <c r="B40" s="7" t="s">
        <v>1729</v>
      </c>
      <c r="C40" s="61">
        <v>4894</v>
      </c>
      <c r="D40" s="5">
        <v>2447</v>
      </c>
      <c r="E40" s="5"/>
    </row>
    <row r="41" spans="1:5">
      <c r="A41" s="7">
        <v>93151384</v>
      </c>
      <c r="B41" s="7" t="s">
        <v>1730</v>
      </c>
      <c r="C41" s="61">
        <v>5111</v>
      </c>
      <c r="D41" s="5">
        <v>2555.5</v>
      </c>
      <c r="E41" s="5"/>
    </row>
    <row r="42" spans="1:5">
      <c r="A42" s="7">
        <v>93151386</v>
      </c>
      <c r="B42" s="7" t="s">
        <v>1731</v>
      </c>
      <c r="C42" s="61">
        <v>5212</v>
      </c>
      <c r="D42" s="5">
        <v>2606</v>
      </c>
      <c r="E42" s="5"/>
    </row>
    <row r="43" spans="1:5">
      <c r="A43" s="7">
        <v>93151387</v>
      </c>
      <c r="B43" s="7" t="s">
        <v>1731</v>
      </c>
      <c r="C43" s="61">
        <v>5348</v>
      </c>
      <c r="D43" s="5">
        <v>2674</v>
      </c>
      <c r="E43" s="5"/>
    </row>
    <row r="44" spans="1:5">
      <c r="A44" s="7">
        <v>93151388</v>
      </c>
      <c r="B44" s="7" t="s">
        <v>1732</v>
      </c>
      <c r="C44" s="61">
        <v>5689</v>
      </c>
      <c r="D44" s="5">
        <v>2844.5</v>
      </c>
      <c r="E44" s="5"/>
    </row>
    <row r="45" spans="1:5">
      <c r="A45" s="7">
        <v>93151390</v>
      </c>
      <c r="B45" s="7" t="s">
        <v>1743</v>
      </c>
      <c r="C45" s="61">
        <v>6824</v>
      </c>
      <c r="D45" s="5">
        <v>3412</v>
      </c>
      <c r="E45" s="5"/>
    </row>
    <row r="46" spans="1:5">
      <c r="A46" s="7">
        <v>93151392</v>
      </c>
      <c r="B46" s="7" t="s">
        <v>1733</v>
      </c>
      <c r="C46" s="61">
        <v>6561</v>
      </c>
      <c r="D46" s="5">
        <v>3280.5</v>
      </c>
      <c r="E46" s="5"/>
    </row>
    <row r="47" spans="1:5">
      <c r="A47" s="7">
        <v>93151393</v>
      </c>
      <c r="B47" s="7" t="s">
        <v>1734</v>
      </c>
      <c r="C47" s="61">
        <v>7717</v>
      </c>
      <c r="D47" s="5">
        <v>3858.5</v>
      </c>
      <c r="E47" s="5"/>
    </row>
    <row r="48" spans="1:5">
      <c r="A48" s="7">
        <v>93151394</v>
      </c>
      <c r="B48" s="7" t="s">
        <v>1734</v>
      </c>
      <c r="C48" s="61">
        <v>8409</v>
      </c>
      <c r="D48" s="5">
        <v>4204.5</v>
      </c>
      <c r="E48" s="5"/>
    </row>
    <row r="49" spans="1:5">
      <c r="A49" s="7">
        <v>93151396</v>
      </c>
      <c r="B49" s="7" t="s">
        <v>1744</v>
      </c>
      <c r="C49" s="61">
        <v>8694</v>
      </c>
      <c r="D49" s="5">
        <v>4347</v>
      </c>
      <c r="E49" s="5"/>
    </row>
    <row r="50" spans="1:5">
      <c r="A50" s="7">
        <v>93151410</v>
      </c>
      <c r="B50" s="7" t="s">
        <v>1735</v>
      </c>
      <c r="C50" s="61">
        <v>4707</v>
      </c>
      <c r="D50" s="5">
        <v>2353.5</v>
      </c>
      <c r="E50" s="5"/>
    </row>
    <row r="51" spans="1:5">
      <c r="A51" s="7">
        <v>93151413</v>
      </c>
      <c r="B51" s="7" t="s">
        <v>1736</v>
      </c>
      <c r="C51" s="61">
        <v>4887</v>
      </c>
      <c r="D51" s="5">
        <v>2443.5</v>
      </c>
      <c r="E51" s="5"/>
    </row>
    <row r="52" spans="1:5">
      <c r="A52" s="7">
        <v>93151417</v>
      </c>
      <c r="B52" s="7" t="s">
        <v>1737</v>
      </c>
      <c r="C52" s="61">
        <v>5108</v>
      </c>
      <c r="D52" s="5">
        <v>2554</v>
      </c>
      <c r="E52" s="5"/>
    </row>
    <row r="53" spans="1:5">
      <c r="A53" s="7">
        <v>93151419</v>
      </c>
      <c r="B53" s="7" t="s">
        <v>1738</v>
      </c>
      <c r="C53" s="61">
        <v>5841</v>
      </c>
      <c r="D53" s="5">
        <v>2920.5</v>
      </c>
      <c r="E53" s="5"/>
    </row>
    <row r="54" spans="1:5">
      <c r="A54" s="7">
        <v>93151422</v>
      </c>
      <c r="B54" s="7" t="s">
        <v>1739</v>
      </c>
      <c r="C54" s="61">
        <v>6883</v>
      </c>
      <c r="D54" s="5">
        <v>3441.5</v>
      </c>
      <c r="E54" s="5"/>
    </row>
    <row r="55" spans="1:5">
      <c r="A55" s="7">
        <v>93151424</v>
      </c>
      <c r="B55" s="7" t="s">
        <v>1745</v>
      </c>
      <c r="C55" s="61">
        <v>7820</v>
      </c>
      <c r="D55" s="5">
        <v>3910</v>
      </c>
      <c r="E55" s="5"/>
    </row>
    <row r="56" spans="1:5">
      <c r="A56" s="7">
        <v>93151429</v>
      </c>
      <c r="B56" s="7" t="s">
        <v>1746</v>
      </c>
      <c r="C56" s="61">
        <v>10172</v>
      </c>
      <c r="D56" s="5">
        <v>5086</v>
      </c>
      <c r="E56" s="5"/>
    </row>
    <row r="57" spans="1:5">
      <c r="A57" s="7">
        <v>93151430</v>
      </c>
      <c r="B57" s="7" t="s">
        <v>1740</v>
      </c>
      <c r="C57" s="61">
        <v>4928</v>
      </c>
      <c r="D57" s="5">
        <v>2464</v>
      </c>
      <c r="E57" s="5"/>
    </row>
    <row r="58" spans="1:5">
      <c r="A58" s="7">
        <v>93151433</v>
      </c>
      <c r="B58" s="7" t="s">
        <v>1741</v>
      </c>
      <c r="C58" s="61">
        <v>5529</v>
      </c>
      <c r="D58" s="5">
        <v>2764.5</v>
      </c>
      <c r="E58" s="5"/>
    </row>
    <row r="59" spans="1:5">
      <c r="A59" s="7">
        <v>93151437</v>
      </c>
      <c r="B59" s="7" t="s">
        <v>1742</v>
      </c>
      <c r="C59" s="61">
        <v>5989</v>
      </c>
      <c r="D59" s="5">
        <v>2994.5</v>
      </c>
      <c r="E59" s="5"/>
    </row>
    <row r="60" spans="1:5">
      <c r="A60" s="7">
        <v>93151439</v>
      </c>
      <c r="B60" s="7" t="s">
        <v>1747</v>
      </c>
      <c r="C60" s="61">
        <v>7420</v>
      </c>
      <c r="D60" s="5">
        <v>3710</v>
      </c>
      <c r="E60" s="5"/>
    </row>
    <row r="61" spans="1:5">
      <c r="A61" s="7">
        <v>93151442</v>
      </c>
      <c r="B61" s="7" t="s">
        <v>1748</v>
      </c>
      <c r="C61" s="61">
        <v>8750</v>
      </c>
      <c r="D61" s="5">
        <v>4375</v>
      </c>
      <c r="E61" s="5"/>
    </row>
    <row r="62" spans="1:5">
      <c r="A62" s="7">
        <v>93151443</v>
      </c>
      <c r="B62" s="7" t="s">
        <v>1748</v>
      </c>
      <c r="C62" s="61">
        <v>9702</v>
      </c>
      <c r="D62" s="5">
        <v>4851</v>
      </c>
      <c r="E62" s="5"/>
    </row>
    <row r="63" spans="1:5">
      <c r="A63" s="7">
        <v>93151449</v>
      </c>
      <c r="B63" s="7" t="s">
        <v>1749</v>
      </c>
      <c r="C63" s="61">
        <v>13454</v>
      </c>
      <c r="D63" s="5">
        <v>6727</v>
      </c>
      <c r="E63" s="5"/>
    </row>
    <row r="64" spans="1:5">
      <c r="A64" s="7">
        <v>93152473</v>
      </c>
      <c r="B64" s="7" t="s">
        <v>1750</v>
      </c>
      <c r="C64" s="61">
        <v>5157</v>
      </c>
      <c r="D64" s="5">
        <v>2578.5</v>
      </c>
      <c r="E64" s="5"/>
    </row>
    <row r="65" spans="1:5">
      <c r="A65" s="7">
        <v>93152475</v>
      </c>
      <c r="B65" s="7" t="s">
        <v>1751</v>
      </c>
      <c r="C65" s="61">
        <v>6405</v>
      </c>
      <c r="D65" s="5">
        <v>3202.5</v>
      </c>
      <c r="E65" s="5"/>
    </row>
    <row r="66" spans="1:5">
      <c r="A66" s="7">
        <v>93152476</v>
      </c>
      <c r="B66" s="7" t="s">
        <v>1752</v>
      </c>
      <c r="C66" s="61">
        <v>6805</v>
      </c>
      <c r="D66" s="5">
        <v>3402.5</v>
      </c>
      <c r="E66" s="5"/>
    </row>
    <row r="67" spans="1:5">
      <c r="A67" s="7">
        <v>93152478</v>
      </c>
      <c r="B67" s="7" t="s">
        <v>1750</v>
      </c>
      <c r="C67" s="61">
        <v>5601</v>
      </c>
      <c r="D67" s="5">
        <v>2800.5</v>
      </c>
      <c r="E67" s="5"/>
    </row>
    <row r="68" spans="1:5">
      <c r="A68" s="7">
        <v>93152480</v>
      </c>
      <c r="B68" s="7" t="s">
        <v>1751</v>
      </c>
      <c r="C68" s="61">
        <v>6797</v>
      </c>
      <c r="D68" s="5">
        <v>3398.5</v>
      </c>
      <c r="E68" s="5"/>
    </row>
    <row r="69" spans="1:5">
      <c r="A69" s="7">
        <v>93152482</v>
      </c>
      <c r="B69" s="7" t="s">
        <v>1753</v>
      </c>
      <c r="C69" s="61">
        <v>8008</v>
      </c>
      <c r="D69" s="5">
        <v>4004</v>
      </c>
      <c r="E69" s="5"/>
    </row>
    <row r="70" spans="1:5">
      <c r="A70" s="7">
        <v>93152484</v>
      </c>
      <c r="B70" s="7" t="s">
        <v>1754</v>
      </c>
      <c r="C70" s="61">
        <v>8765</v>
      </c>
      <c r="D70" s="5">
        <v>4382.5</v>
      </c>
      <c r="E70" s="5"/>
    </row>
    <row r="71" spans="1:5">
      <c r="A71" s="7">
        <v>93152486</v>
      </c>
      <c r="B71" s="7" t="s">
        <v>1755</v>
      </c>
      <c r="C71" s="61">
        <v>9040</v>
      </c>
      <c r="D71" s="5">
        <v>4520</v>
      </c>
      <c r="E71" s="5"/>
    </row>
    <row r="72" spans="1:5">
      <c r="A72" s="7">
        <v>93152488</v>
      </c>
      <c r="B72" s="7" t="s">
        <v>1755</v>
      </c>
      <c r="C72" s="61">
        <v>10002</v>
      </c>
      <c r="D72" s="5">
        <v>5001</v>
      </c>
      <c r="E72" s="5"/>
    </row>
    <row r="73" spans="1:5">
      <c r="A73" s="7">
        <v>93152491</v>
      </c>
      <c r="B73" s="7" t="s">
        <v>1756</v>
      </c>
      <c r="C73" s="61">
        <v>10774</v>
      </c>
      <c r="D73" s="5">
        <v>5387</v>
      </c>
      <c r="E73" s="5"/>
    </row>
    <row r="74" spans="1:5">
      <c r="A74" s="7">
        <v>93152494</v>
      </c>
      <c r="B74" s="7" t="s">
        <v>1757</v>
      </c>
      <c r="C74" s="61">
        <v>12456</v>
      </c>
      <c r="D74" s="5">
        <v>6228</v>
      </c>
      <c r="E74" s="5"/>
    </row>
    <row r="75" spans="1:5">
      <c r="A75" s="7">
        <v>93152495</v>
      </c>
      <c r="B75" s="7" t="s">
        <v>1758</v>
      </c>
      <c r="C75" s="61">
        <v>13004</v>
      </c>
      <c r="D75" s="5">
        <v>6502</v>
      </c>
      <c r="E75" s="5"/>
    </row>
    <row r="76" spans="1:5">
      <c r="A76" s="7">
        <v>93152497</v>
      </c>
      <c r="B76" s="7" t="s">
        <v>1759</v>
      </c>
      <c r="C76" s="61">
        <v>15804</v>
      </c>
      <c r="D76" s="5">
        <v>7902</v>
      </c>
      <c r="E76" s="5"/>
    </row>
    <row r="77" spans="1:5">
      <c r="A77" s="7">
        <v>93152498</v>
      </c>
      <c r="B77" s="7" t="s">
        <v>1752</v>
      </c>
      <c r="C77" s="61">
        <v>7218</v>
      </c>
      <c r="D77" s="5">
        <v>3609</v>
      </c>
      <c r="E77" s="5"/>
    </row>
    <row r="78" spans="1:5">
      <c r="A78" s="7">
        <v>93152499</v>
      </c>
      <c r="B78" s="7" t="s">
        <v>1752</v>
      </c>
      <c r="C78" s="61">
        <v>7951</v>
      </c>
      <c r="D78" s="5">
        <v>3975.5</v>
      </c>
      <c r="E78" s="5"/>
    </row>
    <row r="79" spans="1:5">
      <c r="A79" s="7">
        <v>93152500</v>
      </c>
      <c r="B79" s="7" t="s">
        <v>1760</v>
      </c>
      <c r="C79" s="61">
        <v>9514</v>
      </c>
      <c r="D79" s="5">
        <v>4757</v>
      </c>
      <c r="E79" s="5"/>
    </row>
    <row r="80" spans="1:5">
      <c r="A80" s="7">
        <v>93152502</v>
      </c>
      <c r="B80" s="7" t="s">
        <v>1761</v>
      </c>
      <c r="C80" s="61">
        <v>11328</v>
      </c>
      <c r="D80" s="5">
        <v>5664</v>
      </c>
      <c r="E80" s="5"/>
    </row>
    <row r="81" spans="1:5">
      <c r="A81" s="7">
        <v>93152503</v>
      </c>
      <c r="B81" s="7" t="s">
        <v>1761</v>
      </c>
      <c r="C81" s="61">
        <v>12409</v>
      </c>
      <c r="D81" s="5">
        <v>6204.5</v>
      </c>
      <c r="E81" s="5"/>
    </row>
    <row r="82" spans="1:5">
      <c r="A82" s="7">
        <v>93152504</v>
      </c>
      <c r="B82" s="7" t="s">
        <v>1762</v>
      </c>
      <c r="C82" s="61">
        <v>13462</v>
      </c>
      <c r="D82" s="5">
        <v>6731</v>
      </c>
      <c r="E82" s="5"/>
    </row>
    <row r="83" spans="1:5">
      <c r="A83" s="7">
        <v>93152505</v>
      </c>
      <c r="B83" s="7" t="s">
        <v>1762</v>
      </c>
      <c r="C83" s="61">
        <v>14994</v>
      </c>
      <c r="D83" s="5">
        <v>7497</v>
      </c>
      <c r="E83" s="5"/>
    </row>
    <row r="84" spans="1:5">
      <c r="A84" s="7">
        <v>93152506</v>
      </c>
      <c r="B84" s="7" t="s">
        <v>1763</v>
      </c>
      <c r="C84" s="61">
        <v>15846</v>
      </c>
      <c r="D84" s="5">
        <v>7923</v>
      </c>
      <c r="E84" s="5"/>
    </row>
    <row r="85" spans="1:5">
      <c r="A85" s="7">
        <v>93152507</v>
      </c>
      <c r="B85" s="7" t="s">
        <v>1764</v>
      </c>
      <c r="C85" s="61">
        <v>19546</v>
      </c>
      <c r="D85" s="5">
        <v>9773</v>
      </c>
      <c r="E85" s="5"/>
    </row>
    <row r="86" spans="1:5">
      <c r="A86" s="7">
        <v>93152508</v>
      </c>
      <c r="B86" s="7" t="s">
        <v>1765</v>
      </c>
      <c r="C86" s="61">
        <v>20275</v>
      </c>
      <c r="D86" s="5">
        <v>10137.5</v>
      </c>
      <c r="E86" s="5"/>
    </row>
    <row r="87" spans="1:5">
      <c r="A87" s="7">
        <v>93152511</v>
      </c>
      <c r="B87" s="7" t="s">
        <v>1766</v>
      </c>
      <c r="C87" s="61">
        <v>24799</v>
      </c>
      <c r="D87" s="5">
        <v>12399.5</v>
      </c>
      <c r="E87" s="5"/>
    </row>
    <row r="88" spans="1:5">
      <c r="A88" s="7">
        <v>93152512</v>
      </c>
      <c r="B88" s="7" t="s">
        <v>1766</v>
      </c>
      <c r="C88" s="61">
        <v>23161</v>
      </c>
      <c r="D88" s="5">
        <v>11580.5</v>
      </c>
      <c r="E88" s="5"/>
    </row>
    <row r="89" spans="1:5">
      <c r="A89" s="7">
        <v>93152513</v>
      </c>
      <c r="B89" s="7" t="s">
        <v>1767</v>
      </c>
      <c r="C89" s="61">
        <v>8658</v>
      </c>
      <c r="D89" s="5">
        <v>4329</v>
      </c>
      <c r="E89" s="5"/>
    </row>
    <row r="90" spans="1:5">
      <c r="A90" s="7">
        <v>93152514</v>
      </c>
      <c r="B90" s="7" t="s">
        <v>1768</v>
      </c>
      <c r="C90" s="61">
        <v>11639</v>
      </c>
      <c r="D90" s="5">
        <v>5819.5</v>
      </c>
      <c r="E90" s="5"/>
    </row>
    <row r="91" spans="1:5">
      <c r="A91" s="7">
        <v>93152515</v>
      </c>
      <c r="B91" s="7" t="s">
        <v>1769</v>
      </c>
      <c r="C91" s="61">
        <v>13837</v>
      </c>
      <c r="D91" s="5">
        <v>6918.5</v>
      </c>
      <c r="E91" s="5"/>
    </row>
    <row r="92" spans="1:5">
      <c r="A92" s="7">
        <v>93152516</v>
      </c>
      <c r="B92" s="7" t="s">
        <v>1770</v>
      </c>
      <c r="C92" s="61">
        <v>16290</v>
      </c>
      <c r="D92" s="5">
        <v>8145</v>
      </c>
      <c r="E92" s="5"/>
    </row>
    <row r="93" spans="1:5">
      <c r="A93" s="7">
        <v>93152517</v>
      </c>
      <c r="B93" s="7" t="s">
        <v>1771</v>
      </c>
      <c r="C93" s="61">
        <v>20427</v>
      </c>
      <c r="D93" s="5">
        <v>10213.5</v>
      </c>
      <c r="E93" s="5"/>
    </row>
    <row r="94" spans="1:5">
      <c r="A94" s="7">
        <v>93152518</v>
      </c>
      <c r="B94" s="7" t="s">
        <v>1772</v>
      </c>
      <c r="C94" s="61">
        <v>20849</v>
      </c>
      <c r="D94" s="5">
        <v>10424.5</v>
      </c>
      <c r="E94" s="5"/>
    </row>
    <row r="95" spans="1:5">
      <c r="A95" s="7">
        <v>93152519</v>
      </c>
      <c r="B95" s="7" t="s">
        <v>1773</v>
      </c>
      <c r="C95" s="61">
        <v>25093</v>
      </c>
      <c r="D95" s="5">
        <v>12546.5</v>
      </c>
      <c r="E95" s="5"/>
    </row>
    <row r="96" spans="1:5">
      <c r="A96" s="7">
        <v>93152520</v>
      </c>
      <c r="B96" s="7" t="s">
        <v>1774</v>
      </c>
      <c r="C96" s="61">
        <v>25515</v>
      </c>
      <c r="D96" s="5">
        <v>12757.5</v>
      </c>
      <c r="E96" s="5"/>
    </row>
    <row r="97" spans="1:5">
      <c r="A97" s="7">
        <v>93156072</v>
      </c>
      <c r="B97" s="7" t="s">
        <v>1775</v>
      </c>
      <c r="C97" s="61">
        <v>18821</v>
      </c>
      <c r="D97" s="5">
        <v>9410.5</v>
      </c>
      <c r="E97" s="5"/>
    </row>
    <row r="98" spans="1:5">
      <c r="A98" s="7">
        <v>93156167</v>
      </c>
      <c r="B98" s="7" t="s">
        <v>1776</v>
      </c>
      <c r="C98" s="61">
        <v>30235</v>
      </c>
      <c r="D98" s="5">
        <v>15117.5</v>
      </c>
      <c r="E98" s="5"/>
    </row>
    <row r="99" spans="1:5">
      <c r="A99" s="7">
        <v>93253717</v>
      </c>
      <c r="B99" s="7" t="s">
        <v>1777</v>
      </c>
      <c r="C99" s="61">
        <v>41143</v>
      </c>
      <c r="D99" s="5">
        <v>20571.5</v>
      </c>
      <c r="E99" s="5"/>
    </row>
    <row r="100" spans="1:5">
      <c r="A100" s="7">
        <v>99245022</v>
      </c>
      <c r="B100" s="7" t="s">
        <v>1778</v>
      </c>
      <c r="C100" s="61">
        <v>10982</v>
      </c>
      <c r="D100" s="5">
        <v>5491</v>
      </c>
      <c r="E100" s="5"/>
    </row>
    <row r="101" spans="1:5">
      <c r="A101" s="7">
        <v>99245024</v>
      </c>
      <c r="B101" s="7" t="s">
        <v>1779</v>
      </c>
      <c r="C101" s="61">
        <v>11826</v>
      </c>
      <c r="D101" s="5">
        <v>5913</v>
      </c>
      <c r="E101" s="5"/>
    </row>
    <row r="102" spans="1:5">
      <c r="A102" s="7">
        <v>99245025</v>
      </c>
      <c r="B102" s="7" t="s">
        <v>1780</v>
      </c>
      <c r="C102" s="61">
        <v>16244</v>
      </c>
      <c r="D102" s="5">
        <v>8122</v>
      </c>
      <c r="E102" s="5"/>
    </row>
    <row r="103" spans="1:5">
      <c r="A103" s="7">
        <v>99245026</v>
      </c>
      <c r="B103" s="7" t="s">
        <v>1781</v>
      </c>
      <c r="C103" s="61">
        <v>19107</v>
      </c>
      <c r="D103" s="5">
        <v>9553.5</v>
      </c>
      <c r="E103" s="5"/>
    </row>
    <row r="104" spans="1:5">
      <c r="A104" s="7">
        <v>99245027</v>
      </c>
      <c r="B104" s="7" t="s">
        <v>1782</v>
      </c>
      <c r="C104" s="61">
        <v>25063</v>
      </c>
      <c r="D104" s="5">
        <v>12531.5</v>
      </c>
      <c r="E104" s="5"/>
    </row>
    <row r="105" spans="1:5">
      <c r="A105" s="7">
        <v>99245029</v>
      </c>
      <c r="B105" s="7" t="s">
        <v>1779</v>
      </c>
      <c r="C105" s="61">
        <v>11379</v>
      </c>
      <c r="D105" s="5">
        <v>5689.5</v>
      </c>
      <c r="E105" s="5"/>
    </row>
    <row r="106" spans="1:5">
      <c r="A106" s="7">
        <v>99245044</v>
      </c>
      <c r="B106" s="7" t="s">
        <v>1783</v>
      </c>
      <c r="C106" s="61">
        <v>15919</v>
      </c>
      <c r="D106" s="5">
        <v>7959.5</v>
      </c>
      <c r="E106" s="5"/>
    </row>
    <row r="107" spans="1:5">
      <c r="A107" s="7">
        <v>99245045</v>
      </c>
      <c r="B107" s="7" t="s">
        <v>1784</v>
      </c>
      <c r="C107" s="61">
        <v>19045</v>
      </c>
      <c r="D107" s="5">
        <v>9522.5</v>
      </c>
      <c r="E107" s="5"/>
    </row>
    <row r="108" spans="1:5">
      <c r="A108" s="7">
        <v>99245046</v>
      </c>
      <c r="B108" s="7" t="s">
        <v>1785</v>
      </c>
      <c r="C108" s="61">
        <v>24428</v>
      </c>
      <c r="D108" s="5">
        <v>12214</v>
      </c>
      <c r="E108" s="5"/>
    </row>
    <row r="109" spans="1:5">
      <c r="A109" s="7">
        <v>99245047</v>
      </c>
      <c r="B109" s="7" t="s">
        <v>1786</v>
      </c>
      <c r="C109" s="61">
        <v>24428</v>
      </c>
      <c r="D109" s="5">
        <v>12214</v>
      </c>
      <c r="E109" s="5"/>
    </row>
    <row r="110" spans="1:5">
      <c r="A110" s="7">
        <v>99245048</v>
      </c>
      <c r="B110" s="7" t="s">
        <v>1784</v>
      </c>
      <c r="C110" s="61">
        <v>17520</v>
      </c>
      <c r="D110" s="5">
        <v>8760</v>
      </c>
      <c r="E110" s="5"/>
    </row>
    <row r="111" spans="1:5">
      <c r="A111" s="7">
        <v>99245050</v>
      </c>
      <c r="B111" s="7" t="s">
        <v>1722</v>
      </c>
      <c r="C111" s="61">
        <v>28594</v>
      </c>
      <c r="D111" s="5">
        <v>14297</v>
      </c>
      <c r="E111" s="5"/>
    </row>
    <row r="112" spans="1:5">
      <c r="A112" s="7">
        <v>99245052</v>
      </c>
      <c r="B112" s="7" t="s">
        <v>1787</v>
      </c>
      <c r="C112" s="61">
        <v>18993</v>
      </c>
      <c r="D112" s="5">
        <v>9496.5</v>
      </c>
      <c r="E112" s="5"/>
    </row>
    <row r="113" spans="1:17">
      <c r="A113" s="7">
        <v>99245053</v>
      </c>
      <c r="B113" s="7" t="s">
        <v>1788</v>
      </c>
      <c r="C113" s="61">
        <v>24756</v>
      </c>
      <c r="D113" s="5">
        <v>12378</v>
      </c>
      <c r="E113" s="5"/>
    </row>
    <row r="114" spans="1:17">
      <c r="A114" s="7">
        <v>99245055</v>
      </c>
      <c r="B114" s="7" t="s">
        <v>1788</v>
      </c>
      <c r="C114" s="61">
        <v>19219</v>
      </c>
      <c r="D114" s="5">
        <v>9609.5</v>
      </c>
      <c r="E114" s="5"/>
    </row>
    <row r="115" spans="1:17">
      <c r="A115" s="7">
        <v>99245058</v>
      </c>
      <c r="B115" s="7" t="s">
        <v>1717</v>
      </c>
      <c r="C115" s="61">
        <v>28558</v>
      </c>
      <c r="D115" s="5">
        <v>14279</v>
      </c>
      <c r="E115" s="5"/>
    </row>
    <row r="116" spans="1:17">
      <c r="A116" s="7">
        <v>99315825</v>
      </c>
      <c r="B116" s="7" t="s">
        <v>1781</v>
      </c>
      <c r="C116" s="61">
        <v>17581</v>
      </c>
      <c r="D116" s="5">
        <v>8790.5</v>
      </c>
      <c r="E116" s="5"/>
    </row>
    <row r="117" spans="1:17">
      <c r="A117" s="7">
        <v>99315835</v>
      </c>
      <c r="B117" s="7" t="s">
        <v>1780</v>
      </c>
      <c r="C117" s="61">
        <v>15166</v>
      </c>
      <c r="D117" s="5">
        <v>7583</v>
      </c>
      <c r="E117" s="5"/>
    </row>
    <row r="118" spans="1:17">
      <c r="A118" s="7">
        <v>99655972</v>
      </c>
      <c r="B118" s="7" t="s">
        <v>1789</v>
      </c>
      <c r="C118" s="61">
        <v>24731</v>
      </c>
      <c r="D118" s="5">
        <v>12365.5</v>
      </c>
      <c r="E118" s="5"/>
      <c r="H118" s="7">
        <v>99102010</v>
      </c>
      <c r="I118" s="7" t="s">
        <v>1790</v>
      </c>
      <c r="J118" s="7">
        <v>646.66999999999996</v>
      </c>
      <c r="N118" s="7">
        <v>92932673</v>
      </c>
      <c r="O118" s="7" t="s">
        <v>741</v>
      </c>
      <c r="P118" s="7">
        <v>4</v>
      </c>
      <c r="Q118" s="7">
        <v>238.08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T7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32.140625" customWidth="1"/>
    <col min="4" max="4" width="9.7109375" customWidth="1"/>
    <col min="5" max="5" width="11.140625" customWidth="1"/>
  </cols>
  <sheetData>
    <row r="1" spans="1:20" ht="15.75" customHeight="1">
      <c r="A1" s="56" t="s">
        <v>66</v>
      </c>
      <c r="B1" s="56" t="s">
        <v>8</v>
      </c>
      <c r="C1" s="56" t="s">
        <v>2</v>
      </c>
      <c r="D1" s="56" t="s">
        <v>1791</v>
      </c>
      <c r="E1" s="56" t="s">
        <v>1792</v>
      </c>
      <c r="F1" s="58" t="s">
        <v>701</v>
      </c>
      <c r="G1" s="58" t="s">
        <v>288</v>
      </c>
      <c r="H1" s="58" t="s">
        <v>703</v>
      </c>
      <c r="I1" s="33" t="s">
        <v>705</v>
      </c>
      <c r="J1" s="33" t="s">
        <v>722</v>
      </c>
      <c r="K1" s="33" t="s">
        <v>723</v>
      </c>
      <c r="L1" s="33" t="s">
        <v>695</v>
      </c>
      <c r="M1" s="33" t="s">
        <v>1793</v>
      </c>
      <c r="N1" s="33" t="s">
        <v>1794</v>
      </c>
      <c r="O1" s="33" t="s">
        <v>1795</v>
      </c>
      <c r="P1" s="33" t="s">
        <v>725</v>
      </c>
      <c r="Q1" s="33" t="s">
        <v>1796</v>
      </c>
      <c r="R1" s="33" t="s">
        <v>1797</v>
      </c>
      <c r="S1" s="33" t="s">
        <v>1798</v>
      </c>
      <c r="T1" s="33" t="s">
        <v>706</v>
      </c>
    </row>
    <row r="2" spans="1:20" ht="15.75" customHeight="1">
      <c r="A2" s="37">
        <v>96086842</v>
      </c>
      <c r="B2" s="37" t="s">
        <v>1799</v>
      </c>
      <c r="C2" s="63"/>
      <c r="D2" s="64"/>
      <c r="E2" s="64"/>
      <c r="F2" s="21">
        <v>4703</v>
      </c>
      <c r="G2" s="21">
        <f t="shared" ref="G2:G79" si="0">CEILING(F2*0.55,1)</f>
        <v>2587</v>
      </c>
      <c r="R2" s="5" t="e">
        <f>VLOOKUP(N2,'Seismic Springs 2025'!$A:$I,9,0)</f>
        <v>#N/A</v>
      </c>
      <c r="S2" s="5" t="e">
        <f t="shared" ref="S2:S79" si="1">P2*R2</f>
        <v>#N/A</v>
      </c>
      <c r="T2" s="5" t="e">
        <f>VLOOKUP(K2,'Inertia Bases 2025'!$A:$H,8,0)</f>
        <v>#N/A</v>
      </c>
    </row>
    <row r="3" spans="1:20" ht="15.75" customHeight="1">
      <c r="A3" s="37">
        <v>96086843</v>
      </c>
      <c r="B3" s="37" t="s">
        <v>1800</v>
      </c>
      <c r="C3" s="63"/>
      <c r="D3" s="11"/>
      <c r="E3" s="11"/>
      <c r="F3" s="21">
        <v>4942</v>
      </c>
      <c r="G3" s="21">
        <f t="shared" si="0"/>
        <v>2719</v>
      </c>
      <c r="R3" s="5" t="e">
        <f>VLOOKUP(N3,'Seismic Springs 2025'!$A:$I,9,0)</f>
        <v>#N/A</v>
      </c>
      <c r="S3" s="5" t="e">
        <f t="shared" si="1"/>
        <v>#N/A</v>
      </c>
      <c r="T3" s="5" t="e">
        <f>VLOOKUP(K3,'Inertia Bases 2025'!$A:$H,8,0)</f>
        <v>#N/A</v>
      </c>
    </row>
    <row r="4" spans="1:20" ht="15.75" customHeight="1">
      <c r="A4" s="37">
        <v>96087029</v>
      </c>
      <c r="B4" s="37" t="s">
        <v>1801</v>
      </c>
      <c r="C4" s="63"/>
      <c r="D4" s="11">
        <v>92996501</v>
      </c>
      <c r="E4" s="11" t="s">
        <v>1802</v>
      </c>
      <c r="F4" s="21">
        <v>4328</v>
      </c>
      <c r="G4" s="21">
        <f t="shared" si="0"/>
        <v>2381</v>
      </c>
      <c r="I4" s="5">
        <f>CEILING(2505.68-G4,1)</f>
        <v>125</v>
      </c>
      <c r="J4" s="5">
        <v>530</v>
      </c>
      <c r="K4" s="7"/>
      <c r="L4" s="7"/>
      <c r="M4" s="5">
        <v>11.7</v>
      </c>
      <c r="N4" s="7"/>
      <c r="O4" s="7"/>
      <c r="P4" s="7">
        <v>4</v>
      </c>
      <c r="Q4" s="7">
        <f>M4*P4</f>
        <v>46.8</v>
      </c>
      <c r="R4" s="5" t="e">
        <f>VLOOKUP(N4,'Seismic Springs 2025'!$A:$I,9,0)</f>
        <v>#N/A</v>
      </c>
      <c r="S4" s="5" t="e">
        <f t="shared" si="1"/>
        <v>#N/A</v>
      </c>
      <c r="T4" s="5" t="e">
        <f>VLOOKUP(K4,'Inertia Bases 2025'!$A:$H,8,0)</f>
        <v>#N/A</v>
      </c>
    </row>
    <row r="5" spans="1:20" ht="15.75" customHeight="1">
      <c r="A5" s="37">
        <v>96087030</v>
      </c>
      <c r="B5" s="37" t="s">
        <v>1803</v>
      </c>
      <c r="C5" s="63"/>
      <c r="D5" s="11"/>
      <c r="E5" s="11"/>
      <c r="F5" s="21">
        <v>4503</v>
      </c>
      <c r="G5" s="21">
        <f t="shared" si="0"/>
        <v>2477</v>
      </c>
      <c r="R5" s="5" t="e">
        <f>VLOOKUP(N5,'Seismic Springs 2025'!$A:$I,9,0)</f>
        <v>#N/A</v>
      </c>
      <c r="S5" s="5" t="e">
        <f t="shared" si="1"/>
        <v>#N/A</v>
      </c>
      <c r="T5" s="5" t="e">
        <f>VLOOKUP(K5,'Inertia Bases 2025'!$A:$H,8,0)</f>
        <v>#N/A</v>
      </c>
    </row>
    <row r="6" spans="1:20" ht="15.75" customHeight="1">
      <c r="A6" s="37">
        <v>96087031</v>
      </c>
      <c r="B6" s="37" t="s">
        <v>1804</v>
      </c>
      <c r="C6" s="63"/>
      <c r="D6" s="11"/>
      <c r="E6" s="11"/>
      <c r="F6" s="21">
        <v>4766</v>
      </c>
      <c r="G6" s="21">
        <f t="shared" si="0"/>
        <v>2622</v>
      </c>
      <c r="R6" s="5" t="e">
        <f>VLOOKUP(N6,'Seismic Springs 2025'!$A:$I,9,0)</f>
        <v>#N/A</v>
      </c>
      <c r="S6" s="5" t="e">
        <f t="shared" si="1"/>
        <v>#N/A</v>
      </c>
      <c r="T6" s="5" t="e">
        <f>VLOOKUP(K6,'Inertia Bases 2025'!$A:$H,8,0)</f>
        <v>#N/A</v>
      </c>
    </row>
    <row r="7" spans="1:20" ht="15.75" customHeight="1">
      <c r="A7" s="37">
        <v>96087139</v>
      </c>
      <c r="B7" s="37" t="s">
        <v>1805</v>
      </c>
      <c r="C7" s="63"/>
      <c r="D7" s="64"/>
      <c r="E7" s="64"/>
      <c r="F7" s="21">
        <v>6238</v>
      </c>
      <c r="G7" s="21">
        <f t="shared" si="0"/>
        <v>3431</v>
      </c>
      <c r="R7" s="5" t="e">
        <f>VLOOKUP(N7,'Seismic Springs 2025'!$A:$I,9,0)</f>
        <v>#N/A</v>
      </c>
      <c r="S7" s="5" t="e">
        <f t="shared" si="1"/>
        <v>#N/A</v>
      </c>
      <c r="T7" s="5" t="e">
        <f>VLOOKUP(K7,'Inertia Bases 2025'!$A:$H,8,0)</f>
        <v>#N/A</v>
      </c>
    </row>
    <row r="8" spans="1:20" ht="15.75" customHeight="1">
      <c r="A8" s="37">
        <v>96087140</v>
      </c>
      <c r="B8" s="37" t="s">
        <v>1806</v>
      </c>
      <c r="C8" s="63"/>
      <c r="D8" s="11"/>
      <c r="E8" s="11"/>
      <c r="F8" s="21">
        <v>6644</v>
      </c>
      <c r="G8" s="21">
        <f t="shared" si="0"/>
        <v>3655</v>
      </c>
      <c r="R8" s="5" t="e">
        <f>VLOOKUP(N8,'Seismic Springs 2025'!$A:$I,9,0)</f>
        <v>#N/A</v>
      </c>
      <c r="S8" s="5" t="e">
        <f t="shared" si="1"/>
        <v>#N/A</v>
      </c>
      <c r="T8" s="5" t="e">
        <f>VLOOKUP(K8,'Inertia Bases 2025'!$A:$H,8,0)</f>
        <v>#N/A</v>
      </c>
    </row>
    <row r="9" spans="1:20" ht="15.75" customHeight="1">
      <c r="A9" s="37">
        <v>96087224</v>
      </c>
      <c r="B9" s="37" t="s">
        <v>1807</v>
      </c>
      <c r="C9" s="63"/>
      <c r="D9" s="11"/>
      <c r="E9" s="11"/>
      <c r="F9" s="21">
        <v>5619</v>
      </c>
      <c r="G9" s="21">
        <f t="shared" si="0"/>
        <v>3091</v>
      </c>
      <c r="R9" s="5" t="e">
        <f>VLOOKUP(N9,'Seismic Springs 2025'!$A:$I,9,0)</f>
        <v>#N/A</v>
      </c>
      <c r="S9" s="5" t="e">
        <f t="shared" si="1"/>
        <v>#N/A</v>
      </c>
      <c r="T9" s="5" t="e">
        <f>VLOOKUP(K9,'Inertia Bases 2025'!$A:$H,8,0)</f>
        <v>#N/A</v>
      </c>
    </row>
    <row r="10" spans="1:20" ht="15.75" customHeight="1">
      <c r="A10" s="37">
        <v>96087225</v>
      </c>
      <c r="B10" s="37" t="s">
        <v>1808</v>
      </c>
      <c r="C10" s="63"/>
      <c r="D10" s="11"/>
      <c r="E10" s="11"/>
      <c r="F10" s="21">
        <v>7205</v>
      </c>
      <c r="G10" s="21">
        <f t="shared" si="0"/>
        <v>3963</v>
      </c>
      <c r="R10" s="5" t="e">
        <f>VLOOKUP(N10,'Seismic Springs 2025'!$A:$I,9,0)</f>
        <v>#N/A</v>
      </c>
      <c r="S10" s="5" t="e">
        <f t="shared" si="1"/>
        <v>#N/A</v>
      </c>
      <c r="T10" s="5" t="e">
        <f>VLOOKUP(K10,'Inertia Bases 2025'!$A:$H,8,0)</f>
        <v>#N/A</v>
      </c>
    </row>
    <row r="11" spans="1:20" ht="15.75" customHeight="1">
      <c r="A11" s="37">
        <v>96087462</v>
      </c>
      <c r="B11" s="37" t="s">
        <v>1809</v>
      </c>
      <c r="C11" s="63"/>
      <c r="D11" s="11"/>
      <c r="E11" s="11"/>
      <c r="F11" s="21">
        <v>6183</v>
      </c>
      <c r="G11" s="21">
        <f t="shared" si="0"/>
        <v>3401</v>
      </c>
      <c r="R11" s="5" t="e">
        <f>VLOOKUP(N11,'Seismic Springs 2025'!$A:$I,9,0)</f>
        <v>#N/A</v>
      </c>
      <c r="S11" s="5" t="e">
        <f t="shared" si="1"/>
        <v>#N/A</v>
      </c>
      <c r="T11" s="5" t="e">
        <f>VLOOKUP(K11,'Inertia Bases 2025'!$A:$H,8,0)</f>
        <v>#N/A</v>
      </c>
    </row>
    <row r="12" spans="1:20" ht="15.75" customHeight="1">
      <c r="A12" s="37">
        <v>96087463</v>
      </c>
      <c r="B12" s="37" t="s">
        <v>1810</v>
      </c>
      <c r="C12" s="63"/>
      <c r="D12" s="11"/>
      <c r="E12" s="11"/>
      <c r="F12" s="21">
        <v>6398</v>
      </c>
      <c r="G12" s="21">
        <f t="shared" si="0"/>
        <v>3519</v>
      </c>
      <c r="R12" s="5" t="e">
        <f>VLOOKUP(N12,'Seismic Springs 2025'!$A:$I,9,0)</f>
        <v>#N/A</v>
      </c>
      <c r="S12" s="5" t="e">
        <f t="shared" si="1"/>
        <v>#N/A</v>
      </c>
      <c r="T12" s="5" t="e">
        <f>VLOOKUP(K12,'Inertia Bases 2025'!$A:$H,8,0)</f>
        <v>#N/A</v>
      </c>
    </row>
    <row r="13" spans="1:20" ht="15.75" customHeight="1">
      <c r="A13" s="37">
        <v>96087554</v>
      </c>
      <c r="B13" s="37" t="s">
        <v>1811</v>
      </c>
      <c r="C13" s="63"/>
      <c r="D13" s="64"/>
      <c r="E13" s="64"/>
      <c r="F13" s="21">
        <v>7362</v>
      </c>
      <c r="G13" s="21">
        <f t="shared" si="0"/>
        <v>4050</v>
      </c>
      <c r="R13" s="5" t="e">
        <f>VLOOKUP(N13,'Seismic Springs 2025'!$A:$I,9,0)</f>
        <v>#N/A</v>
      </c>
      <c r="S13" s="5" t="e">
        <f t="shared" si="1"/>
        <v>#N/A</v>
      </c>
      <c r="T13" s="5" t="e">
        <f>VLOOKUP(K13,'Inertia Bases 2025'!$A:$H,8,0)</f>
        <v>#N/A</v>
      </c>
    </row>
    <row r="14" spans="1:20" ht="15.75" customHeight="1">
      <c r="A14" s="37">
        <v>96087555</v>
      </c>
      <c r="B14" s="37" t="s">
        <v>1812</v>
      </c>
      <c r="C14" s="63"/>
      <c r="D14" s="11"/>
      <c r="E14" s="11"/>
      <c r="F14" s="21">
        <v>7682</v>
      </c>
      <c r="G14" s="21">
        <f t="shared" si="0"/>
        <v>4226</v>
      </c>
      <c r="R14" s="5" t="e">
        <f>VLOOKUP(N14,'Seismic Springs 2025'!$A:$I,9,0)</f>
        <v>#N/A</v>
      </c>
      <c r="S14" s="5" t="e">
        <f t="shared" si="1"/>
        <v>#N/A</v>
      </c>
      <c r="T14" s="5" t="e">
        <f>VLOOKUP(K14,'Inertia Bases 2025'!$A:$H,8,0)</f>
        <v>#N/A</v>
      </c>
    </row>
    <row r="15" spans="1:20" ht="15.75" customHeight="1">
      <c r="A15" s="37">
        <v>96087556</v>
      </c>
      <c r="B15" s="37" t="s">
        <v>1813</v>
      </c>
      <c r="C15" s="63"/>
      <c r="D15" s="11"/>
      <c r="E15" s="11"/>
      <c r="F15" s="21">
        <v>11091</v>
      </c>
      <c r="G15" s="21">
        <f t="shared" si="0"/>
        <v>6101</v>
      </c>
      <c r="R15" s="5" t="e">
        <f>VLOOKUP(N15,'Seismic Springs 2025'!$A:$I,9,0)</f>
        <v>#N/A</v>
      </c>
      <c r="S15" s="5" t="e">
        <f t="shared" si="1"/>
        <v>#N/A</v>
      </c>
      <c r="T15" s="5" t="e">
        <f>VLOOKUP(K15,'Inertia Bases 2025'!$A:$H,8,0)</f>
        <v>#N/A</v>
      </c>
    </row>
    <row r="16" spans="1:20" ht="15.75" customHeight="1">
      <c r="A16" s="37">
        <v>96087557</v>
      </c>
      <c r="B16" s="37" t="s">
        <v>1814</v>
      </c>
      <c r="C16" s="63"/>
      <c r="D16" s="11"/>
      <c r="E16" s="11"/>
      <c r="F16" s="21">
        <v>12763</v>
      </c>
      <c r="G16" s="21">
        <f t="shared" si="0"/>
        <v>7020</v>
      </c>
      <c r="R16" s="5" t="e">
        <f>VLOOKUP(N16,'Seismic Springs 2025'!$A:$I,9,0)</f>
        <v>#N/A</v>
      </c>
      <c r="S16" s="5" t="e">
        <f t="shared" si="1"/>
        <v>#N/A</v>
      </c>
      <c r="T16" s="5" t="e">
        <f>VLOOKUP(K16,'Inertia Bases 2025'!$A:$H,8,0)</f>
        <v>#N/A</v>
      </c>
    </row>
    <row r="17" spans="1:20" ht="15.75" customHeight="1">
      <c r="A17" s="37">
        <v>96087638</v>
      </c>
      <c r="B17" s="37" t="s">
        <v>1815</v>
      </c>
      <c r="C17" s="63"/>
      <c r="D17" s="64"/>
      <c r="E17" s="64"/>
      <c r="F17" s="21">
        <v>7819</v>
      </c>
      <c r="G17" s="21">
        <f t="shared" si="0"/>
        <v>4301</v>
      </c>
      <c r="R17" s="5" t="e">
        <f>VLOOKUP(N17,'Seismic Springs 2025'!$A:$I,9,0)</f>
        <v>#N/A</v>
      </c>
      <c r="S17" s="5" t="e">
        <f t="shared" si="1"/>
        <v>#N/A</v>
      </c>
      <c r="T17" s="5" t="e">
        <f>VLOOKUP(K17,'Inertia Bases 2025'!$A:$H,8,0)</f>
        <v>#N/A</v>
      </c>
    </row>
    <row r="18" spans="1:20" ht="15.75" customHeight="1">
      <c r="A18" s="37">
        <v>96097394</v>
      </c>
      <c r="B18" s="37" t="s">
        <v>1816</v>
      </c>
      <c r="C18" s="63"/>
      <c r="D18" s="11"/>
      <c r="E18" s="11"/>
      <c r="F18" s="21">
        <v>5609</v>
      </c>
      <c r="G18" s="21">
        <f t="shared" si="0"/>
        <v>3085</v>
      </c>
      <c r="R18" s="5" t="e">
        <f>VLOOKUP(N18,'Seismic Springs 2025'!$A:$I,9,0)</f>
        <v>#N/A</v>
      </c>
      <c r="S18" s="5" t="e">
        <f t="shared" si="1"/>
        <v>#N/A</v>
      </c>
      <c r="T18" s="5" t="e">
        <f>VLOOKUP(K18,'Inertia Bases 2025'!$A:$H,8,0)</f>
        <v>#N/A</v>
      </c>
    </row>
    <row r="19" spans="1:20" ht="15.75" customHeight="1">
      <c r="A19" s="37">
        <v>96108505</v>
      </c>
      <c r="B19" s="37" t="s">
        <v>1817</v>
      </c>
      <c r="C19" s="63"/>
      <c r="D19" s="64"/>
      <c r="E19" s="64"/>
      <c r="F19" s="21">
        <v>4804</v>
      </c>
      <c r="G19" s="21">
        <f t="shared" si="0"/>
        <v>2643</v>
      </c>
      <c r="R19" s="5" t="e">
        <f>VLOOKUP(N19,'Seismic Springs 2025'!$A:$I,9,0)</f>
        <v>#N/A</v>
      </c>
      <c r="S19" s="5" t="e">
        <f t="shared" si="1"/>
        <v>#N/A</v>
      </c>
      <c r="T19" s="5" t="e">
        <f>VLOOKUP(K19,'Inertia Bases 2025'!$A:$H,8,0)</f>
        <v>#N/A</v>
      </c>
    </row>
    <row r="20" spans="1:20" ht="15.75" customHeight="1">
      <c r="A20" s="37">
        <v>96108506</v>
      </c>
      <c r="B20" s="37" t="s">
        <v>1818</v>
      </c>
      <c r="C20" s="63"/>
      <c r="D20" s="64"/>
      <c r="E20" s="64"/>
      <c r="F20" s="21">
        <v>5203</v>
      </c>
      <c r="G20" s="21">
        <f t="shared" si="0"/>
        <v>2862</v>
      </c>
      <c r="R20" s="5" t="e">
        <f>VLOOKUP(N20,'Seismic Springs 2025'!$A:$I,9,0)</f>
        <v>#N/A</v>
      </c>
      <c r="S20" s="5" t="e">
        <f t="shared" si="1"/>
        <v>#N/A</v>
      </c>
      <c r="T20" s="5" t="e">
        <f>VLOOKUP(K20,'Inertia Bases 2025'!$A:$H,8,0)</f>
        <v>#N/A</v>
      </c>
    </row>
    <row r="21" spans="1:20" ht="15.75" customHeight="1">
      <c r="A21" s="37">
        <v>96108636</v>
      </c>
      <c r="B21" s="37" t="s">
        <v>1819</v>
      </c>
      <c r="C21" s="63"/>
      <c r="D21" s="64"/>
      <c r="E21" s="64"/>
      <c r="F21" s="21">
        <v>6601</v>
      </c>
      <c r="G21" s="21">
        <f t="shared" si="0"/>
        <v>3631</v>
      </c>
      <c r="R21" s="5" t="e">
        <f>VLOOKUP(N21,'Seismic Springs 2025'!$A:$I,9,0)</f>
        <v>#N/A</v>
      </c>
      <c r="S21" s="5" t="e">
        <f t="shared" si="1"/>
        <v>#N/A</v>
      </c>
      <c r="T21" s="5" t="e">
        <f>VLOOKUP(K21,'Inertia Bases 2025'!$A:$H,8,0)</f>
        <v>#N/A</v>
      </c>
    </row>
    <row r="22" spans="1:20" ht="15.75" customHeight="1">
      <c r="A22" s="37">
        <v>96108759</v>
      </c>
      <c r="B22" s="37" t="s">
        <v>1820</v>
      </c>
      <c r="C22" s="63"/>
      <c r="D22" s="64"/>
      <c r="E22" s="64"/>
      <c r="F22" s="21">
        <v>5767</v>
      </c>
      <c r="G22" s="21">
        <f t="shared" si="0"/>
        <v>3172</v>
      </c>
      <c r="R22" s="5" t="e">
        <f>VLOOKUP(N22,'Seismic Springs 2025'!$A:$I,9,0)</f>
        <v>#N/A</v>
      </c>
      <c r="S22" s="5" t="e">
        <f t="shared" si="1"/>
        <v>#N/A</v>
      </c>
      <c r="T22" s="5" t="e">
        <f>VLOOKUP(K22,'Inertia Bases 2025'!$A:$H,8,0)</f>
        <v>#N/A</v>
      </c>
    </row>
    <row r="23" spans="1:20" ht="15.75" customHeight="1">
      <c r="A23" s="37">
        <v>96108760</v>
      </c>
      <c r="B23" s="37" t="s">
        <v>1821</v>
      </c>
      <c r="C23" s="63"/>
      <c r="D23" s="64"/>
      <c r="E23" s="64"/>
      <c r="F23" s="21">
        <v>6060</v>
      </c>
      <c r="G23" s="21">
        <f t="shared" si="0"/>
        <v>3333</v>
      </c>
      <c r="R23" s="5" t="e">
        <f>VLOOKUP(N23,'Seismic Springs 2025'!$A:$I,9,0)</f>
        <v>#N/A</v>
      </c>
      <c r="S23" s="5" t="e">
        <f t="shared" si="1"/>
        <v>#N/A</v>
      </c>
      <c r="T23" s="5" t="e">
        <f>VLOOKUP(K23,'Inertia Bases 2025'!$A:$H,8,0)</f>
        <v>#N/A</v>
      </c>
    </row>
    <row r="24" spans="1:20" ht="15.75" customHeight="1">
      <c r="A24" s="37">
        <v>96108761</v>
      </c>
      <c r="B24" s="37" t="s">
        <v>1822</v>
      </c>
      <c r="C24" s="63"/>
      <c r="D24" s="64"/>
      <c r="E24" s="64"/>
      <c r="F24" s="21">
        <v>8218</v>
      </c>
      <c r="G24" s="21">
        <f t="shared" si="0"/>
        <v>4520</v>
      </c>
      <c r="R24" s="5" t="e">
        <f>VLOOKUP(N24,'Seismic Springs 2025'!$A:$I,9,0)</f>
        <v>#N/A</v>
      </c>
      <c r="S24" s="5" t="e">
        <f t="shared" si="1"/>
        <v>#N/A</v>
      </c>
      <c r="T24" s="5" t="e">
        <f>VLOOKUP(K24,'Inertia Bases 2025'!$A:$H,8,0)</f>
        <v>#N/A</v>
      </c>
    </row>
    <row r="25" spans="1:20" ht="15.75" customHeight="1">
      <c r="A25" s="37">
        <v>96108762</v>
      </c>
      <c r="B25" s="37" t="s">
        <v>1823</v>
      </c>
      <c r="C25" s="63"/>
      <c r="D25" s="64"/>
      <c r="E25" s="64"/>
      <c r="F25" s="21">
        <v>11196</v>
      </c>
      <c r="G25" s="21">
        <f t="shared" si="0"/>
        <v>6158</v>
      </c>
      <c r="R25" s="5" t="e">
        <f>VLOOKUP(N25,'Seismic Springs 2025'!$A:$I,9,0)</f>
        <v>#N/A</v>
      </c>
      <c r="S25" s="5" t="e">
        <f t="shared" si="1"/>
        <v>#N/A</v>
      </c>
      <c r="T25" s="5" t="e">
        <f>VLOOKUP(K25,'Inertia Bases 2025'!$A:$H,8,0)</f>
        <v>#N/A</v>
      </c>
    </row>
    <row r="26" spans="1:20" ht="15.75" customHeight="1">
      <c r="A26" s="37">
        <v>96108763</v>
      </c>
      <c r="B26" s="37" t="s">
        <v>1824</v>
      </c>
      <c r="C26" s="63"/>
      <c r="D26" s="64"/>
      <c r="E26" s="64"/>
      <c r="F26" s="21">
        <v>11228</v>
      </c>
      <c r="G26" s="21">
        <f t="shared" si="0"/>
        <v>6176</v>
      </c>
      <c r="R26" s="5" t="e">
        <f>VLOOKUP(N26,'Seismic Springs 2025'!$A:$I,9,0)</f>
        <v>#N/A</v>
      </c>
      <c r="S26" s="5" t="e">
        <f t="shared" si="1"/>
        <v>#N/A</v>
      </c>
      <c r="T26" s="5" t="e">
        <f>VLOOKUP(K26,'Inertia Bases 2025'!$A:$H,8,0)</f>
        <v>#N/A</v>
      </c>
    </row>
    <row r="27" spans="1:20" ht="15.75" customHeight="1">
      <c r="A27" s="37">
        <v>96108764</v>
      </c>
      <c r="B27" s="37" t="s">
        <v>1825</v>
      </c>
      <c r="C27" s="63"/>
      <c r="D27" s="64"/>
      <c r="E27" s="64"/>
      <c r="F27" s="21">
        <v>13914</v>
      </c>
      <c r="G27" s="21">
        <f t="shared" si="0"/>
        <v>7653</v>
      </c>
      <c r="R27" s="5" t="e">
        <f>VLOOKUP(N27,'Seismic Springs 2025'!$A:$I,9,0)</f>
        <v>#N/A</v>
      </c>
      <c r="S27" s="5" t="e">
        <f t="shared" si="1"/>
        <v>#N/A</v>
      </c>
      <c r="T27" s="5" t="e">
        <f>VLOOKUP(K27,'Inertia Bases 2025'!$A:$H,8,0)</f>
        <v>#N/A</v>
      </c>
    </row>
    <row r="28" spans="1:20" ht="15.75" customHeight="1">
      <c r="A28" s="37">
        <v>96108873</v>
      </c>
      <c r="B28" s="37" t="s">
        <v>1826</v>
      </c>
      <c r="C28" s="63"/>
      <c r="D28" s="64"/>
      <c r="E28" s="64"/>
      <c r="F28" s="21">
        <v>6145</v>
      </c>
      <c r="G28" s="21">
        <f t="shared" si="0"/>
        <v>3380</v>
      </c>
      <c r="R28" s="5" t="e">
        <f>VLOOKUP(N28,'Seismic Springs 2025'!$A:$I,9,0)</f>
        <v>#N/A</v>
      </c>
      <c r="S28" s="5" t="e">
        <f t="shared" si="1"/>
        <v>#N/A</v>
      </c>
      <c r="T28" s="5" t="e">
        <f>VLOOKUP(K28,'Inertia Bases 2025'!$A:$H,8,0)</f>
        <v>#N/A</v>
      </c>
    </row>
    <row r="29" spans="1:20" ht="15.75" customHeight="1">
      <c r="A29" s="37">
        <v>96108875</v>
      </c>
      <c r="B29" s="37" t="s">
        <v>1827</v>
      </c>
      <c r="C29" s="63"/>
      <c r="D29" s="64"/>
      <c r="E29" s="64"/>
      <c r="F29" s="21">
        <v>7955</v>
      </c>
      <c r="G29" s="21">
        <f t="shared" si="0"/>
        <v>4376</v>
      </c>
      <c r="R29" s="5" t="e">
        <f>VLOOKUP(N29,'Seismic Springs 2025'!$A:$I,9,0)</f>
        <v>#N/A</v>
      </c>
      <c r="S29" s="5" t="e">
        <f t="shared" si="1"/>
        <v>#N/A</v>
      </c>
      <c r="T29" s="5" t="e">
        <f>VLOOKUP(K29,'Inertia Bases 2025'!$A:$H,8,0)</f>
        <v>#N/A</v>
      </c>
    </row>
    <row r="30" spans="1:20" ht="15.75" customHeight="1">
      <c r="A30" s="37">
        <v>96108876</v>
      </c>
      <c r="B30" s="37" t="s">
        <v>1828</v>
      </c>
      <c r="C30" s="63"/>
      <c r="D30" s="64"/>
      <c r="E30" s="64"/>
      <c r="F30" s="21">
        <v>9550</v>
      </c>
      <c r="G30" s="21">
        <f t="shared" si="0"/>
        <v>5253</v>
      </c>
      <c r="R30" s="5" t="e">
        <f>VLOOKUP(N30,'Seismic Springs 2025'!$A:$I,9,0)</f>
        <v>#N/A</v>
      </c>
      <c r="S30" s="5" t="e">
        <f t="shared" si="1"/>
        <v>#N/A</v>
      </c>
      <c r="T30" s="5" t="e">
        <f>VLOOKUP(K30,'Inertia Bases 2025'!$A:$H,8,0)</f>
        <v>#N/A</v>
      </c>
    </row>
    <row r="31" spans="1:20" ht="15.75" customHeight="1">
      <c r="A31" s="37">
        <v>96108877</v>
      </c>
      <c r="B31" s="37" t="s">
        <v>1829</v>
      </c>
      <c r="C31" s="63"/>
      <c r="D31" s="64"/>
      <c r="E31" s="64"/>
      <c r="F31" s="21">
        <v>11401</v>
      </c>
      <c r="G31" s="21">
        <f t="shared" si="0"/>
        <v>6271</v>
      </c>
      <c r="R31" s="5" t="e">
        <f>VLOOKUP(N31,'Seismic Springs 2025'!$A:$I,9,0)</f>
        <v>#N/A</v>
      </c>
      <c r="S31" s="5" t="e">
        <f t="shared" si="1"/>
        <v>#N/A</v>
      </c>
      <c r="T31" s="5" t="e">
        <f>VLOOKUP(K31,'Inertia Bases 2025'!$A:$H,8,0)</f>
        <v>#N/A</v>
      </c>
    </row>
    <row r="32" spans="1:20" ht="15.75" customHeight="1">
      <c r="A32" s="37">
        <v>96108878</v>
      </c>
      <c r="B32" s="37" t="s">
        <v>1830</v>
      </c>
      <c r="C32" s="63"/>
      <c r="D32" s="64"/>
      <c r="E32" s="64"/>
      <c r="F32" s="21">
        <v>13441</v>
      </c>
      <c r="G32" s="21">
        <f t="shared" si="0"/>
        <v>7393</v>
      </c>
      <c r="R32" s="5" t="e">
        <f>VLOOKUP(N32,'Seismic Springs 2025'!$A:$I,9,0)</f>
        <v>#N/A</v>
      </c>
      <c r="S32" s="5" t="e">
        <f t="shared" si="1"/>
        <v>#N/A</v>
      </c>
      <c r="T32" s="5" t="e">
        <f>VLOOKUP(K32,'Inertia Bases 2025'!$A:$H,8,0)</f>
        <v>#N/A</v>
      </c>
    </row>
    <row r="33" spans="1:20" ht="15.75" customHeight="1">
      <c r="A33" s="37">
        <v>96109093</v>
      </c>
      <c r="B33" s="37" t="s">
        <v>1831</v>
      </c>
      <c r="C33" s="63"/>
      <c r="D33" s="11"/>
      <c r="E33" s="11"/>
      <c r="F33" s="21">
        <v>7138</v>
      </c>
      <c r="G33" s="21">
        <f t="shared" si="0"/>
        <v>3926</v>
      </c>
      <c r="R33" s="5" t="e">
        <f>VLOOKUP(N33,'Seismic Springs 2025'!$A:$I,9,0)</f>
        <v>#N/A</v>
      </c>
      <c r="S33" s="5" t="e">
        <f t="shared" si="1"/>
        <v>#N/A</v>
      </c>
      <c r="T33" s="5" t="e">
        <f>VLOOKUP(K33,'Inertia Bases 2025'!$A:$H,8,0)</f>
        <v>#N/A</v>
      </c>
    </row>
    <row r="34" spans="1:20" ht="15.75" customHeight="1">
      <c r="A34" s="37">
        <v>96109094</v>
      </c>
      <c r="B34" s="37" t="s">
        <v>1832</v>
      </c>
      <c r="C34" s="63"/>
      <c r="D34" s="11"/>
      <c r="E34" s="11"/>
      <c r="F34" s="21">
        <v>7639</v>
      </c>
      <c r="G34" s="21">
        <f t="shared" si="0"/>
        <v>4202</v>
      </c>
      <c r="R34" s="5" t="e">
        <f>VLOOKUP(N34,'Seismic Springs 2025'!$A:$I,9,0)</f>
        <v>#N/A</v>
      </c>
      <c r="S34" s="5" t="e">
        <f t="shared" si="1"/>
        <v>#N/A</v>
      </c>
      <c r="T34" s="5" t="e">
        <f>VLOOKUP(K34,'Inertia Bases 2025'!$A:$H,8,0)</f>
        <v>#N/A</v>
      </c>
    </row>
    <row r="35" spans="1:20" ht="15.75" customHeight="1">
      <c r="A35" s="37">
        <v>96109095</v>
      </c>
      <c r="B35" s="37" t="s">
        <v>1833</v>
      </c>
      <c r="C35" s="63"/>
      <c r="D35" s="11"/>
      <c r="E35" s="11"/>
      <c r="F35" s="21">
        <v>8058</v>
      </c>
      <c r="G35" s="21">
        <f t="shared" si="0"/>
        <v>4432</v>
      </c>
      <c r="R35" s="5" t="e">
        <f>VLOOKUP(N35,'Seismic Springs 2025'!$A:$I,9,0)</f>
        <v>#N/A</v>
      </c>
      <c r="S35" s="5" t="e">
        <f t="shared" si="1"/>
        <v>#N/A</v>
      </c>
      <c r="T35" s="5" t="e">
        <f>VLOOKUP(K35,'Inertia Bases 2025'!$A:$H,8,0)</f>
        <v>#N/A</v>
      </c>
    </row>
    <row r="36" spans="1:20" ht="15.75" customHeight="1">
      <c r="A36" s="37">
        <v>96109221</v>
      </c>
      <c r="B36" s="37" t="s">
        <v>1834</v>
      </c>
      <c r="C36" s="63"/>
      <c r="D36" s="64"/>
      <c r="E36" s="64"/>
      <c r="F36" s="21">
        <v>5624</v>
      </c>
      <c r="G36" s="21">
        <f t="shared" si="0"/>
        <v>3094</v>
      </c>
      <c r="R36" s="5" t="e">
        <f>VLOOKUP(N36,'Seismic Springs 2025'!$A:$I,9,0)</f>
        <v>#N/A</v>
      </c>
      <c r="S36" s="5" t="e">
        <f t="shared" si="1"/>
        <v>#N/A</v>
      </c>
      <c r="T36" s="5" t="e">
        <f>VLOOKUP(K36,'Inertia Bases 2025'!$A:$H,8,0)</f>
        <v>#N/A</v>
      </c>
    </row>
    <row r="37" spans="1:20" ht="15.75" customHeight="1">
      <c r="A37" s="37">
        <v>96109222</v>
      </c>
      <c r="B37" s="37" t="s">
        <v>1835</v>
      </c>
      <c r="C37" s="63"/>
      <c r="D37" s="11"/>
      <c r="E37" s="11"/>
      <c r="F37" s="21">
        <v>6893</v>
      </c>
      <c r="G37" s="21">
        <f t="shared" si="0"/>
        <v>3792</v>
      </c>
      <c r="R37" s="5" t="e">
        <f>VLOOKUP(N37,'Seismic Springs 2025'!$A:$I,9,0)</f>
        <v>#N/A</v>
      </c>
      <c r="S37" s="5" t="e">
        <f t="shared" si="1"/>
        <v>#N/A</v>
      </c>
      <c r="T37" s="5" t="e">
        <f>VLOOKUP(K37,'Inertia Bases 2025'!$A:$H,8,0)</f>
        <v>#N/A</v>
      </c>
    </row>
    <row r="38" spans="1:20">
      <c r="A38" s="37">
        <v>96109223</v>
      </c>
      <c r="B38" s="37" t="s">
        <v>1836</v>
      </c>
      <c r="C38" s="63"/>
      <c r="D38" s="11"/>
      <c r="E38" s="11"/>
      <c r="F38" s="21">
        <v>7148</v>
      </c>
      <c r="G38" s="21">
        <f t="shared" si="0"/>
        <v>3932</v>
      </c>
      <c r="R38" s="5" t="e">
        <f>VLOOKUP(N38,'Seismic Springs 2025'!$A:$I,9,0)</f>
        <v>#N/A</v>
      </c>
      <c r="S38" s="5" t="e">
        <f t="shared" si="1"/>
        <v>#N/A</v>
      </c>
      <c r="T38" s="5" t="e">
        <f>VLOOKUP(K38,'Inertia Bases 2025'!$A:$H,8,0)</f>
        <v>#N/A</v>
      </c>
    </row>
    <row r="39" spans="1:20">
      <c r="A39" s="37">
        <v>96109224</v>
      </c>
      <c r="B39" s="37" t="s">
        <v>1837</v>
      </c>
      <c r="C39" s="63"/>
      <c r="D39" s="11"/>
      <c r="E39" s="11"/>
      <c r="F39" s="21">
        <v>11587</v>
      </c>
      <c r="G39" s="21">
        <f t="shared" si="0"/>
        <v>6373</v>
      </c>
      <c r="R39" s="5" t="e">
        <f>VLOOKUP(N39,'Seismic Springs 2025'!$A:$I,9,0)</f>
        <v>#N/A</v>
      </c>
      <c r="S39" s="5" t="e">
        <f t="shared" si="1"/>
        <v>#N/A</v>
      </c>
      <c r="T39" s="5" t="e">
        <f>VLOOKUP(K39,'Inertia Bases 2025'!$A:$H,8,0)</f>
        <v>#N/A</v>
      </c>
    </row>
    <row r="40" spans="1:20">
      <c r="A40" s="37">
        <v>96109225</v>
      </c>
      <c r="B40" s="37" t="s">
        <v>1838</v>
      </c>
      <c r="C40" s="63"/>
      <c r="D40" s="11"/>
      <c r="E40" s="11"/>
      <c r="F40" s="21">
        <v>12863</v>
      </c>
      <c r="G40" s="21">
        <f t="shared" si="0"/>
        <v>7075</v>
      </c>
      <c r="R40" s="5" t="e">
        <f>VLOOKUP(N40,'Seismic Springs 2025'!$A:$I,9,0)</f>
        <v>#N/A</v>
      </c>
      <c r="S40" s="5" t="e">
        <f t="shared" si="1"/>
        <v>#N/A</v>
      </c>
      <c r="T40" s="5" t="e">
        <f>VLOOKUP(K40,'Inertia Bases 2025'!$A:$H,8,0)</f>
        <v>#N/A</v>
      </c>
    </row>
    <row r="41" spans="1:20">
      <c r="A41" s="37">
        <v>96109226</v>
      </c>
      <c r="B41" s="37" t="s">
        <v>1839</v>
      </c>
      <c r="C41" s="63"/>
      <c r="D41" s="11"/>
      <c r="E41" s="11"/>
      <c r="F41" s="21">
        <v>15253</v>
      </c>
      <c r="G41" s="21">
        <f t="shared" si="0"/>
        <v>8390</v>
      </c>
      <c r="R41" s="5" t="e">
        <f>VLOOKUP(N41,'Seismic Springs 2025'!$A:$I,9,0)</f>
        <v>#N/A</v>
      </c>
      <c r="S41" s="5" t="e">
        <f t="shared" si="1"/>
        <v>#N/A</v>
      </c>
      <c r="T41" s="5" t="e">
        <f>VLOOKUP(K41,'Inertia Bases 2025'!$A:$H,8,0)</f>
        <v>#N/A</v>
      </c>
    </row>
    <row r="42" spans="1:20">
      <c r="A42" s="37">
        <v>96109227</v>
      </c>
      <c r="B42" s="37" t="s">
        <v>1840</v>
      </c>
      <c r="C42" s="63"/>
      <c r="D42" s="11"/>
      <c r="E42" s="11"/>
      <c r="F42" s="21">
        <v>17166</v>
      </c>
      <c r="G42" s="21">
        <f t="shared" si="0"/>
        <v>9442</v>
      </c>
      <c r="R42" s="5" t="e">
        <f>VLOOKUP(N42,'Seismic Springs 2025'!$A:$I,9,0)</f>
        <v>#N/A</v>
      </c>
      <c r="S42" s="5" t="e">
        <f t="shared" si="1"/>
        <v>#N/A</v>
      </c>
      <c r="T42" s="5" t="e">
        <f>VLOOKUP(K42,'Inertia Bases 2025'!$A:$H,8,0)</f>
        <v>#N/A</v>
      </c>
    </row>
    <row r="43" spans="1:20">
      <c r="A43" s="37">
        <v>96109341</v>
      </c>
      <c r="B43" s="37" t="s">
        <v>1841</v>
      </c>
      <c r="C43" s="63"/>
      <c r="D43" s="11"/>
      <c r="E43" s="11"/>
      <c r="F43" s="21">
        <v>9463</v>
      </c>
      <c r="G43" s="21">
        <f t="shared" si="0"/>
        <v>5205</v>
      </c>
      <c r="R43" s="5" t="e">
        <f>VLOOKUP(N43,'Seismic Springs 2025'!$A:$I,9,0)</f>
        <v>#N/A</v>
      </c>
      <c r="S43" s="5" t="e">
        <f t="shared" si="1"/>
        <v>#N/A</v>
      </c>
      <c r="T43" s="5" t="e">
        <f>VLOOKUP(K43,'Inertia Bases 2025'!$A:$H,8,0)</f>
        <v>#N/A</v>
      </c>
    </row>
    <row r="44" spans="1:20">
      <c r="A44" s="37">
        <v>96109342</v>
      </c>
      <c r="B44" s="37" t="s">
        <v>1842</v>
      </c>
      <c r="C44" s="63"/>
      <c r="D44" s="11"/>
      <c r="E44" s="11"/>
      <c r="F44" s="21">
        <v>10486</v>
      </c>
      <c r="G44" s="21">
        <f t="shared" si="0"/>
        <v>5768</v>
      </c>
      <c r="R44" s="5" t="e">
        <f>VLOOKUP(N44,'Seismic Springs 2025'!$A:$I,9,0)</f>
        <v>#N/A</v>
      </c>
      <c r="S44" s="5" t="e">
        <f t="shared" si="1"/>
        <v>#N/A</v>
      </c>
      <c r="T44" s="5" t="e">
        <f>VLOOKUP(K44,'Inertia Bases 2025'!$A:$H,8,0)</f>
        <v>#N/A</v>
      </c>
    </row>
    <row r="45" spans="1:20">
      <c r="A45" s="37">
        <v>96109343</v>
      </c>
      <c r="B45" s="37" t="s">
        <v>1843</v>
      </c>
      <c r="C45" s="63"/>
      <c r="D45" s="11"/>
      <c r="E45" s="11"/>
      <c r="F45" s="21">
        <v>11784</v>
      </c>
      <c r="G45" s="21">
        <f t="shared" si="0"/>
        <v>6482</v>
      </c>
      <c r="R45" s="5" t="e">
        <f>VLOOKUP(N45,'Seismic Springs 2025'!$A:$I,9,0)</f>
        <v>#N/A</v>
      </c>
      <c r="S45" s="5" t="e">
        <f t="shared" si="1"/>
        <v>#N/A</v>
      </c>
      <c r="T45" s="5" t="e">
        <f>VLOOKUP(K45,'Inertia Bases 2025'!$A:$H,8,0)</f>
        <v>#N/A</v>
      </c>
    </row>
    <row r="46" spans="1:20">
      <c r="A46" s="37">
        <v>96109344</v>
      </c>
      <c r="B46" s="37" t="s">
        <v>1844</v>
      </c>
      <c r="C46" s="63"/>
      <c r="D46" s="11"/>
      <c r="E46" s="11"/>
      <c r="F46" s="21">
        <v>14054</v>
      </c>
      <c r="G46" s="21">
        <f t="shared" si="0"/>
        <v>7730</v>
      </c>
      <c r="R46" s="5" t="e">
        <f>VLOOKUP(N46,'Seismic Springs 2025'!$A:$I,9,0)</f>
        <v>#N/A</v>
      </c>
      <c r="S46" s="5" t="e">
        <f t="shared" si="1"/>
        <v>#N/A</v>
      </c>
      <c r="T46" s="5" t="e">
        <f>VLOOKUP(K46,'Inertia Bases 2025'!$A:$H,8,0)</f>
        <v>#N/A</v>
      </c>
    </row>
    <row r="47" spans="1:20">
      <c r="A47" s="37">
        <v>96109345</v>
      </c>
      <c r="B47" s="37" t="s">
        <v>1845</v>
      </c>
      <c r="C47" s="63"/>
      <c r="D47" s="11"/>
      <c r="E47" s="11"/>
      <c r="F47" s="21">
        <v>16835</v>
      </c>
      <c r="G47" s="21">
        <f t="shared" si="0"/>
        <v>9260</v>
      </c>
      <c r="K47" s="7">
        <v>92513065</v>
      </c>
      <c r="L47" s="7" t="s">
        <v>742</v>
      </c>
      <c r="N47" s="7">
        <v>91338157</v>
      </c>
      <c r="O47" s="7" t="s">
        <v>744</v>
      </c>
      <c r="P47" s="7">
        <v>4</v>
      </c>
      <c r="R47" s="5">
        <f>VLOOKUP(N47,'Seismic Springs 2025'!$A:$I,9,0)</f>
        <v>66.3</v>
      </c>
      <c r="S47" s="5">
        <f t="shared" si="1"/>
        <v>265.2</v>
      </c>
      <c r="T47" s="5">
        <f>VLOOKUP(K47,'Inertia Bases 2025'!$A:$H,8,0)</f>
        <v>610.6</v>
      </c>
    </row>
    <row r="48" spans="1:20">
      <c r="A48" s="37">
        <v>96109346</v>
      </c>
      <c r="B48" s="37" t="s">
        <v>1846</v>
      </c>
      <c r="C48" s="63"/>
      <c r="D48" s="11"/>
      <c r="E48" s="11"/>
      <c r="F48" s="21">
        <v>19126</v>
      </c>
      <c r="G48" s="21">
        <f t="shared" si="0"/>
        <v>10520</v>
      </c>
      <c r="R48" s="5" t="e">
        <f>VLOOKUP(N48,'Seismic Springs 2025'!$A:$I,9,0)</f>
        <v>#N/A</v>
      </c>
      <c r="S48" s="5" t="e">
        <f t="shared" si="1"/>
        <v>#N/A</v>
      </c>
      <c r="T48" s="5" t="e">
        <f>VLOOKUP(K48,'Inertia Bases 2025'!$A:$H,8,0)</f>
        <v>#N/A</v>
      </c>
    </row>
    <row r="49" spans="1:20">
      <c r="A49" s="37">
        <v>97851334</v>
      </c>
      <c r="B49" s="37" t="s">
        <v>1847</v>
      </c>
      <c r="C49" s="63"/>
      <c r="D49" s="64"/>
      <c r="E49" s="64"/>
      <c r="F49" s="21">
        <v>2365</v>
      </c>
      <c r="G49" s="21">
        <f t="shared" si="0"/>
        <v>1301</v>
      </c>
      <c r="R49" s="5" t="e">
        <f>VLOOKUP(N49,'Seismic Springs 2025'!$A:$I,9,0)</f>
        <v>#N/A</v>
      </c>
      <c r="S49" s="5" t="e">
        <f t="shared" si="1"/>
        <v>#N/A</v>
      </c>
      <c r="T49" s="5" t="e">
        <f>VLOOKUP(K49,'Inertia Bases 2025'!$A:$H,8,0)</f>
        <v>#N/A</v>
      </c>
    </row>
    <row r="50" spans="1:20">
      <c r="A50" s="37">
        <v>98066916</v>
      </c>
      <c r="B50" s="37" t="s">
        <v>1848</v>
      </c>
      <c r="C50" s="63"/>
      <c r="D50" s="64"/>
      <c r="E50" s="64"/>
      <c r="F50" s="21">
        <v>2985</v>
      </c>
      <c r="G50" s="21">
        <f t="shared" si="0"/>
        <v>1642</v>
      </c>
      <c r="R50" s="5" t="e">
        <f>VLOOKUP(N50,'Seismic Springs 2025'!$A:$I,9,0)</f>
        <v>#N/A</v>
      </c>
      <c r="S50" s="5" t="e">
        <f t="shared" si="1"/>
        <v>#N/A</v>
      </c>
      <c r="T50" s="5" t="e">
        <f>VLOOKUP(K50,'Inertia Bases 2025'!$A:$H,8,0)</f>
        <v>#N/A</v>
      </c>
    </row>
    <row r="51" spans="1:20">
      <c r="A51" s="37">
        <v>98122409</v>
      </c>
      <c r="B51" s="37" t="s">
        <v>1849</v>
      </c>
      <c r="C51" s="63"/>
      <c r="D51" s="64"/>
      <c r="E51" s="64"/>
      <c r="F51" s="21">
        <v>1881</v>
      </c>
      <c r="G51" s="21">
        <f t="shared" si="0"/>
        <v>1035</v>
      </c>
      <c r="R51" s="5" t="e">
        <f>VLOOKUP(N51,'Seismic Springs 2025'!$A:$I,9,0)</f>
        <v>#N/A</v>
      </c>
      <c r="S51" s="5" t="e">
        <f t="shared" si="1"/>
        <v>#N/A</v>
      </c>
      <c r="T51" s="5" t="e">
        <f>VLOOKUP(K51,'Inertia Bases 2025'!$A:$H,8,0)</f>
        <v>#N/A</v>
      </c>
    </row>
    <row r="52" spans="1:20">
      <c r="A52" s="37">
        <v>98133648</v>
      </c>
      <c r="B52" s="37" t="s">
        <v>1850</v>
      </c>
      <c r="C52" s="63"/>
      <c r="D52" s="64"/>
      <c r="E52" s="64"/>
      <c r="F52" s="21">
        <v>3279</v>
      </c>
      <c r="G52" s="21">
        <f t="shared" si="0"/>
        <v>1804</v>
      </c>
      <c r="R52" s="5" t="e">
        <f>VLOOKUP(N52,'Seismic Springs 2025'!$A:$I,9,0)</f>
        <v>#N/A</v>
      </c>
      <c r="S52" s="5" t="e">
        <f t="shared" si="1"/>
        <v>#N/A</v>
      </c>
      <c r="T52" s="5" t="e">
        <f>VLOOKUP(K52,'Inertia Bases 2025'!$A:$H,8,0)</f>
        <v>#N/A</v>
      </c>
    </row>
    <row r="53" spans="1:20">
      <c r="A53" s="37">
        <v>98133671</v>
      </c>
      <c r="B53" s="37" t="s">
        <v>1851</v>
      </c>
      <c r="C53" s="63"/>
      <c r="D53" s="64"/>
      <c r="E53" s="64"/>
      <c r="F53" s="21">
        <v>2801</v>
      </c>
      <c r="G53" s="21">
        <f t="shared" si="0"/>
        <v>1541</v>
      </c>
      <c r="R53" s="5" t="e">
        <f>VLOOKUP(N53,'Seismic Springs 2025'!$A:$I,9,0)</f>
        <v>#N/A</v>
      </c>
      <c r="S53" s="5" t="e">
        <f t="shared" si="1"/>
        <v>#N/A</v>
      </c>
      <c r="T53" s="5" t="e">
        <f>VLOOKUP(K53,'Inertia Bases 2025'!$A:$H,8,0)</f>
        <v>#N/A</v>
      </c>
    </row>
    <row r="54" spans="1:20">
      <c r="A54" s="37">
        <v>98182027</v>
      </c>
      <c r="B54" s="37" t="s">
        <v>1852</v>
      </c>
      <c r="C54" s="63"/>
      <c r="D54" s="64"/>
      <c r="E54" s="64"/>
      <c r="F54" s="21">
        <v>2366</v>
      </c>
      <c r="G54" s="21">
        <f t="shared" si="0"/>
        <v>1302</v>
      </c>
      <c r="R54" s="5" t="e">
        <f>VLOOKUP(N54,'Seismic Springs 2025'!$A:$I,9,0)</f>
        <v>#N/A</v>
      </c>
      <c r="S54" s="5" t="e">
        <f t="shared" si="1"/>
        <v>#N/A</v>
      </c>
      <c r="T54" s="5" t="e">
        <f>VLOOKUP(K54,'Inertia Bases 2025'!$A:$H,8,0)</f>
        <v>#N/A</v>
      </c>
    </row>
    <row r="55" spans="1:20">
      <c r="A55" s="37">
        <v>98279255</v>
      </c>
      <c r="B55" s="37" t="s">
        <v>1853</v>
      </c>
      <c r="C55" s="63"/>
      <c r="D55" s="64"/>
      <c r="E55" s="64"/>
      <c r="F55" s="21">
        <v>2903</v>
      </c>
      <c r="G55" s="21">
        <f t="shared" si="0"/>
        <v>1597</v>
      </c>
      <c r="R55" s="5" t="e">
        <f>VLOOKUP(N55,'Seismic Springs 2025'!$A:$I,9,0)</f>
        <v>#N/A</v>
      </c>
      <c r="S55" s="5" t="e">
        <f t="shared" si="1"/>
        <v>#N/A</v>
      </c>
      <c r="T55" s="5" t="e">
        <f>VLOOKUP(K55,'Inertia Bases 2025'!$A:$H,8,0)</f>
        <v>#N/A</v>
      </c>
    </row>
    <row r="56" spans="1:20">
      <c r="A56" s="37">
        <v>98294231</v>
      </c>
      <c r="B56" s="37" t="s">
        <v>1854</v>
      </c>
      <c r="C56" s="63"/>
      <c r="D56" s="64"/>
      <c r="E56" s="64"/>
      <c r="F56" s="21">
        <v>2893</v>
      </c>
      <c r="G56" s="21">
        <f t="shared" si="0"/>
        <v>1592</v>
      </c>
      <c r="R56" s="5" t="e">
        <f>VLOOKUP(N56,'Seismic Springs 2025'!$A:$I,9,0)</f>
        <v>#N/A</v>
      </c>
      <c r="S56" s="5" t="e">
        <f t="shared" si="1"/>
        <v>#N/A</v>
      </c>
      <c r="T56" s="5" t="e">
        <f>VLOOKUP(K56,'Inertia Bases 2025'!$A:$H,8,0)</f>
        <v>#N/A</v>
      </c>
    </row>
    <row r="57" spans="1:20">
      <c r="A57" s="37">
        <v>98299122</v>
      </c>
      <c r="B57" s="37" t="s">
        <v>1855</v>
      </c>
      <c r="C57" s="63"/>
      <c r="D57" s="11"/>
      <c r="E57" s="11"/>
      <c r="F57" s="21">
        <v>1978</v>
      </c>
      <c r="G57" s="21">
        <f t="shared" si="0"/>
        <v>1088</v>
      </c>
      <c r="R57" s="5" t="e">
        <f>VLOOKUP(N57,'Seismic Springs 2025'!$A:$I,9,0)</f>
        <v>#N/A</v>
      </c>
      <c r="S57" s="5" t="e">
        <f t="shared" si="1"/>
        <v>#N/A</v>
      </c>
      <c r="T57" s="5" t="e">
        <f>VLOOKUP(K57,'Inertia Bases 2025'!$A:$H,8,0)</f>
        <v>#N/A</v>
      </c>
    </row>
    <row r="58" spans="1:20">
      <c r="A58" s="37">
        <v>98346582</v>
      </c>
      <c r="B58" s="37" t="s">
        <v>1855</v>
      </c>
      <c r="C58" s="63"/>
      <c r="D58" s="11"/>
      <c r="E58" s="11"/>
      <c r="F58" s="21">
        <v>1646</v>
      </c>
      <c r="G58" s="21">
        <f t="shared" si="0"/>
        <v>906</v>
      </c>
      <c r="R58" s="5" t="e">
        <f>VLOOKUP(N58,'Seismic Springs 2025'!$A:$I,9,0)</f>
        <v>#N/A</v>
      </c>
      <c r="S58" s="5" t="e">
        <f t="shared" si="1"/>
        <v>#N/A</v>
      </c>
      <c r="T58" s="5" t="e">
        <f>VLOOKUP(K58,'Inertia Bases 2025'!$A:$H,8,0)</f>
        <v>#N/A</v>
      </c>
    </row>
    <row r="59" spans="1:20">
      <c r="A59" s="37">
        <v>98420371</v>
      </c>
      <c r="B59" s="37" t="s">
        <v>1856</v>
      </c>
      <c r="C59" s="63"/>
      <c r="D59" s="64"/>
      <c r="E59" s="64"/>
      <c r="F59" s="21">
        <v>3986</v>
      </c>
      <c r="G59" s="21">
        <f t="shared" si="0"/>
        <v>2193</v>
      </c>
      <c r="R59" s="5" t="e">
        <f>VLOOKUP(N59,'Seismic Springs 2025'!$A:$I,9,0)</f>
        <v>#N/A</v>
      </c>
      <c r="S59" s="5" t="e">
        <f t="shared" si="1"/>
        <v>#N/A</v>
      </c>
      <c r="T59" s="5" t="e">
        <f>VLOOKUP(K59,'Inertia Bases 2025'!$A:$H,8,0)</f>
        <v>#N/A</v>
      </c>
    </row>
    <row r="60" spans="1:20">
      <c r="A60" s="37">
        <v>98509608</v>
      </c>
      <c r="B60" s="37" t="s">
        <v>1857</v>
      </c>
      <c r="C60" s="63"/>
      <c r="D60" s="64"/>
      <c r="E60" s="64"/>
      <c r="F60" s="21">
        <v>2909</v>
      </c>
      <c r="G60" s="21">
        <f t="shared" si="0"/>
        <v>1600</v>
      </c>
      <c r="R60" s="5" t="e">
        <f>VLOOKUP(N60,'Seismic Springs 2025'!$A:$I,9,0)</f>
        <v>#N/A</v>
      </c>
      <c r="S60" s="5" t="e">
        <f t="shared" si="1"/>
        <v>#N/A</v>
      </c>
      <c r="T60" s="5" t="e">
        <f>VLOOKUP(K60,'Inertia Bases 2025'!$A:$H,8,0)</f>
        <v>#N/A</v>
      </c>
    </row>
    <row r="61" spans="1:20">
      <c r="A61" s="37">
        <v>98585759</v>
      </c>
      <c r="B61" s="37" t="s">
        <v>1858</v>
      </c>
      <c r="C61" s="63"/>
      <c r="D61" s="64"/>
      <c r="E61" s="64"/>
      <c r="F61" s="21">
        <v>3662</v>
      </c>
      <c r="G61" s="21">
        <f t="shared" si="0"/>
        <v>2015</v>
      </c>
      <c r="R61" s="5" t="e">
        <f>VLOOKUP(N61,'Seismic Springs 2025'!$A:$I,9,0)</f>
        <v>#N/A</v>
      </c>
      <c r="S61" s="5" t="e">
        <f t="shared" si="1"/>
        <v>#N/A</v>
      </c>
      <c r="T61" s="5" t="e">
        <f>VLOOKUP(K61,'Inertia Bases 2025'!$A:$H,8,0)</f>
        <v>#N/A</v>
      </c>
    </row>
    <row r="62" spans="1:20">
      <c r="A62" s="37">
        <v>98742355</v>
      </c>
      <c r="B62" s="37" t="s">
        <v>1859</v>
      </c>
      <c r="C62" s="63"/>
      <c r="D62" s="64"/>
      <c r="E62" s="64"/>
      <c r="F62" s="21">
        <v>5459</v>
      </c>
      <c r="G62" s="21">
        <f t="shared" si="0"/>
        <v>3003</v>
      </c>
      <c r="R62" s="5" t="e">
        <f>VLOOKUP(N62,'Seismic Springs 2025'!$A:$I,9,0)</f>
        <v>#N/A</v>
      </c>
      <c r="S62" s="5" t="e">
        <f t="shared" si="1"/>
        <v>#N/A</v>
      </c>
      <c r="T62" s="5" t="e">
        <f>VLOOKUP(K62,'Inertia Bases 2025'!$A:$H,8,0)</f>
        <v>#N/A</v>
      </c>
    </row>
    <row r="63" spans="1:20">
      <c r="A63" s="37">
        <v>98742400</v>
      </c>
      <c r="B63" s="37" t="s">
        <v>1860</v>
      </c>
      <c r="C63" s="63"/>
      <c r="D63" s="11">
        <v>92996501</v>
      </c>
      <c r="E63" s="11" t="s">
        <v>1802</v>
      </c>
      <c r="F63" s="21">
        <v>4836</v>
      </c>
      <c r="G63" s="21">
        <f t="shared" si="0"/>
        <v>2660</v>
      </c>
      <c r="I63" s="21">
        <f>2938.37-G63</f>
        <v>278.36999999999989</v>
      </c>
      <c r="J63" s="23">
        <v>520</v>
      </c>
      <c r="K63" s="7"/>
      <c r="L63" s="7"/>
      <c r="M63" s="5">
        <v>11.7</v>
      </c>
      <c r="N63" s="7"/>
      <c r="O63" s="7"/>
      <c r="P63" s="7">
        <v>4</v>
      </c>
      <c r="Q63" s="5">
        <f>M63*P63</f>
        <v>46.8</v>
      </c>
      <c r="R63" s="5" t="e">
        <f>VLOOKUP(N63,'Seismic Springs 2025'!$A:$I,9,0)</f>
        <v>#N/A</v>
      </c>
      <c r="S63" s="5" t="e">
        <f t="shared" si="1"/>
        <v>#N/A</v>
      </c>
      <c r="T63" s="5" t="e">
        <f>VLOOKUP(K63,'Inertia Bases 2025'!$A:$H,8,0)</f>
        <v>#N/A</v>
      </c>
    </row>
    <row r="64" spans="1:20">
      <c r="A64" s="37">
        <v>98742915</v>
      </c>
      <c r="B64" s="37" t="s">
        <v>1861</v>
      </c>
      <c r="C64" s="63"/>
      <c r="D64" s="64"/>
      <c r="E64" s="64"/>
      <c r="F64" s="21">
        <v>5211</v>
      </c>
      <c r="G64" s="21">
        <f t="shared" si="0"/>
        <v>2867</v>
      </c>
      <c r="R64" s="5" t="e">
        <f>VLOOKUP(N64,'Seismic Springs 2025'!$A:$I,9,0)</f>
        <v>#N/A</v>
      </c>
      <c r="S64" s="5" t="e">
        <f t="shared" si="1"/>
        <v>#N/A</v>
      </c>
      <c r="T64" s="5" t="e">
        <f>VLOOKUP(K64,'Inertia Bases 2025'!$A:$H,8,0)</f>
        <v>#N/A</v>
      </c>
    </row>
    <row r="65" spans="1:20">
      <c r="A65" s="37">
        <v>98743320</v>
      </c>
      <c r="B65" s="37" t="s">
        <v>1862</v>
      </c>
      <c r="C65" s="63"/>
      <c r="D65" s="11"/>
      <c r="E65" s="11"/>
      <c r="F65" s="21">
        <v>4933</v>
      </c>
      <c r="G65" s="21">
        <f t="shared" si="0"/>
        <v>2714</v>
      </c>
      <c r="R65" s="5" t="e">
        <f>VLOOKUP(N65,'Seismic Springs 2025'!$A:$I,9,0)</f>
        <v>#N/A</v>
      </c>
      <c r="S65" s="5" t="e">
        <f t="shared" si="1"/>
        <v>#N/A</v>
      </c>
      <c r="T65" s="5" t="e">
        <f>VLOOKUP(K65,'Inertia Bases 2025'!$A:$H,8,0)</f>
        <v>#N/A</v>
      </c>
    </row>
    <row r="66" spans="1:20">
      <c r="A66" s="37">
        <v>98743360</v>
      </c>
      <c r="B66" s="37" t="s">
        <v>1863</v>
      </c>
      <c r="C66" s="63"/>
      <c r="D66" s="11"/>
      <c r="E66" s="11"/>
      <c r="F66" s="21">
        <v>4374</v>
      </c>
      <c r="G66" s="21">
        <f t="shared" si="0"/>
        <v>2406</v>
      </c>
      <c r="R66" s="5" t="e">
        <f>VLOOKUP(N66,'Seismic Springs 2025'!$A:$I,9,0)</f>
        <v>#N/A</v>
      </c>
      <c r="S66" s="5" t="e">
        <f t="shared" si="1"/>
        <v>#N/A</v>
      </c>
      <c r="T66" s="5" t="e">
        <f>VLOOKUP(K66,'Inertia Bases 2025'!$A:$H,8,0)</f>
        <v>#N/A</v>
      </c>
    </row>
    <row r="67" spans="1:20">
      <c r="A67" s="37">
        <v>98810439</v>
      </c>
      <c r="B67" s="37" t="s">
        <v>1853</v>
      </c>
      <c r="C67" s="63"/>
      <c r="D67" s="64"/>
      <c r="E67" s="64"/>
      <c r="F67" s="21">
        <v>3265</v>
      </c>
      <c r="G67" s="21">
        <f t="shared" si="0"/>
        <v>1796</v>
      </c>
      <c r="R67" s="5" t="e">
        <f>VLOOKUP(N67,'Seismic Springs 2025'!$A:$I,9,0)</f>
        <v>#N/A</v>
      </c>
      <c r="S67" s="5" t="e">
        <f t="shared" si="1"/>
        <v>#N/A</v>
      </c>
      <c r="T67" s="5" t="e">
        <f>VLOOKUP(K67,'Inertia Bases 2025'!$A:$H,8,0)</f>
        <v>#N/A</v>
      </c>
    </row>
    <row r="68" spans="1:20">
      <c r="A68" s="37">
        <v>98843904</v>
      </c>
      <c r="B68" s="37" t="s">
        <v>1864</v>
      </c>
      <c r="C68" s="63"/>
      <c r="D68" s="64"/>
      <c r="E68" s="64"/>
      <c r="F68" s="21">
        <v>4632</v>
      </c>
      <c r="G68" s="21">
        <f t="shared" si="0"/>
        <v>2548</v>
      </c>
      <c r="R68" s="5" t="e">
        <f>VLOOKUP(N68,'Seismic Springs 2025'!$A:$I,9,0)</f>
        <v>#N/A</v>
      </c>
      <c r="S68" s="5" t="e">
        <f t="shared" si="1"/>
        <v>#N/A</v>
      </c>
      <c r="T68" s="5" t="e">
        <f>VLOOKUP(K68,'Inertia Bases 2025'!$A:$H,8,0)</f>
        <v>#N/A</v>
      </c>
    </row>
    <row r="69" spans="1:20">
      <c r="A69" s="37">
        <v>98957960</v>
      </c>
      <c r="B69" s="37" t="s">
        <v>1849</v>
      </c>
      <c r="C69" s="63"/>
      <c r="D69" s="64"/>
      <c r="E69" s="64"/>
      <c r="F69" s="21">
        <v>2214</v>
      </c>
      <c r="G69" s="21">
        <f t="shared" si="0"/>
        <v>1218</v>
      </c>
      <c r="R69" s="5" t="e">
        <f>VLOOKUP(N69,'Seismic Springs 2025'!$A:$I,9,0)</f>
        <v>#N/A</v>
      </c>
      <c r="S69" s="5" t="e">
        <f t="shared" si="1"/>
        <v>#N/A</v>
      </c>
      <c r="T69" s="5" t="e">
        <f>VLOOKUP(K69,'Inertia Bases 2025'!$A:$H,8,0)</f>
        <v>#N/A</v>
      </c>
    </row>
    <row r="70" spans="1:20">
      <c r="A70" s="37">
        <v>98957962</v>
      </c>
      <c r="B70" s="37" t="s">
        <v>1847</v>
      </c>
      <c r="C70" s="63"/>
      <c r="D70" s="64"/>
      <c r="E70" s="64"/>
      <c r="F70" s="21">
        <v>2697</v>
      </c>
      <c r="G70" s="21">
        <f t="shared" si="0"/>
        <v>1484</v>
      </c>
      <c r="R70" s="5" t="e">
        <f>VLOOKUP(N70,'Seismic Springs 2025'!$A:$I,9,0)</f>
        <v>#N/A</v>
      </c>
      <c r="S70" s="5" t="e">
        <f t="shared" si="1"/>
        <v>#N/A</v>
      </c>
      <c r="T70" s="5" t="e">
        <f>VLOOKUP(K70,'Inertia Bases 2025'!$A:$H,8,0)</f>
        <v>#N/A</v>
      </c>
    </row>
    <row r="71" spans="1:20">
      <c r="A71" s="37">
        <v>98957977</v>
      </c>
      <c r="B71" s="37" t="s">
        <v>1852</v>
      </c>
      <c r="C71" s="63"/>
      <c r="D71" s="64"/>
      <c r="E71" s="64"/>
      <c r="F71" s="21">
        <v>2699</v>
      </c>
      <c r="G71" s="21">
        <f t="shared" si="0"/>
        <v>1485</v>
      </c>
      <c r="R71" s="5" t="e">
        <f>VLOOKUP(N71,'Seismic Springs 2025'!$A:$I,9,0)</f>
        <v>#N/A</v>
      </c>
      <c r="S71" s="5" t="e">
        <f t="shared" si="1"/>
        <v>#N/A</v>
      </c>
      <c r="T71" s="5" t="e">
        <f>VLOOKUP(K71,'Inertia Bases 2025'!$A:$H,8,0)</f>
        <v>#N/A</v>
      </c>
    </row>
    <row r="72" spans="1:20">
      <c r="A72" s="37">
        <v>99272206</v>
      </c>
      <c r="B72" s="37" t="s">
        <v>1865</v>
      </c>
      <c r="C72" s="63"/>
      <c r="D72" s="11"/>
      <c r="E72" s="11"/>
      <c r="F72" s="21">
        <v>6835</v>
      </c>
      <c r="G72" s="21">
        <f t="shared" si="0"/>
        <v>3760</v>
      </c>
      <c r="R72" s="5" t="e">
        <f>VLOOKUP(N72,'Seismic Springs 2025'!$A:$I,9,0)</f>
        <v>#N/A</v>
      </c>
      <c r="S72" s="5" t="e">
        <f t="shared" si="1"/>
        <v>#N/A</v>
      </c>
      <c r="T72" s="5" t="e">
        <f>VLOOKUP(K72,'Inertia Bases 2025'!$A:$H,8,0)</f>
        <v>#N/A</v>
      </c>
    </row>
    <row r="73" spans="1:20">
      <c r="A73" s="37">
        <v>99272211</v>
      </c>
      <c r="B73" s="37" t="s">
        <v>1866</v>
      </c>
      <c r="C73" s="63"/>
      <c r="D73" s="11"/>
      <c r="E73" s="11"/>
      <c r="F73" s="21">
        <v>7540</v>
      </c>
      <c r="G73" s="21">
        <f t="shared" si="0"/>
        <v>4147</v>
      </c>
      <c r="R73" s="5" t="e">
        <f>VLOOKUP(N73,'Seismic Springs 2025'!$A:$I,9,0)</f>
        <v>#N/A</v>
      </c>
      <c r="S73" s="5" t="e">
        <f t="shared" si="1"/>
        <v>#N/A</v>
      </c>
      <c r="T73" s="5" t="e">
        <f>VLOOKUP(K73,'Inertia Bases 2025'!$A:$H,8,0)</f>
        <v>#N/A</v>
      </c>
    </row>
    <row r="74" spans="1:20">
      <c r="A74" s="37">
        <v>99272212</v>
      </c>
      <c r="B74" s="37" t="s">
        <v>1867</v>
      </c>
      <c r="C74" s="63"/>
      <c r="D74" s="11"/>
      <c r="E74" s="11"/>
      <c r="F74" s="21">
        <v>8053</v>
      </c>
      <c r="G74" s="21">
        <f t="shared" si="0"/>
        <v>4430</v>
      </c>
      <c r="R74" s="5" t="e">
        <f>VLOOKUP(N74,'Seismic Springs 2025'!$A:$I,9,0)</f>
        <v>#N/A</v>
      </c>
      <c r="S74" s="5" t="e">
        <f t="shared" si="1"/>
        <v>#N/A</v>
      </c>
      <c r="T74" s="5" t="e">
        <f>VLOOKUP(K74,'Inertia Bases 2025'!$A:$H,8,0)</f>
        <v>#N/A</v>
      </c>
    </row>
    <row r="75" spans="1:20">
      <c r="A75" s="37">
        <v>99272218</v>
      </c>
      <c r="B75" s="37" t="s">
        <v>1868</v>
      </c>
      <c r="C75" s="63"/>
      <c r="D75" s="11"/>
      <c r="E75" s="11"/>
      <c r="F75" s="21">
        <v>8316</v>
      </c>
      <c r="G75" s="21">
        <f t="shared" si="0"/>
        <v>4574</v>
      </c>
      <c r="R75" s="5" t="e">
        <f>VLOOKUP(N75,'Seismic Springs 2025'!$A:$I,9,0)</f>
        <v>#N/A</v>
      </c>
      <c r="S75" s="5" t="e">
        <f t="shared" si="1"/>
        <v>#N/A</v>
      </c>
      <c r="T75" s="5" t="e">
        <f>VLOOKUP(K75,'Inertia Bases 2025'!$A:$H,8,0)</f>
        <v>#N/A</v>
      </c>
    </row>
    <row r="76" spans="1:20">
      <c r="A76" s="37">
        <v>99272219</v>
      </c>
      <c r="B76" s="37" t="s">
        <v>1869</v>
      </c>
      <c r="C76" s="63"/>
      <c r="D76" s="11"/>
      <c r="E76" s="11"/>
      <c r="F76" s="21">
        <v>8731</v>
      </c>
      <c r="G76" s="21">
        <f t="shared" si="0"/>
        <v>4803</v>
      </c>
      <c r="R76" s="5" t="e">
        <f>VLOOKUP(N76,'Seismic Springs 2025'!$A:$I,9,0)</f>
        <v>#N/A</v>
      </c>
      <c r="S76" s="5" t="e">
        <f t="shared" si="1"/>
        <v>#N/A</v>
      </c>
      <c r="T76" s="5" t="e">
        <f>VLOOKUP(K76,'Inertia Bases 2025'!$A:$H,8,0)</f>
        <v>#N/A</v>
      </c>
    </row>
    <row r="77" spans="1:20">
      <c r="A77" s="37">
        <v>99272225</v>
      </c>
      <c r="B77" s="37" t="s">
        <v>1870</v>
      </c>
      <c r="C77" s="63"/>
      <c r="D77" s="11"/>
      <c r="E77" s="11"/>
      <c r="F77" s="21">
        <v>9168</v>
      </c>
      <c r="G77" s="21">
        <f t="shared" si="0"/>
        <v>5043</v>
      </c>
      <c r="R77" s="5" t="e">
        <f>VLOOKUP(N77,'Seismic Springs 2025'!$A:$I,9,0)</f>
        <v>#N/A</v>
      </c>
      <c r="S77" s="5" t="e">
        <f t="shared" si="1"/>
        <v>#N/A</v>
      </c>
      <c r="T77" s="5" t="e">
        <f>VLOOKUP(K77,'Inertia Bases 2025'!$A:$H,8,0)</f>
        <v>#N/A</v>
      </c>
    </row>
    <row r="78" spans="1:20">
      <c r="A78" s="37">
        <v>99122807</v>
      </c>
      <c r="B78" s="37" t="s">
        <v>1871</v>
      </c>
      <c r="C78" s="63"/>
      <c r="D78" s="11"/>
      <c r="E78" s="11"/>
      <c r="F78" s="21">
        <v>4465</v>
      </c>
      <c r="G78" s="21">
        <f t="shared" si="0"/>
        <v>2456</v>
      </c>
      <c r="R78" s="5" t="e">
        <f>VLOOKUP(N78,'Seismic Springs 2025'!$A:$I,9,0)</f>
        <v>#N/A</v>
      </c>
      <c r="S78" s="5" t="e">
        <f t="shared" si="1"/>
        <v>#N/A</v>
      </c>
      <c r="T78" s="5" t="e">
        <f>VLOOKUP(K78,'Inertia Bases 2025'!$A:$H,8,0)</f>
        <v>#N/A</v>
      </c>
    </row>
    <row r="79" spans="1:20" ht="12.75">
      <c r="A79" s="7">
        <v>98742568</v>
      </c>
      <c r="B79" s="7" t="s">
        <v>1872</v>
      </c>
      <c r="F79" s="21">
        <v>21715</v>
      </c>
      <c r="G79" s="21">
        <f t="shared" si="0"/>
        <v>11944</v>
      </c>
      <c r="K79" s="59">
        <v>92909412</v>
      </c>
      <c r="L79" s="7" t="s">
        <v>1873</v>
      </c>
      <c r="N79" s="7">
        <v>91338019</v>
      </c>
      <c r="O79" s="7" t="s">
        <v>733</v>
      </c>
      <c r="P79" s="7">
        <v>4</v>
      </c>
      <c r="R79" s="5">
        <f>VLOOKUP(N79,'Seismic Springs 2025'!$A:$I,9,0)</f>
        <v>170.3</v>
      </c>
      <c r="S79" s="5">
        <f t="shared" si="1"/>
        <v>681.2</v>
      </c>
      <c r="T79" s="5">
        <f>VLOOKUP(K79,'Inertia Bases 2025'!$A:$H,8,0)</f>
        <v>721.39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O101"/>
  <sheetViews>
    <sheetView workbookViewId="0"/>
  </sheetViews>
  <sheetFormatPr defaultColWidth="12.5703125" defaultRowHeight="15.75" customHeight="1"/>
  <cols>
    <col min="2" max="2" width="15.42578125" customWidth="1"/>
  </cols>
  <sheetData>
    <row r="1" spans="1:15" ht="15.75" customHeight="1">
      <c r="A1" s="68">
        <v>0</v>
      </c>
      <c r="B1" s="68">
        <v>1.3080419599999999E-4</v>
      </c>
      <c r="D1" s="69"/>
      <c r="E1" s="69"/>
      <c r="F1" s="69"/>
      <c r="G1" s="69"/>
      <c r="H1" s="68">
        <v>0</v>
      </c>
      <c r="I1" s="68">
        <v>1.2999999999999999E-4</v>
      </c>
      <c r="J1" s="69"/>
      <c r="K1" s="69" t="s">
        <v>1930</v>
      </c>
      <c r="L1" s="68">
        <v>150</v>
      </c>
      <c r="M1" s="69"/>
      <c r="N1" s="69" t="s">
        <v>1931</v>
      </c>
      <c r="O1" s="68">
        <v>400</v>
      </c>
    </row>
    <row r="2" spans="1:15" ht="15.75" customHeight="1">
      <c r="A2" s="68">
        <v>1</v>
      </c>
      <c r="B2" s="68">
        <v>7.2195408000000005E-5</v>
      </c>
      <c r="D2" s="69"/>
      <c r="E2" s="69"/>
      <c r="F2" s="69"/>
      <c r="G2" s="69"/>
      <c r="H2" s="68">
        <v>10</v>
      </c>
      <c r="I2" s="68">
        <v>2.5000000000000001E-4</v>
      </c>
      <c r="J2" s="69"/>
      <c r="K2" s="69"/>
      <c r="L2" s="68">
        <v>200</v>
      </c>
      <c r="M2" s="69"/>
      <c r="N2" s="69"/>
      <c r="O2" s="68">
        <v>500</v>
      </c>
    </row>
    <row r="3" spans="1:15" ht="15.75" customHeight="1">
      <c r="A3" s="68">
        <v>2</v>
      </c>
      <c r="B3" s="68">
        <v>3.0149188E-5</v>
      </c>
      <c r="D3" s="69"/>
      <c r="E3" s="69"/>
      <c r="F3" s="69"/>
      <c r="G3" s="69"/>
      <c r="H3" s="68">
        <v>20</v>
      </c>
      <c r="I3" s="68">
        <v>1.72E-3</v>
      </c>
      <c r="J3" s="69"/>
      <c r="K3" s="69"/>
      <c r="L3" s="68">
        <v>250</v>
      </c>
      <c r="M3" s="69"/>
      <c r="N3" s="69"/>
      <c r="O3" s="68">
        <v>600</v>
      </c>
    </row>
    <row r="4" spans="1:15" ht="15.75" customHeight="1">
      <c r="A4" s="68">
        <v>3</v>
      </c>
      <c r="B4" s="68">
        <v>4.2910460000000001E-6</v>
      </c>
      <c r="D4" s="69"/>
      <c r="E4" s="69"/>
      <c r="F4" s="69"/>
      <c r="G4" s="69"/>
      <c r="H4" s="68">
        <v>30</v>
      </c>
      <c r="I4" s="68">
        <v>4.3E-3</v>
      </c>
      <c r="J4" s="69"/>
      <c r="K4" s="69"/>
      <c r="L4" s="69"/>
      <c r="M4" s="69"/>
      <c r="N4" s="69"/>
      <c r="O4" s="68">
        <v>1000</v>
      </c>
    </row>
    <row r="5" spans="1:15" ht="15.75" customHeight="1">
      <c r="A5" s="68">
        <v>4</v>
      </c>
      <c r="B5" s="68">
        <v>-5.7439799999999998E-6</v>
      </c>
      <c r="D5" s="69"/>
      <c r="E5" s="69"/>
      <c r="F5" s="69"/>
      <c r="G5" s="69"/>
      <c r="H5" s="68">
        <v>40</v>
      </c>
      <c r="I5" s="68">
        <v>7.7999999999999996E-3</v>
      </c>
      <c r="J5" s="69"/>
      <c r="K5" s="69"/>
      <c r="L5" s="69"/>
      <c r="M5" s="69"/>
      <c r="N5" s="69"/>
      <c r="O5" s="69"/>
    </row>
    <row r="6" spans="1:15" ht="15.75" customHeight="1">
      <c r="A6" s="68">
        <v>5</v>
      </c>
      <c r="B6" s="68">
        <v>-3.1144399999999999E-7</v>
      </c>
      <c r="D6" s="69"/>
      <c r="E6" s="69"/>
      <c r="F6" s="69"/>
      <c r="G6" s="69"/>
      <c r="H6" s="68">
        <v>50</v>
      </c>
      <c r="I6" s="68">
        <v>1.209E-2</v>
      </c>
      <c r="J6" s="69"/>
      <c r="K6" s="69"/>
      <c r="L6" s="69"/>
      <c r="M6" s="69"/>
      <c r="N6" s="69"/>
      <c r="O6" s="69"/>
    </row>
    <row r="7" spans="1:15" ht="15.75" customHeight="1">
      <c r="A7" s="68">
        <v>6</v>
      </c>
      <c r="B7" s="68">
        <v>2.0242387999999998E-5</v>
      </c>
      <c r="D7" s="69"/>
      <c r="E7" s="69"/>
      <c r="F7" s="69"/>
      <c r="G7" s="69"/>
      <c r="H7" s="68">
        <v>60</v>
      </c>
      <c r="I7" s="68">
        <v>1.711E-2</v>
      </c>
      <c r="J7" s="69"/>
      <c r="K7" s="69"/>
      <c r="L7" s="69"/>
      <c r="M7" s="69"/>
      <c r="N7" s="69"/>
      <c r="O7" s="69"/>
    </row>
    <row r="8" spans="1:15" ht="15.75" customHeight="1">
      <c r="A8" s="68">
        <v>7</v>
      </c>
      <c r="B8" s="68">
        <v>5.5580418000000003E-5</v>
      </c>
      <c r="D8" s="69"/>
      <c r="E8" s="69"/>
      <c r="F8" s="69"/>
      <c r="G8" s="69"/>
      <c r="H8" s="68">
        <v>70</v>
      </c>
      <c r="I8" s="68">
        <v>2.282E-2</v>
      </c>
      <c r="J8" s="69"/>
      <c r="K8" s="69"/>
      <c r="L8" s="69"/>
      <c r="M8" s="69"/>
      <c r="N8" s="69"/>
      <c r="O8" s="69"/>
    </row>
    <row r="9" spans="1:15" ht="15.75" customHeight="1">
      <c r="A9" s="68">
        <v>8</v>
      </c>
      <c r="B9" s="68">
        <v>1.05374596E-4</v>
      </c>
      <c r="D9" s="69"/>
      <c r="E9" s="69"/>
      <c r="F9" s="69"/>
      <c r="G9" s="69"/>
      <c r="H9" s="68">
        <v>80</v>
      </c>
      <c r="I9" s="68">
        <v>2.921E-2</v>
      </c>
      <c r="J9" s="69"/>
      <c r="K9" s="69"/>
      <c r="L9" s="69"/>
      <c r="M9" s="69"/>
      <c r="N9" s="69"/>
      <c r="O9" s="69"/>
    </row>
    <row r="10" spans="1:15" ht="15.75" customHeight="1">
      <c r="A10" s="68">
        <v>9</v>
      </c>
      <c r="B10" s="68">
        <v>1.6930579999999999E-4</v>
      </c>
      <c r="D10" s="69"/>
      <c r="E10" s="69"/>
      <c r="F10" s="69"/>
      <c r="G10" s="69"/>
      <c r="H10" s="68">
        <v>90</v>
      </c>
      <c r="I10" s="68">
        <v>3.6299999999999999E-2</v>
      </c>
      <c r="J10" s="69"/>
      <c r="K10" s="69"/>
      <c r="L10" s="69"/>
      <c r="M10" s="69"/>
      <c r="N10" s="69"/>
      <c r="O10" s="69"/>
    </row>
    <row r="11" spans="1:15" ht="15.75" customHeight="1">
      <c r="A11" s="68">
        <v>10</v>
      </c>
      <c r="B11" s="68">
        <v>2.4706371600000001E-4</v>
      </c>
      <c r="D11" s="69"/>
      <c r="E11" s="69"/>
      <c r="F11" s="69"/>
      <c r="G11" s="69"/>
      <c r="H11" s="68">
        <v>100</v>
      </c>
      <c r="I11" s="68">
        <v>4.4080000000000001E-2</v>
      </c>
      <c r="J11" s="69"/>
      <c r="K11" s="69"/>
      <c r="L11" s="69"/>
      <c r="M11" s="69"/>
      <c r="N11" s="69"/>
      <c r="O11" s="69"/>
    </row>
    <row r="12" spans="1:15" ht="15.75" customHeight="1">
      <c r="A12" s="68">
        <v>11</v>
      </c>
      <c r="B12" s="68">
        <v>3.3834671800000001E-4</v>
      </c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</row>
    <row r="13" spans="1:15" ht="15.75" customHeight="1">
      <c r="A13" s="68">
        <v>12</v>
      </c>
      <c r="B13" s="68">
        <v>4.4286174800000001E-4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</row>
    <row r="14" spans="1:15" ht="15.75" customHeight="1">
      <c r="A14" s="68">
        <v>13</v>
      </c>
      <c r="B14" s="68">
        <v>5.6032419600000004E-4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</row>
    <row r="15" spans="1:15" ht="15.75" customHeight="1">
      <c r="A15" s="68">
        <v>14</v>
      </c>
      <c r="B15" s="68">
        <v>6.9045778000000003E-4</v>
      </c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</row>
    <row r="16" spans="1:15" ht="15.75" customHeight="1">
      <c r="A16" s="68">
        <v>15</v>
      </c>
      <c r="B16" s="68">
        <v>8.3299442600000002E-4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</row>
    <row r="17" spans="1:15" ht="15.75" customHeight="1">
      <c r="A17" s="68">
        <v>16</v>
      </c>
      <c r="B17" s="68">
        <v>9.8767414800000008E-4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</row>
    <row r="18" spans="1:15" ht="15.75" customHeight="1">
      <c r="A18" s="68">
        <v>17</v>
      </c>
      <c r="B18" s="68">
        <v>1.154244928E-3</v>
      </c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</row>
    <row r="19" spans="1:15" ht="15.75" customHeight="1">
      <c r="A19" s="68">
        <v>18</v>
      </c>
      <c r="B19" s="68">
        <v>1.332462596E-3</v>
      </c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</row>
    <row r="20" spans="1:15" ht="15.75" customHeight="1">
      <c r="A20" s="68">
        <v>19</v>
      </c>
      <c r="B20" s="68">
        <v>1.52209071E-3</v>
      </c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</row>
    <row r="21" spans="1:15" ht="15.75" customHeight="1">
      <c r="A21" s="68">
        <v>20</v>
      </c>
      <c r="B21" s="68">
        <v>1.7229004360000001E-3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15" ht="15.75" customHeight="1">
      <c r="A22" s="68">
        <v>21</v>
      </c>
      <c r="B22" s="68">
        <v>1.9346704279999999E-3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15" ht="15.75" customHeight="1">
      <c r="A23" s="68">
        <v>22</v>
      </c>
      <c r="B23" s="68">
        <v>2.1571867079999999E-3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15" ht="15.75" customHeight="1">
      <c r="A24" s="68">
        <v>23</v>
      </c>
      <c r="B24" s="68">
        <v>2.3902425459999999E-3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  <row r="25" spans="1:15" ht="15.75" customHeight="1">
      <c r="A25" s="68">
        <v>24</v>
      </c>
      <c r="B25" s="68">
        <v>2.6336383400000002E-3</v>
      </c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</row>
    <row r="26" spans="1:15" ht="15.75" customHeight="1">
      <c r="A26" s="68">
        <v>25</v>
      </c>
      <c r="B26" s="68">
        <v>2.8871814960000001E-3</v>
      </c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</row>
    <row r="27" spans="1:15" ht="15.75" customHeight="1">
      <c r="A27" s="68">
        <v>26</v>
      </c>
      <c r="B27" s="68">
        <v>3.1506863079999998E-3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</row>
    <row r="28" spans="1:15" ht="15.75" customHeight="1">
      <c r="A28" s="68">
        <v>27</v>
      </c>
      <c r="B28" s="68">
        <v>3.423973838E-3</v>
      </c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</row>
    <row r="29" spans="1:15" ht="15.75" customHeight="1">
      <c r="A29" s="68">
        <v>28</v>
      </c>
      <c r="B29" s="68">
        <v>3.7068717959999999E-3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</row>
    <row r="30" spans="1:15" ht="15.75" customHeight="1">
      <c r="A30" s="68">
        <v>29</v>
      </c>
      <c r="B30" s="68">
        <v>3.9992144200000001E-3</v>
      </c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</row>
    <row r="31" spans="1:15" ht="15.75" customHeight="1">
      <c r="A31" s="68">
        <v>30</v>
      </c>
      <c r="B31" s="68">
        <v>4.3008423560000003E-3</v>
      </c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</row>
    <row r="32" spans="1:15" ht="15.75" customHeight="1">
      <c r="A32" s="68">
        <v>31</v>
      </c>
      <c r="B32" s="68">
        <v>4.6116025379999998E-3</v>
      </c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</row>
    <row r="33" spans="1:15" ht="15.75" customHeight="1">
      <c r="A33" s="68">
        <v>32</v>
      </c>
      <c r="B33" s="68">
        <v>4.9313480680000001E-3</v>
      </c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</row>
    <row r="34" spans="1:15" ht="15.75" customHeight="1">
      <c r="A34" s="68">
        <v>33</v>
      </c>
      <c r="B34" s="68">
        <v>5.2599380960000001E-3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</row>
    <row r="35" spans="1:15" ht="15.75" customHeight="1">
      <c r="A35" s="68">
        <v>34</v>
      </c>
      <c r="B35" s="68">
        <v>5.5972377000000004E-3</v>
      </c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</row>
    <row r="36" spans="1:15" ht="15.75" customHeight="1">
      <c r="A36" s="68">
        <v>35</v>
      </c>
      <c r="B36" s="68">
        <v>5.9431177659999999E-3</v>
      </c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</row>
    <row r="37" spans="1:15">
      <c r="A37" s="68">
        <v>36</v>
      </c>
      <c r="B37" s="68">
        <v>6.2974548680000001E-3</v>
      </c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</row>
    <row r="38" spans="1:15">
      <c r="A38" s="68">
        <v>37</v>
      </c>
      <c r="B38" s="68">
        <v>6.660131148E-3</v>
      </c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</row>
    <row r="39" spans="1:15">
      <c r="A39" s="68">
        <v>38</v>
      </c>
      <c r="B39" s="68">
        <v>7.0310341960000003E-3</v>
      </c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</row>
    <row r="40" spans="1:15">
      <c r="A40" s="68">
        <v>39</v>
      </c>
      <c r="B40" s="68">
        <v>7.4100569299999997E-3</v>
      </c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</row>
    <row r="41" spans="1:15">
      <c r="A41" s="68">
        <v>40</v>
      </c>
      <c r="B41" s="68">
        <v>7.7970974760000001E-3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</row>
    <row r="42" spans="1:15">
      <c r="A42" s="68">
        <v>41</v>
      </c>
      <c r="B42" s="68">
        <v>8.1920590479999996E-3</v>
      </c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</row>
    <row r="43" spans="1:15">
      <c r="A43" s="68">
        <v>42</v>
      </c>
      <c r="B43" s="68">
        <v>8.5948498280000001E-3</v>
      </c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</row>
    <row r="44" spans="1:15">
      <c r="A44" s="68">
        <v>43</v>
      </c>
      <c r="B44" s="68">
        <v>9.0053828460000002E-3</v>
      </c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</row>
    <row r="45" spans="1:15">
      <c r="A45" s="68">
        <v>44</v>
      </c>
      <c r="B45" s="68">
        <v>9.42357586E-3</v>
      </c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</row>
    <row r="46" spans="1:15">
      <c r="A46" s="68">
        <v>45</v>
      </c>
      <c r="B46" s="68">
        <v>9.849351236E-3</v>
      </c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</row>
    <row r="47" spans="1:15">
      <c r="A47" s="68">
        <v>46</v>
      </c>
      <c r="B47" s="68">
        <v>1.0282635828E-2</v>
      </c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</row>
    <row r="48" spans="1:15">
      <c r="A48" s="68">
        <v>47</v>
      </c>
      <c r="B48" s="68">
        <v>1.0723360858E-2</v>
      </c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</row>
    <row r="49" spans="1:15">
      <c r="A49" s="68">
        <v>48</v>
      </c>
      <c r="B49" s="68">
        <v>1.1171461795999999E-2</v>
      </c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</row>
    <row r="50" spans="1:15">
      <c r="A50" s="68">
        <v>49</v>
      </c>
      <c r="B50" s="68">
        <v>1.1626878239999999E-2</v>
      </c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</row>
    <row r="51" spans="1:15">
      <c r="A51" s="68">
        <v>50</v>
      </c>
      <c r="B51" s="68">
        <v>1.2089553796E-2</v>
      </c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</row>
    <row r="52" spans="1:15">
      <c r="A52" s="68">
        <v>51</v>
      </c>
      <c r="B52" s="68">
        <v>1.2559435958E-2</v>
      </c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</row>
    <row r="53" spans="1:15">
      <c r="A53" s="68">
        <v>52</v>
      </c>
      <c r="B53" s="68">
        <v>1.3036475988E-2</v>
      </c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</row>
    <row r="54" spans="1:15">
      <c r="A54" s="68">
        <v>53</v>
      </c>
      <c r="B54" s="68">
        <v>1.3520628796E-2</v>
      </c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</row>
    <row r="55" spans="1:15">
      <c r="A55" s="68">
        <v>54</v>
      </c>
      <c r="B55" s="68">
        <v>1.401185282E-2</v>
      </c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</row>
    <row r="56" spans="1:15">
      <c r="A56" s="68">
        <v>55</v>
      </c>
      <c r="B56" s="68">
        <v>1.4510109905999999E-2</v>
      </c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</row>
    <row r="57" spans="1:15">
      <c r="A57" s="68">
        <v>56</v>
      </c>
      <c r="B57" s="68">
        <v>1.5015365188E-2</v>
      </c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</row>
    <row r="58" spans="1:15">
      <c r="A58" s="68">
        <v>57</v>
      </c>
      <c r="B58" s="68">
        <v>1.5527586968000001E-2</v>
      </c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</row>
    <row r="59" spans="1:15">
      <c r="A59" s="68">
        <v>58</v>
      </c>
      <c r="B59" s="68">
        <v>1.6046746596E-2</v>
      </c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</row>
    <row r="60" spans="1:15">
      <c r="A60" s="68">
        <v>59</v>
      </c>
      <c r="B60" s="68">
        <v>1.6572818350000001E-2</v>
      </c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</row>
    <row r="61" spans="1:15">
      <c r="A61" s="68">
        <v>60</v>
      </c>
      <c r="B61" s="68">
        <v>1.7105779315999999E-2</v>
      </c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</row>
    <row r="62" spans="1:15">
      <c r="A62" s="68">
        <v>61</v>
      </c>
      <c r="B62" s="68">
        <v>1.7645609268E-2</v>
      </c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</row>
    <row r="63" spans="1:15">
      <c r="A63" s="68">
        <v>62</v>
      </c>
      <c r="B63" s="68">
        <v>1.8192290547999999E-2</v>
      </c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</row>
    <row r="64" spans="1:15">
      <c r="A64" s="68">
        <v>63</v>
      </c>
      <c r="B64" s="68">
        <v>1.8745807946E-2</v>
      </c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</row>
    <row r="65" spans="1:15">
      <c r="A65" s="68">
        <v>64</v>
      </c>
      <c r="B65" s="68">
        <v>1.9306148580000002E-2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</row>
    <row r="66" spans="1:15">
      <c r="A66" s="68">
        <v>65</v>
      </c>
      <c r="B66" s="68">
        <v>1.9873301776E-2</v>
      </c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</row>
    <row r="67" spans="1:15">
      <c r="A67" s="68">
        <v>66</v>
      </c>
      <c r="B67" s="68">
        <v>2.0447258948000001E-2</v>
      </c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</row>
    <row r="68" spans="1:15">
      <c r="A68" s="68">
        <v>67</v>
      </c>
      <c r="B68" s="68">
        <v>2.1028013477999999E-2</v>
      </c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</row>
    <row r="69" spans="1:15">
      <c r="A69" s="68">
        <v>68</v>
      </c>
      <c r="B69" s="68">
        <v>2.1615560595999998E-2</v>
      </c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</row>
    <row r="70" spans="1:15">
      <c r="A70" s="68">
        <v>69</v>
      </c>
      <c r="B70" s="68">
        <v>2.220989726E-2</v>
      </c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</row>
    <row r="71" spans="1:15">
      <c r="A71" s="68">
        <v>70</v>
      </c>
      <c r="B71" s="68">
        <v>2.2811022035999998E-2</v>
      </c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</row>
    <row r="72" spans="1:15">
      <c r="A72" s="68">
        <v>71</v>
      </c>
      <c r="B72" s="68">
        <v>2.3418934977999999E-2</v>
      </c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</row>
    <row r="73" spans="1:15">
      <c r="A73" s="68">
        <v>72</v>
      </c>
      <c r="B73" s="68">
        <v>2.4033637508E-2</v>
      </c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</row>
    <row r="74" spans="1:15">
      <c r="A74" s="68">
        <v>73</v>
      </c>
      <c r="B74" s="68">
        <v>2.4655132295999999E-2</v>
      </c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</row>
    <row r="75" spans="1:15">
      <c r="A75" s="68">
        <v>74</v>
      </c>
      <c r="B75" s="68">
        <v>2.528342314E-2</v>
      </c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</row>
    <row r="76" spans="1:15">
      <c r="A76" s="68">
        <v>75</v>
      </c>
      <c r="B76" s="68">
        <v>2.5918514845999999E-2</v>
      </c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</row>
    <row r="77" spans="1:15">
      <c r="A77" s="68">
        <v>76</v>
      </c>
      <c r="B77" s="68">
        <v>2.6560413107999999E-2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</row>
    <row r="78" spans="1:15">
      <c r="A78" s="68">
        <v>77</v>
      </c>
      <c r="B78" s="68">
        <v>2.7209124388000001E-2</v>
      </c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</row>
    <row r="79" spans="1:15">
      <c r="A79" s="68">
        <v>78</v>
      </c>
      <c r="B79" s="68">
        <v>2.7864655796000001E-2</v>
      </c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</row>
    <row r="80" spans="1:15">
      <c r="A80" s="68">
        <v>79</v>
      </c>
      <c r="B80" s="68">
        <v>2.852701497E-2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</row>
    <row r="81" spans="1:15">
      <c r="A81" s="68">
        <v>80</v>
      </c>
      <c r="B81" s="68">
        <v>2.9196209955999999E-2</v>
      </c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</row>
    <row r="82" spans="1:15">
      <c r="A82" s="68">
        <v>81</v>
      </c>
      <c r="B82" s="68">
        <v>2.9872249088E-2</v>
      </c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</row>
    <row r="83" spans="1:15">
      <c r="A83" s="68">
        <v>82</v>
      </c>
      <c r="B83" s="68">
        <v>3.0555140868E-2</v>
      </c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</row>
    <row r="84" spans="1:15">
      <c r="A84" s="68">
        <v>83</v>
      </c>
      <c r="B84" s="68">
        <v>3.1244893845999998E-2</v>
      </c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</row>
    <row r="85" spans="1:15">
      <c r="A85" s="68">
        <v>84</v>
      </c>
      <c r="B85" s="68">
        <v>3.1941516500000003E-2</v>
      </c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</row>
    <row r="86" spans="1:15">
      <c r="A86" s="68">
        <v>85</v>
      </c>
      <c r="B86" s="68">
        <v>3.2645017116E-2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</row>
    <row r="87" spans="1:15">
      <c r="A87" s="68">
        <v>86</v>
      </c>
      <c r="B87" s="68">
        <v>3.3355403668000001E-2</v>
      </c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</row>
    <row r="88" spans="1:15">
      <c r="A88" s="68">
        <v>87</v>
      </c>
      <c r="B88" s="68">
        <v>3.4072683697999998E-2</v>
      </c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</row>
    <row r="89" spans="1:15">
      <c r="A89" s="68">
        <v>88</v>
      </c>
      <c r="B89" s="68">
        <v>3.4796864195999998E-2</v>
      </c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</row>
    <row r="90" spans="1:15">
      <c r="A90" s="68">
        <v>89</v>
      </c>
      <c r="B90" s="68">
        <v>3.552795148E-2</v>
      </c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</row>
    <row r="91" spans="1:15">
      <c r="A91" s="68">
        <v>90</v>
      </c>
      <c r="B91" s="68">
        <v>3.6265951076000003E-2</v>
      </c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</row>
    <row r="92" spans="1:15">
      <c r="A92" s="68">
        <v>91</v>
      </c>
      <c r="B92" s="68">
        <v>3.7010867598E-2</v>
      </c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</row>
    <row r="93" spans="1:15">
      <c r="A93" s="68">
        <v>92</v>
      </c>
      <c r="B93" s="68">
        <v>3.7762704628E-2</v>
      </c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</row>
    <row r="94" spans="1:15">
      <c r="A94" s="68">
        <v>93</v>
      </c>
      <c r="B94" s="68">
        <v>3.8521464595999998E-2</v>
      </c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</row>
    <row r="95" spans="1:15">
      <c r="A95" s="68">
        <v>94</v>
      </c>
      <c r="B95" s="68">
        <v>3.928714866E-2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</row>
    <row r="96" spans="1:15">
      <c r="A96" s="68">
        <v>95</v>
      </c>
      <c r="B96" s="68">
        <v>4.0059756586E-2</v>
      </c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</row>
    <row r="97" spans="1:15">
      <c r="A97" s="68">
        <v>96</v>
      </c>
      <c r="B97" s="68">
        <v>4.0839286628000002E-2</v>
      </c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</row>
    <row r="98" spans="1:15">
      <c r="A98" s="68">
        <v>97</v>
      </c>
      <c r="B98" s="68">
        <v>4.1625735407999999E-2</v>
      </c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</row>
    <row r="99" spans="1:15">
      <c r="A99" s="68">
        <v>98</v>
      </c>
      <c r="B99" s="68">
        <v>4.2419097795999998E-2</v>
      </c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</row>
    <row r="100" spans="1:15">
      <c r="A100" s="68">
        <v>99</v>
      </c>
      <c r="B100" s="68">
        <v>4.3219366789999998E-2</v>
      </c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</row>
    <row r="101" spans="1:15">
      <c r="A101" s="68">
        <v>100</v>
      </c>
      <c r="B101" s="68">
        <v>4.4026533396000003E-2</v>
      </c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F82"/>
  <sheetViews>
    <sheetView workbookViewId="0">
      <selection activeCell="G2" sqref="G1:I1048576"/>
    </sheetView>
  </sheetViews>
  <sheetFormatPr defaultColWidth="12.5703125" defaultRowHeight="15.75" customHeight="1"/>
  <cols>
    <col min="2" max="2" width="33.85546875" customWidth="1"/>
    <col min="3" max="3" width="12.5703125" hidden="1"/>
    <col min="4" max="4" width="17.140625" customWidth="1"/>
  </cols>
  <sheetData>
    <row r="1" spans="1:6" ht="15.75" customHeight="1">
      <c r="A1" s="70" t="s">
        <v>1874</v>
      </c>
      <c r="B1" s="65" t="s">
        <v>1875</v>
      </c>
      <c r="C1" s="65" t="s">
        <v>1876</v>
      </c>
      <c r="D1" s="66" t="s">
        <v>5</v>
      </c>
      <c r="E1" s="2" t="s">
        <v>6</v>
      </c>
      <c r="F1" s="7"/>
    </row>
    <row r="2" spans="1:6" ht="12.75">
      <c r="A2" s="7">
        <v>519806</v>
      </c>
      <c r="B2" s="7" t="s">
        <v>1932</v>
      </c>
      <c r="C2" s="7" t="s">
        <v>1877</v>
      </c>
      <c r="D2" s="5">
        <v>78</v>
      </c>
      <c r="E2" s="5">
        <v>50.7</v>
      </c>
      <c r="F2" s="7"/>
    </row>
    <row r="3" spans="1:6" ht="12.75">
      <c r="A3" s="7">
        <v>529922</v>
      </c>
      <c r="B3" s="7" t="s">
        <v>1933</v>
      </c>
      <c r="C3" s="7" t="s">
        <v>1877</v>
      </c>
      <c r="D3" s="5">
        <v>28</v>
      </c>
      <c r="E3" s="5">
        <v>18.2</v>
      </c>
      <c r="F3" s="7"/>
    </row>
    <row r="4" spans="1:6" ht="12.75">
      <c r="A4" s="7">
        <v>529972</v>
      </c>
      <c r="B4" s="7" t="s">
        <v>1934</v>
      </c>
      <c r="C4" s="7" t="s">
        <v>1877</v>
      </c>
      <c r="D4" s="5">
        <v>39</v>
      </c>
      <c r="E4" s="5">
        <v>25.35</v>
      </c>
      <c r="F4" s="7"/>
    </row>
    <row r="5" spans="1:6" ht="12.75">
      <c r="A5" s="7">
        <v>59643600</v>
      </c>
      <c r="B5" s="7" t="s">
        <v>1935</v>
      </c>
      <c r="C5" s="7" t="s">
        <v>1879</v>
      </c>
      <c r="D5" s="5">
        <v>681</v>
      </c>
      <c r="E5" s="5">
        <v>374.55</v>
      </c>
      <c r="F5" s="7"/>
    </row>
    <row r="6" spans="1:6" ht="12.75">
      <c r="A6" s="7">
        <v>91348548</v>
      </c>
      <c r="B6" s="7" t="s">
        <v>1936</v>
      </c>
      <c r="C6" s="7" t="s">
        <v>1879</v>
      </c>
      <c r="D6" s="5">
        <v>4622</v>
      </c>
      <c r="E6" s="5">
        <v>2542.1000000000004</v>
      </c>
      <c r="F6" s="7"/>
    </row>
    <row r="7" spans="1:6" ht="12.75">
      <c r="A7" s="7">
        <v>91348640</v>
      </c>
      <c r="B7" s="7" t="s">
        <v>1937</v>
      </c>
      <c r="C7" s="7" t="s">
        <v>1879</v>
      </c>
      <c r="D7" s="5">
        <v>7664</v>
      </c>
      <c r="E7" s="5">
        <v>4215.2000000000007</v>
      </c>
      <c r="F7" s="7"/>
    </row>
    <row r="8" spans="1:6" ht="12.75">
      <c r="A8" s="7">
        <v>91348762</v>
      </c>
      <c r="B8" s="7" t="s">
        <v>1938</v>
      </c>
      <c r="C8" s="7" t="s">
        <v>1879</v>
      </c>
      <c r="D8" s="5">
        <v>5889</v>
      </c>
      <c r="E8" s="5">
        <v>3238.9500000000003</v>
      </c>
    </row>
    <row r="9" spans="1:6" ht="12.75">
      <c r="A9" s="7">
        <v>91349121</v>
      </c>
      <c r="B9" s="7" t="s">
        <v>1939</v>
      </c>
      <c r="C9" s="7" t="s">
        <v>1879</v>
      </c>
      <c r="D9" s="5">
        <v>6321</v>
      </c>
      <c r="E9" s="5">
        <v>3476.55</v>
      </c>
    </row>
    <row r="10" spans="1:6" ht="12.75">
      <c r="A10" s="7">
        <v>93107332</v>
      </c>
      <c r="B10" s="7" t="s">
        <v>1940</v>
      </c>
      <c r="C10" s="7" t="s">
        <v>1877</v>
      </c>
      <c r="D10" s="5">
        <v>192</v>
      </c>
      <c r="E10" s="5">
        <v>124.80000000000001</v>
      </c>
    </row>
    <row r="11" spans="1:6" ht="12.75">
      <c r="A11" s="7">
        <v>93107333</v>
      </c>
      <c r="B11" s="7" t="s">
        <v>1941</v>
      </c>
      <c r="C11" s="7" t="s">
        <v>1877</v>
      </c>
      <c r="D11" s="5">
        <v>40</v>
      </c>
      <c r="E11" s="5">
        <v>26</v>
      </c>
    </row>
    <row r="12" spans="1:6" ht="12.75">
      <c r="A12" s="7">
        <v>93107335</v>
      </c>
      <c r="B12" s="7" t="s">
        <v>1942</v>
      </c>
      <c r="C12" s="7" t="s">
        <v>1877</v>
      </c>
      <c r="D12" s="5">
        <v>92</v>
      </c>
      <c r="E12" s="5">
        <v>59.800000000000004</v>
      </c>
    </row>
    <row r="13" spans="1:6" ht="12.75">
      <c r="A13" s="7">
        <v>93108132</v>
      </c>
      <c r="B13" s="7" t="s">
        <v>1943</v>
      </c>
      <c r="C13" s="7" t="s">
        <v>1877</v>
      </c>
      <c r="D13" s="5">
        <v>87</v>
      </c>
      <c r="E13" s="5">
        <v>56.550000000000004</v>
      </c>
    </row>
    <row r="14" spans="1:6" ht="12.75">
      <c r="A14" s="7">
        <v>93108134</v>
      </c>
      <c r="B14" s="7" t="s">
        <v>1944</v>
      </c>
      <c r="C14" s="7" t="s">
        <v>1877</v>
      </c>
      <c r="D14" s="5">
        <v>80</v>
      </c>
      <c r="E14" s="5">
        <v>52</v>
      </c>
    </row>
    <row r="15" spans="1:6" ht="12.75">
      <c r="A15" s="7">
        <v>93108691</v>
      </c>
      <c r="B15" s="7" t="s">
        <v>1945</v>
      </c>
      <c r="C15" s="7" t="s">
        <v>1877</v>
      </c>
      <c r="D15" s="5">
        <v>347</v>
      </c>
      <c r="E15" s="5">
        <v>225.55</v>
      </c>
    </row>
    <row r="16" spans="1:6" ht="12.75">
      <c r="A16" s="7">
        <v>95906429</v>
      </c>
      <c r="B16" s="7" t="s">
        <v>1946</v>
      </c>
      <c r="C16" s="7" t="s">
        <v>1878</v>
      </c>
      <c r="D16" s="5">
        <v>1020</v>
      </c>
      <c r="E16" s="5">
        <v>561</v>
      </c>
    </row>
    <row r="17" spans="1:5" ht="12.75">
      <c r="A17" s="7">
        <v>95906439</v>
      </c>
      <c r="B17" s="7" t="s">
        <v>1947</v>
      </c>
      <c r="C17" s="7" t="s">
        <v>1879</v>
      </c>
      <c r="D17" s="5">
        <v>1424</v>
      </c>
      <c r="E17" s="5">
        <v>783.2</v>
      </c>
    </row>
    <row r="18" spans="1:5" ht="12.75">
      <c r="A18" s="7">
        <v>95906442</v>
      </c>
      <c r="B18" s="7" t="s">
        <v>1948</v>
      </c>
      <c r="C18" s="7" t="s">
        <v>1878</v>
      </c>
      <c r="D18" s="5">
        <v>1276</v>
      </c>
      <c r="E18" s="5">
        <v>701.80000000000007</v>
      </c>
    </row>
    <row r="19" spans="1:5" ht="12.75">
      <c r="A19" s="7">
        <v>95906448</v>
      </c>
      <c r="B19" s="7" t="s">
        <v>1949</v>
      </c>
      <c r="C19" s="7" t="s">
        <v>1879</v>
      </c>
      <c r="D19" s="5">
        <v>1698</v>
      </c>
      <c r="E19" s="5">
        <v>933.90000000000009</v>
      </c>
    </row>
    <row r="20" spans="1:5" ht="12.75">
      <c r="A20" s="7">
        <v>95906472</v>
      </c>
      <c r="B20" s="7" t="s">
        <v>1950</v>
      </c>
      <c r="C20" s="7" t="s">
        <v>1879</v>
      </c>
      <c r="D20" s="5">
        <v>926</v>
      </c>
      <c r="E20" s="5">
        <v>509.30000000000007</v>
      </c>
    </row>
    <row r="21" spans="1:5" ht="12.75">
      <c r="A21" s="7">
        <v>95906480</v>
      </c>
      <c r="B21" s="7" t="s">
        <v>1951</v>
      </c>
      <c r="C21" s="7" t="s">
        <v>1878</v>
      </c>
      <c r="D21" s="5">
        <v>1541</v>
      </c>
      <c r="E21" s="5">
        <v>847.55000000000007</v>
      </c>
    </row>
    <row r="22" spans="1:5" ht="12.75">
      <c r="A22" s="7">
        <v>95906489</v>
      </c>
      <c r="B22" s="7" t="s">
        <v>1952</v>
      </c>
      <c r="C22" s="7" t="s">
        <v>1879</v>
      </c>
      <c r="D22" s="5">
        <v>1848</v>
      </c>
      <c r="E22" s="5">
        <v>1016.4000000000001</v>
      </c>
    </row>
    <row r="23" spans="1:5" ht="12.75">
      <c r="A23" s="7">
        <v>95906500</v>
      </c>
      <c r="B23" s="7" t="s">
        <v>1953</v>
      </c>
      <c r="C23" s="7" t="s">
        <v>1878</v>
      </c>
      <c r="D23" s="5">
        <v>1695</v>
      </c>
      <c r="E23" s="5">
        <v>932.25000000000011</v>
      </c>
    </row>
    <row r="24" spans="1:5" ht="12.75">
      <c r="A24" s="7">
        <v>96281476</v>
      </c>
      <c r="B24" s="7" t="s">
        <v>1881</v>
      </c>
      <c r="C24" s="7" t="s">
        <v>1878</v>
      </c>
      <c r="D24" s="5">
        <v>474</v>
      </c>
      <c r="E24" s="5">
        <v>260.70000000000005</v>
      </c>
    </row>
    <row r="25" spans="1:5" ht="12.75">
      <c r="A25" s="7">
        <v>96281483</v>
      </c>
      <c r="B25" s="7" t="s">
        <v>1954</v>
      </c>
      <c r="C25" s="7" t="s">
        <v>1878</v>
      </c>
      <c r="D25" s="5">
        <v>474</v>
      </c>
      <c r="E25" s="5">
        <v>260.70000000000005</v>
      </c>
    </row>
    <row r="26" spans="1:5" ht="12.75">
      <c r="A26" s="7">
        <v>96401915</v>
      </c>
      <c r="B26" s="7" t="s">
        <v>1882</v>
      </c>
      <c r="C26" s="7" t="s">
        <v>1883</v>
      </c>
      <c r="D26" s="5">
        <v>1687</v>
      </c>
      <c r="E26" s="5">
        <v>843.5</v>
      </c>
    </row>
    <row r="27" spans="1:5" ht="12.75">
      <c r="A27" s="7">
        <v>96401917</v>
      </c>
      <c r="B27" s="7" t="s">
        <v>1884</v>
      </c>
      <c r="C27" s="7" t="s">
        <v>1883</v>
      </c>
      <c r="D27" s="5">
        <v>1655</v>
      </c>
      <c r="E27" s="5">
        <v>827.5</v>
      </c>
    </row>
    <row r="28" spans="1:5" ht="12.75">
      <c r="A28" s="7">
        <v>96401942</v>
      </c>
      <c r="B28" s="7" t="s">
        <v>1885</v>
      </c>
      <c r="C28" s="7" t="s">
        <v>1883</v>
      </c>
      <c r="D28" s="5">
        <v>2143</v>
      </c>
      <c r="E28" s="5">
        <v>1071.5</v>
      </c>
    </row>
    <row r="29" spans="1:5" ht="12.75">
      <c r="A29" s="7">
        <v>96401944</v>
      </c>
      <c r="B29" s="7" t="s">
        <v>1886</v>
      </c>
      <c r="C29" s="7" t="s">
        <v>1883</v>
      </c>
      <c r="D29" s="5">
        <v>2027</v>
      </c>
      <c r="E29" s="5">
        <v>1013.5</v>
      </c>
    </row>
    <row r="30" spans="1:5" ht="12.75">
      <c r="A30" s="7">
        <v>96401979</v>
      </c>
      <c r="B30" s="7" t="s">
        <v>1887</v>
      </c>
      <c r="C30" s="7" t="s">
        <v>1883</v>
      </c>
      <c r="D30" s="5">
        <v>2392</v>
      </c>
      <c r="E30" s="5">
        <v>1196</v>
      </c>
    </row>
    <row r="31" spans="1:5" ht="12.75">
      <c r="A31" s="7">
        <v>96402055</v>
      </c>
      <c r="B31" s="7" t="s">
        <v>1888</v>
      </c>
      <c r="C31" s="7" t="s">
        <v>1883</v>
      </c>
      <c r="D31" s="5">
        <v>2011</v>
      </c>
      <c r="E31" s="5">
        <v>1005.5</v>
      </c>
    </row>
    <row r="32" spans="1:5" ht="12.75">
      <c r="A32" s="7">
        <v>96402103</v>
      </c>
      <c r="B32" s="7" t="s">
        <v>1889</v>
      </c>
      <c r="C32" s="7" t="s">
        <v>1883</v>
      </c>
      <c r="D32" s="5">
        <v>2457</v>
      </c>
      <c r="E32" s="5">
        <v>1228.5</v>
      </c>
    </row>
    <row r="33" spans="1:5" ht="12.75">
      <c r="A33" s="7">
        <v>96402108</v>
      </c>
      <c r="B33" s="7" t="s">
        <v>1955</v>
      </c>
      <c r="C33" s="7" t="s">
        <v>1883</v>
      </c>
      <c r="D33" s="5">
        <v>5208</v>
      </c>
      <c r="E33" s="5">
        <v>2604</v>
      </c>
    </row>
    <row r="34" spans="1:5" ht="12.75">
      <c r="A34" s="7">
        <v>96402110</v>
      </c>
      <c r="B34" s="7" t="s">
        <v>1956</v>
      </c>
      <c r="C34" s="7" t="s">
        <v>1883</v>
      </c>
      <c r="D34" s="5">
        <v>4734</v>
      </c>
      <c r="E34" s="5">
        <v>2367</v>
      </c>
    </row>
    <row r="35" spans="1:5" ht="12.75">
      <c r="A35" s="7">
        <v>96402136</v>
      </c>
      <c r="B35" s="7" t="s">
        <v>1890</v>
      </c>
      <c r="C35" s="7" t="s">
        <v>1883</v>
      </c>
      <c r="D35" s="5">
        <v>2771</v>
      </c>
      <c r="E35" s="5">
        <v>1385.5</v>
      </c>
    </row>
    <row r="36" spans="1:5" ht="12.75">
      <c r="A36" s="7">
        <v>96402260</v>
      </c>
      <c r="B36" s="7" t="s">
        <v>1891</v>
      </c>
      <c r="C36" s="7" t="s">
        <v>1883</v>
      </c>
      <c r="D36" s="5">
        <v>2482</v>
      </c>
      <c r="E36" s="5">
        <v>1241</v>
      </c>
    </row>
    <row r="37" spans="1:5" ht="12.75">
      <c r="A37" s="7">
        <v>96402280</v>
      </c>
      <c r="B37" s="7" t="s">
        <v>1892</v>
      </c>
      <c r="C37" s="7" t="s">
        <v>1883</v>
      </c>
      <c r="D37" s="5">
        <v>2939</v>
      </c>
      <c r="E37" s="5">
        <v>1469.5</v>
      </c>
    </row>
    <row r="38" spans="1:5" ht="12.75">
      <c r="A38" s="7">
        <v>96402316</v>
      </c>
      <c r="B38" s="7" t="s">
        <v>1893</v>
      </c>
      <c r="C38" s="7" t="s">
        <v>1883</v>
      </c>
      <c r="D38" s="5">
        <v>3357</v>
      </c>
      <c r="E38" s="5">
        <v>1678.5</v>
      </c>
    </row>
    <row r="39" spans="1:5" ht="12.75">
      <c r="A39" s="7">
        <v>96402391</v>
      </c>
      <c r="B39" s="7" t="s">
        <v>1894</v>
      </c>
      <c r="C39" s="7" t="s">
        <v>1883</v>
      </c>
      <c r="D39" s="5">
        <v>3730</v>
      </c>
      <c r="E39" s="5">
        <v>1865</v>
      </c>
    </row>
    <row r="40" spans="1:5" ht="12.75">
      <c r="A40" s="7">
        <v>96402440</v>
      </c>
      <c r="B40" s="7" t="s">
        <v>1895</v>
      </c>
      <c r="C40" s="7" t="s">
        <v>1883</v>
      </c>
      <c r="D40" s="5">
        <v>3885</v>
      </c>
      <c r="E40" s="5">
        <v>1942.5</v>
      </c>
    </row>
    <row r="41" spans="1:5" ht="12.75">
      <c r="A41" s="7">
        <v>96913085</v>
      </c>
      <c r="B41" s="7" t="s">
        <v>1957</v>
      </c>
      <c r="C41" s="7" t="s">
        <v>1879</v>
      </c>
      <c r="D41" s="5">
        <v>813</v>
      </c>
      <c r="E41" s="5">
        <v>447.15000000000003</v>
      </c>
    </row>
    <row r="42" spans="1:5" ht="12.75">
      <c r="A42" s="7">
        <v>96913096</v>
      </c>
      <c r="B42" s="7" t="s">
        <v>1958</v>
      </c>
      <c r="C42" s="7" t="s">
        <v>1879</v>
      </c>
      <c r="D42" s="5">
        <v>860</v>
      </c>
      <c r="E42" s="5">
        <v>473.00000000000006</v>
      </c>
    </row>
    <row r="43" spans="1:5" ht="12.75">
      <c r="A43" s="7">
        <v>97924245</v>
      </c>
      <c r="B43" s="7" t="s">
        <v>1896</v>
      </c>
      <c r="C43" s="7" t="s">
        <v>1897</v>
      </c>
      <c r="D43" s="5">
        <v>1689</v>
      </c>
      <c r="E43" s="5">
        <v>844.5</v>
      </c>
    </row>
    <row r="44" spans="1:5" ht="12.75">
      <c r="A44" s="7">
        <v>97924247</v>
      </c>
      <c r="B44" s="7" t="s">
        <v>1898</v>
      </c>
      <c r="C44" s="7" t="s">
        <v>1897</v>
      </c>
      <c r="D44" s="5">
        <v>2055</v>
      </c>
      <c r="E44" s="5">
        <v>1027.5</v>
      </c>
    </row>
    <row r="45" spans="1:5" ht="12.75">
      <c r="A45" s="7">
        <v>97924249</v>
      </c>
      <c r="B45" s="7" t="s">
        <v>1899</v>
      </c>
      <c r="C45" s="7" t="s">
        <v>1897</v>
      </c>
      <c r="D45" s="5">
        <v>1665</v>
      </c>
      <c r="E45" s="5">
        <v>832.5</v>
      </c>
    </row>
    <row r="46" spans="1:5" ht="12.75">
      <c r="A46" s="7">
        <v>97924257</v>
      </c>
      <c r="B46" s="7" t="s">
        <v>1900</v>
      </c>
      <c r="C46" s="7" t="s">
        <v>1897</v>
      </c>
      <c r="D46" s="5">
        <v>2254</v>
      </c>
      <c r="E46" s="5">
        <v>1127</v>
      </c>
    </row>
    <row r="47" spans="1:5" ht="12.75">
      <c r="A47" s="7">
        <v>97924259</v>
      </c>
      <c r="B47" s="7" t="s">
        <v>1901</v>
      </c>
      <c r="C47" s="7" t="s">
        <v>1897</v>
      </c>
      <c r="D47" s="5">
        <v>3585</v>
      </c>
      <c r="E47" s="5">
        <v>1792.5</v>
      </c>
    </row>
    <row r="48" spans="1:5" ht="12.75">
      <c r="A48" s="7">
        <v>97924270</v>
      </c>
      <c r="B48" s="7" t="s">
        <v>1902</v>
      </c>
      <c r="C48" s="7" t="s">
        <v>1897</v>
      </c>
      <c r="D48" s="5">
        <v>4522</v>
      </c>
      <c r="E48" s="5">
        <v>2261</v>
      </c>
    </row>
    <row r="49" spans="1:5" ht="12.75">
      <c r="A49" s="7">
        <v>97924271</v>
      </c>
      <c r="B49" s="7" t="s">
        <v>1903</v>
      </c>
      <c r="C49" s="7" t="s">
        <v>1897</v>
      </c>
      <c r="D49" s="5">
        <v>5361</v>
      </c>
      <c r="E49" s="5">
        <v>2680.5</v>
      </c>
    </row>
    <row r="50" spans="1:5" ht="12.75">
      <c r="A50" s="7">
        <v>97924272</v>
      </c>
      <c r="B50" s="7" t="s">
        <v>1904</v>
      </c>
      <c r="C50" s="7" t="s">
        <v>1897</v>
      </c>
      <c r="D50" s="5">
        <v>6163</v>
      </c>
      <c r="E50" s="5">
        <v>3081.5</v>
      </c>
    </row>
    <row r="51" spans="1:5" ht="12.75">
      <c r="A51" s="7">
        <v>97924281</v>
      </c>
      <c r="B51" s="7" t="s">
        <v>1905</v>
      </c>
      <c r="C51" s="7" t="s">
        <v>1897</v>
      </c>
      <c r="D51" s="5">
        <v>4655</v>
      </c>
      <c r="E51" s="5">
        <v>2327.5</v>
      </c>
    </row>
    <row r="52" spans="1:5" ht="12.75">
      <c r="A52" s="7">
        <v>97924284</v>
      </c>
      <c r="B52" s="7" t="s">
        <v>1906</v>
      </c>
      <c r="C52" s="7" t="s">
        <v>1897</v>
      </c>
      <c r="D52" s="5">
        <v>5730</v>
      </c>
      <c r="E52" s="5">
        <v>2865</v>
      </c>
    </row>
    <row r="53" spans="1:5" ht="12.75">
      <c r="A53" s="7">
        <v>97924286</v>
      </c>
      <c r="B53" s="7" t="s">
        <v>1907</v>
      </c>
      <c r="C53" s="7" t="s">
        <v>1897</v>
      </c>
      <c r="D53" s="5">
        <v>7737</v>
      </c>
      <c r="E53" s="5">
        <v>3868.5</v>
      </c>
    </row>
    <row r="54" spans="1:5" ht="12.75">
      <c r="A54" s="7">
        <v>97924295</v>
      </c>
      <c r="B54" s="7" t="s">
        <v>1908</v>
      </c>
      <c r="C54" s="7" t="s">
        <v>1897</v>
      </c>
      <c r="D54" s="5">
        <v>5663</v>
      </c>
      <c r="E54" s="5">
        <v>2831.5</v>
      </c>
    </row>
    <row r="55" spans="1:5" ht="12.75">
      <c r="A55" s="7">
        <v>97924298</v>
      </c>
      <c r="B55" s="7" t="s">
        <v>1909</v>
      </c>
      <c r="C55" s="7" t="s">
        <v>1897</v>
      </c>
      <c r="D55" s="5">
        <v>6970</v>
      </c>
      <c r="E55" s="5">
        <v>3485</v>
      </c>
    </row>
    <row r="56" spans="1:5" ht="12.75">
      <c r="A56" s="7">
        <v>97924299</v>
      </c>
      <c r="B56" s="7" t="s">
        <v>1910</v>
      </c>
      <c r="C56" s="7" t="s">
        <v>1897</v>
      </c>
      <c r="D56" s="5">
        <v>7667</v>
      </c>
      <c r="E56" s="5">
        <v>3833.5</v>
      </c>
    </row>
    <row r="57" spans="1:5" ht="12.75">
      <c r="A57" s="7">
        <v>97924337</v>
      </c>
      <c r="B57" s="7" t="s">
        <v>1911</v>
      </c>
      <c r="C57" s="7" t="s">
        <v>1897</v>
      </c>
      <c r="D57" s="5">
        <v>2865</v>
      </c>
      <c r="E57" s="5">
        <v>1432.5</v>
      </c>
    </row>
    <row r="58" spans="1:5" ht="12.75">
      <c r="A58" s="7">
        <v>97924339</v>
      </c>
      <c r="B58" s="7" t="s">
        <v>1912</v>
      </c>
      <c r="C58" s="7" t="s">
        <v>1897</v>
      </c>
      <c r="D58" s="5">
        <v>2839</v>
      </c>
      <c r="E58" s="5">
        <v>1419.5</v>
      </c>
    </row>
    <row r="59" spans="1:5" ht="12.75">
      <c r="A59" s="7">
        <v>97924340</v>
      </c>
      <c r="B59" s="7" t="s">
        <v>1913</v>
      </c>
      <c r="C59" s="7" t="s">
        <v>1897</v>
      </c>
      <c r="D59" s="5">
        <v>3583</v>
      </c>
      <c r="E59" s="5">
        <v>1791.5</v>
      </c>
    </row>
    <row r="60" spans="1:5" ht="12.75">
      <c r="A60" s="7">
        <v>97924342</v>
      </c>
      <c r="B60" s="7" t="s">
        <v>1914</v>
      </c>
      <c r="C60" s="7" t="s">
        <v>1897</v>
      </c>
      <c r="D60" s="5">
        <v>3170</v>
      </c>
      <c r="E60" s="5">
        <v>1585</v>
      </c>
    </row>
    <row r="61" spans="1:5" ht="12.75">
      <c r="A61" s="7">
        <v>97924344</v>
      </c>
      <c r="B61" s="7" t="s">
        <v>1915</v>
      </c>
      <c r="C61" s="7" t="s">
        <v>1897</v>
      </c>
      <c r="D61" s="5">
        <v>3195</v>
      </c>
      <c r="E61" s="5">
        <v>1597.5</v>
      </c>
    </row>
    <row r="62" spans="1:5" ht="12.75">
      <c r="A62" s="7">
        <v>97924346</v>
      </c>
      <c r="B62" s="7" t="s">
        <v>1916</v>
      </c>
      <c r="C62" s="7" t="s">
        <v>1897</v>
      </c>
      <c r="D62" s="5">
        <v>5609</v>
      </c>
      <c r="E62" s="5">
        <v>2804.5</v>
      </c>
    </row>
    <row r="63" spans="1:5" ht="12.75">
      <c r="A63" s="7">
        <v>98609711</v>
      </c>
      <c r="B63" s="7" t="s">
        <v>1917</v>
      </c>
      <c r="C63" s="7" t="s">
        <v>1897</v>
      </c>
      <c r="D63" s="5">
        <v>3782</v>
      </c>
      <c r="E63" s="5">
        <v>1891</v>
      </c>
    </row>
    <row r="64" spans="1:5" ht="12.75">
      <c r="A64" s="7">
        <v>99221224</v>
      </c>
      <c r="B64" s="7" t="s">
        <v>1918</v>
      </c>
      <c r="C64" s="7" t="s">
        <v>1883</v>
      </c>
      <c r="D64" s="5">
        <v>2062</v>
      </c>
      <c r="E64" s="5">
        <v>1031</v>
      </c>
    </row>
    <row r="65" spans="1:5" ht="12.75">
      <c r="A65" s="7">
        <v>99221227</v>
      </c>
      <c r="B65" s="7" t="s">
        <v>1919</v>
      </c>
      <c r="C65" s="7" t="s">
        <v>1883</v>
      </c>
      <c r="D65" s="5">
        <v>2930</v>
      </c>
      <c r="E65" s="5">
        <v>1465</v>
      </c>
    </row>
    <row r="66" spans="1:5" ht="12.75">
      <c r="A66" s="7">
        <v>99221254</v>
      </c>
      <c r="B66" s="7" t="s">
        <v>1920</v>
      </c>
      <c r="C66" s="7" t="s">
        <v>1883</v>
      </c>
      <c r="D66" s="5">
        <v>2496</v>
      </c>
      <c r="E66" s="5">
        <v>1248</v>
      </c>
    </row>
    <row r="67" spans="1:5" ht="12.75">
      <c r="A67" s="7">
        <v>99221283</v>
      </c>
      <c r="B67" s="7" t="s">
        <v>1921</v>
      </c>
      <c r="C67" s="7" t="s">
        <v>1883</v>
      </c>
      <c r="D67" s="5">
        <v>3092</v>
      </c>
      <c r="E67" s="5">
        <v>1546</v>
      </c>
    </row>
    <row r="68" spans="1:5" ht="12.75">
      <c r="A68" s="7">
        <v>99221300</v>
      </c>
      <c r="B68" s="7" t="s">
        <v>1922</v>
      </c>
      <c r="C68" s="7" t="s">
        <v>1883</v>
      </c>
      <c r="D68" s="5">
        <v>3219</v>
      </c>
      <c r="E68" s="5">
        <v>1609.5</v>
      </c>
    </row>
    <row r="69" spans="1:5" ht="12.75">
      <c r="A69" s="7">
        <v>99221325</v>
      </c>
      <c r="B69" s="7" t="s">
        <v>1923</v>
      </c>
      <c r="C69" s="7" t="s">
        <v>1883</v>
      </c>
      <c r="D69" s="5">
        <v>4782</v>
      </c>
      <c r="E69" s="5">
        <v>2391</v>
      </c>
    </row>
    <row r="70" spans="1:5" ht="12.75">
      <c r="A70" s="7">
        <v>99221361</v>
      </c>
      <c r="B70" s="7" t="s">
        <v>1924</v>
      </c>
      <c r="C70" s="7" t="s">
        <v>1883</v>
      </c>
      <c r="D70" s="5">
        <v>6242</v>
      </c>
      <c r="E70" s="5">
        <v>3121</v>
      </c>
    </row>
    <row r="71" spans="1:5" ht="12.75">
      <c r="A71" s="7">
        <v>99411150</v>
      </c>
      <c r="B71" s="7" t="s">
        <v>1959</v>
      </c>
      <c r="C71" s="7" t="s">
        <v>1925</v>
      </c>
      <c r="D71" s="5">
        <v>836</v>
      </c>
      <c r="E71" s="5">
        <v>459.8</v>
      </c>
    </row>
    <row r="72" spans="1:5" ht="12.75">
      <c r="A72" s="7">
        <v>99411175</v>
      </c>
      <c r="B72" s="7" t="s">
        <v>1960</v>
      </c>
      <c r="C72" s="7" t="s">
        <v>1925</v>
      </c>
      <c r="D72" s="5">
        <v>836</v>
      </c>
      <c r="E72" s="5">
        <v>459.8</v>
      </c>
    </row>
    <row r="73" spans="1:5" ht="12.75">
      <c r="A73" s="7">
        <v>99411287</v>
      </c>
      <c r="B73" s="7" t="s">
        <v>1961</v>
      </c>
      <c r="C73" s="7" t="s">
        <v>1879</v>
      </c>
      <c r="D73" s="5">
        <v>1289</v>
      </c>
      <c r="E73" s="5">
        <v>708.95</v>
      </c>
    </row>
    <row r="74" spans="1:5" ht="12.75">
      <c r="A74" s="7">
        <v>99411424</v>
      </c>
      <c r="B74" s="7" t="s">
        <v>1962</v>
      </c>
      <c r="C74" s="7" t="s">
        <v>1879</v>
      </c>
      <c r="D74" s="5">
        <v>1289</v>
      </c>
      <c r="E74" s="5">
        <v>708.95</v>
      </c>
    </row>
    <row r="75" spans="1:5" ht="12.75">
      <c r="A75" s="7">
        <v>99649135</v>
      </c>
      <c r="B75" s="7" t="s">
        <v>1963</v>
      </c>
      <c r="C75" s="7" t="s">
        <v>1879</v>
      </c>
      <c r="D75" s="5">
        <v>5085</v>
      </c>
      <c r="E75" s="5">
        <v>2796.75</v>
      </c>
    </row>
    <row r="76" spans="1:5" ht="12.75">
      <c r="A76" s="7">
        <v>99649141</v>
      </c>
      <c r="B76" s="7" t="s">
        <v>1964</v>
      </c>
      <c r="C76" s="7" t="s">
        <v>1879</v>
      </c>
      <c r="D76" s="5">
        <v>6869</v>
      </c>
      <c r="E76" s="5">
        <v>3777.9500000000003</v>
      </c>
    </row>
    <row r="77" spans="1:5" ht="12.75">
      <c r="A77" s="7">
        <v>99649142</v>
      </c>
      <c r="B77" s="7" t="s">
        <v>1965</v>
      </c>
      <c r="C77" s="7" t="s">
        <v>1879</v>
      </c>
      <c r="D77" s="5">
        <v>6373</v>
      </c>
      <c r="E77" s="5">
        <v>3505.15</v>
      </c>
    </row>
    <row r="78" spans="1:5" ht="12.75">
      <c r="A78" s="7">
        <v>99649155</v>
      </c>
      <c r="B78" s="7" t="s">
        <v>1966</v>
      </c>
      <c r="C78" s="7" t="s">
        <v>1879</v>
      </c>
      <c r="D78" s="5">
        <v>8217</v>
      </c>
      <c r="E78" s="5">
        <v>4519.3500000000004</v>
      </c>
    </row>
    <row r="79" spans="1:5" ht="12.75">
      <c r="A79" s="7">
        <v>99726689</v>
      </c>
      <c r="B79" s="7" t="s">
        <v>1926</v>
      </c>
      <c r="C79" s="7" t="s">
        <v>1897</v>
      </c>
      <c r="D79" s="5">
        <v>10176</v>
      </c>
      <c r="E79" s="5">
        <v>5088</v>
      </c>
    </row>
    <row r="80" spans="1:5" ht="12.75">
      <c r="A80" s="7">
        <v>99726690</v>
      </c>
      <c r="B80" s="7" t="s">
        <v>1927</v>
      </c>
      <c r="C80" s="7" t="s">
        <v>1897</v>
      </c>
      <c r="D80" s="5">
        <v>12047</v>
      </c>
      <c r="E80" s="5">
        <v>6023.5</v>
      </c>
    </row>
    <row r="81" spans="1:5" ht="12.75">
      <c r="A81" s="7">
        <v>99726691</v>
      </c>
      <c r="B81" s="7" t="s">
        <v>1928</v>
      </c>
      <c r="C81" s="7" t="s">
        <v>1897</v>
      </c>
      <c r="D81" s="5">
        <v>12623</v>
      </c>
      <c r="E81" s="5">
        <v>6311.5</v>
      </c>
    </row>
    <row r="82" spans="1:5" ht="12.75">
      <c r="A82" s="7">
        <v>99726692</v>
      </c>
      <c r="B82" s="7" t="s">
        <v>1929</v>
      </c>
      <c r="C82" s="7" t="s">
        <v>1897</v>
      </c>
      <c r="D82" s="5">
        <v>13992</v>
      </c>
      <c r="E82" s="5">
        <v>6996</v>
      </c>
    </row>
  </sheetData>
  <autoFilter ref="A1:E890" xr:uid="{00000000-0009-0000-0000-000015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C1"/>
  <sheetViews>
    <sheetView workbookViewId="0"/>
  </sheetViews>
  <sheetFormatPr defaultColWidth="12.5703125" defaultRowHeight="15.75" customHeight="1"/>
  <sheetData>
    <row r="1" spans="1:29">
      <c r="A1" s="71" t="s">
        <v>1969</v>
      </c>
      <c r="B1" s="71" t="s">
        <v>15</v>
      </c>
      <c r="C1" s="71" t="s">
        <v>8</v>
      </c>
      <c r="D1" s="71" t="s">
        <v>11</v>
      </c>
      <c r="E1" s="71" t="s">
        <v>1970</v>
      </c>
      <c r="F1" s="71" t="s">
        <v>703</v>
      </c>
      <c r="G1" s="71" t="s">
        <v>1971</v>
      </c>
      <c r="H1" s="71" t="s">
        <v>1972</v>
      </c>
      <c r="I1" s="71" t="s">
        <v>76</v>
      </c>
      <c r="J1" s="71" t="s">
        <v>1973</v>
      </c>
      <c r="K1" s="71" t="s">
        <v>1974</v>
      </c>
      <c r="L1" s="72" t="s">
        <v>1975</v>
      </c>
      <c r="M1" s="71" t="s">
        <v>714</v>
      </c>
      <c r="N1" s="71" t="s">
        <v>1976</v>
      </c>
      <c r="O1" s="71" t="s">
        <v>715</v>
      </c>
      <c r="P1" s="71" t="s">
        <v>1977</v>
      </c>
      <c r="Q1" s="32">
        <v>0.81499999999999995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P101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16.5703125" customWidth="1"/>
    <col min="4" max="4" width="23.85546875" customWidth="1"/>
  </cols>
  <sheetData>
    <row r="1" spans="1:16" ht="15">
      <c r="A1" s="73" t="s">
        <v>15</v>
      </c>
      <c r="B1" s="73" t="s">
        <v>8</v>
      </c>
      <c r="C1" s="74" t="s">
        <v>1978</v>
      </c>
      <c r="D1" s="74" t="s">
        <v>1979</v>
      </c>
      <c r="E1" s="75" t="s">
        <v>1980</v>
      </c>
      <c r="F1" s="75" t="s">
        <v>12</v>
      </c>
      <c r="G1" s="75" t="s">
        <v>3</v>
      </c>
      <c r="H1" s="75" t="s">
        <v>9</v>
      </c>
      <c r="I1" s="75" t="s">
        <v>2</v>
      </c>
      <c r="J1" s="75" t="s">
        <v>4</v>
      </c>
      <c r="K1" s="75" t="s">
        <v>1981</v>
      </c>
      <c r="L1" s="76" t="s">
        <v>714</v>
      </c>
      <c r="M1" s="77" t="s">
        <v>1</v>
      </c>
      <c r="N1" s="63" t="s">
        <v>0</v>
      </c>
    </row>
    <row r="2" spans="1:16" ht="15">
      <c r="A2" s="78">
        <v>93055672</v>
      </c>
      <c r="B2" s="79" t="s">
        <v>534</v>
      </c>
      <c r="C2" s="80">
        <v>1007528826</v>
      </c>
      <c r="D2" s="80" t="s">
        <v>1982</v>
      </c>
      <c r="E2" s="81">
        <v>45436</v>
      </c>
      <c r="F2" s="79" t="s">
        <v>1983</v>
      </c>
      <c r="G2" s="79"/>
      <c r="H2" s="82">
        <v>6346.96</v>
      </c>
      <c r="I2" s="82">
        <v>643.75</v>
      </c>
      <c r="J2" s="82">
        <v>148.75</v>
      </c>
      <c r="K2" s="79">
        <v>4</v>
      </c>
      <c r="L2" s="82">
        <v>7585.71</v>
      </c>
      <c r="M2" s="83">
        <f t="shared" ref="M2:M100" si="0">L2/$N$2</f>
        <v>9307.6196319018418</v>
      </c>
      <c r="N2" s="63">
        <v>0.81499999999999995</v>
      </c>
      <c r="O2" s="21">
        <v>5331.2550000000001</v>
      </c>
      <c r="P2" s="21"/>
    </row>
    <row r="3" spans="1:16" ht="15">
      <c r="A3" s="84"/>
      <c r="B3" s="85"/>
      <c r="C3" s="86">
        <v>1007528826</v>
      </c>
      <c r="D3" s="86" t="s">
        <v>1982</v>
      </c>
      <c r="E3" s="87">
        <v>45436</v>
      </c>
      <c r="F3" s="85" t="s">
        <v>1984</v>
      </c>
      <c r="G3" s="85"/>
      <c r="H3" s="88">
        <v>6000.39</v>
      </c>
      <c r="I3" s="88">
        <v>643.75</v>
      </c>
      <c r="J3" s="88">
        <v>148.75</v>
      </c>
      <c r="K3" s="85">
        <v>4</v>
      </c>
      <c r="L3" s="88">
        <v>7239.14</v>
      </c>
      <c r="M3" s="89">
        <f t="shared" si="0"/>
        <v>8882.38036809816</v>
      </c>
      <c r="N3" s="63"/>
    </row>
    <row r="4" spans="1:16" ht="15">
      <c r="A4" s="90"/>
      <c r="B4" s="90"/>
      <c r="C4" s="90">
        <v>1007364439</v>
      </c>
      <c r="D4" s="90" t="s">
        <v>1985</v>
      </c>
      <c r="E4" s="91">
        <v>45363</v>
      </c>
      <c r="F4" s="90" t="s">
        <v>1983</v>
      </c>
      <c r="G4" s="90"/>
      <c r="H4" s="92">
        <v>5740.86</v>
      </c>
      <c r="I4" s="92">
        <v>643.75</v>
      </c>
      <c r="J4" s="92">
        <v>148.75</v>
      </c>
      <c r="K4" s="90">
        <v>4</v>
      </c>
      <c r="L4" s="92">
        <v>6979.61</v>
      </c>
      <c r="M4" s="93">
        <f t="shared" si="0"/>
        <v>8563.938650306749</v>
      </c>
      <c r="N4" s="63"/>
    </row>
    <row r="5" spans="1:16" ht="15">
      <c r="A5" s="94"/>
      <c r="B5" s="94"/>
      <c r="C5" s="94">
        <v>1007903185</v>
      </c>
      <c r="D5" s="94" t="s">
        <v>1986</v>
      </c>
      <c r="E5" s="95">
        <v>45609</v>
      </c>
      <c r="F5" s="94" t="s">
        <v>1983</v>
      </c>
      <c r="G5" s="94"/>
      <c r="H5" s="96">
        <v>5768.25</v>
      </c>
      <c r="I5" s="96">
        <v>656.56</v>
      </c>
      <c r="J5" s="96">
        <v>133.25</v>
      </c>
      <c r="K5" s="94">
        <v>4</v>
      </c>
      <c r="L5" s="96">
        <f>(K5*J5)+H5+I5</f>
        <v>6957.8099999999995</v>
      </c>
      <c r="M5" s="97">
        <f t="shared" si="0"/>
        <v>8537.1901840490791</v>
      </c>
      <c r="N5" s="63"/>
    </row>
    <row r="6" spans="1:16" ht="15">
      <c r="A6" s="98">
        <v>92775911</v>
      </c>
      <c r="B6" s="99" t="s">
        <v>413</v>
      </c>
      <c r="C6" s="100">
        <v>1007528826</v>
      </c>
      <c r="D6" s="100" t="s">
        <v>1982</v>
      </c>
      <c r="E6" s="101">
        <v>45436</v>
      </c>
      <c r="F6" s="99" t="s">
        <v>1984</v>
      </c>
      <c r="G6" s="99"/>
      <c r="H6" s="102">
        <v>5188.49</v>
      </c>
      <c r="I6" s="102">
        <v>628.75</v>
      </c>
      <c r="J6" s="102">
        <v>57.75</v>
      </c>
      <c r="K6" s="99">
        <v>4</v>
      </c>
      <c r="L6" s="102">
        <v>6048.24</v>
      </c>
      <c r="M6" s="103">
        <f t="shared" si="0"/>
        <v>7421.1533742331294</v>
      </c>
      <c r="N6" s="63"/>
      <c r="O6" s="21">
        <v>4522.915</v>
      </c>
    </row>
    <row r="7" spans="1:16" ht="15">
      <c r="A7" s="104"/>
      <c r="B7" s="105"/>
      <c r="C7" s="106">
        <v>1007395137</v>
      </c>
      <c r="D7" s="106" t="s">
        <v>1987</v>
      </c>
      <c r="E7" s="107">
        <v>45376</v>
      </c>
      <c r="F7" s="105" t="s">
        <v>1984</v>
      </c>
      <c r="G7" s="105"/>
      <c r="H7" s="108">
        <v>5073</v>
      </c>
      <c r="I7" s="108">
        <v>1000</v>
      </c>
      <c r="J7" s="108">
        <v>131.25</v>
      </c>
      <c r="K7" s="105">
        <v>6</v>
      </c>
      <c r="L7" s="108">
        <v>6860.5</v>
      </c>
      <c r="M7" s="109">
        <f t="shared" si="0"/>
        <v>8417.7914110429447</v>
      </c>
      <c r="N7" s="63"/>
    </row>
    <row r="8" spans="1:16" ht="15">
      <c r="A8" s="98">
        <v>92776056</v>
      </c>
      <c r="B8" s="99" t="s">
        <v>499</v>
      </c>
      <c r="C8" s="100">
        <v>1007528826</v>
      </c>
      <c r="D8" s="100" t="s">
        <v>1982</v>
      </c>
      <c r="E8" s="101">
        <v>45436</v>
      </c>
      <c r="F8" s="99" t="s">
        <v>1983</v>
      </c>
      <c r="G8" s="99"/>
      <c r="H8" s="102">
        <v>16279.93</v>
      </c>
      <c r="I8" s="102">
        <v>1050</v>
      </c>
      <c r="J8" s="102">
        <v>148.75</v>
      </c>
      <c r="K8" s="99">
        <v>4</v>
      </c>
      <c r="L8" s="102">
        <v>17924.93</v>
      </c>
      <c r="M8" s="103">
        <f t="shared" si="0"/>
        <v>21993.779141104296</v>
      </c>
      <c r="N8" s="63"/>
      <c r="O8" s="21">
        <v>12566.254999999999</v>
      </c>
    </row>
    <row r="9" spans="1:16" ht="15">
      <c r="A9" s="110"/>
      <c r="B9" s="90"/>
      <c r="C9" s="111">
        <v>1007377895</v>
      </c>
      <c r="D9" s="111" t="s">
        <v>1988</v>
      </c>
      <c r="E9" s="91">
        <v>45369</v>
      </c>
      <c r="F9" s="90" t="s">
        <v>1984</v>
      </c>
      <c r="G9" s="90"/>
      <c r="H9" s="92">
        <v>14324.2</v>
      </c>
      <c r="I9" s="92">
        <v>1050</v>
      </c>
      <c r="J9" s="92">
        <v>148.75</v>
      </c>
      <c r="K9" s="90">
        <v>6</v>
      </c>
      <c r="L9" s="92">
        <v>16266.7</v>
      </c>
      <c r="M9" s="93">
        <f t="shared" si="0"/>
        <v>19959.141104294482</v>
      </c>
      <c r="N9" s="63"/>
    </row>
    <row r="10" spans="1:16" ht="15">
      <c r="A10" s="84"/>
      <c r="B10" s="85"/>
      <c r="C10" s="86">
        <v>1007320496</v>
      </c>
      <c r="D10" s="86" t="s">
        <v>1989</v>
      </c>
      <c r="E10" s="87">
        <v>45344</v>
      </c>
      <c r="F10" s="85" t="s">
        <v>1983</v>
      </c>
      <c r="G10" s="85"/>
      <c r="H10" s="88">
        <v>16029.26</v>
      </c>
      <c r="I10" s="88">
        <v>1050</v>
      </c>
      <c r="J10" s="88">
        <v>148.75</v>
      </c>
      <c r="K10" s="85">
        <v>6</v>
      </c>
      <c r="L10" s="88">
        <v>17971.759999999998</v>
      </c>
      <c r="M10" s="89">
        <f t="shared" si="0"/>
        <v>22051.23926380368</v>
      </c>
      <c r="N10" s="63"/>
    </row>
    <row r="11" spans="1:16" ht="15">
      <c r="A11" s="90"/>
      <c r="B11" s="90"/>
      <c r="C11" s="90">
        <v>1007589574</v>
      </c>
      <c r="D11" s="90" t="s">
        <v>1990</v>
      </c>
      <c r="E11" s="91">
        <v>45463</v>
      </c>
      <c r="F11" s="90" t="s">
        <v>1983</v>
      </c>
      <c r="G11" s="90"/>
      <c r="H11" s="92">
        <v>15791.07</v>
      </c>
      <c r="I11" s="92">
        <v>1050</v>
      </c>
      <c r="J11" s="92">
        <v>148.75</v>
      </c>
      <c r="K11" s="90">
        <v>4</v>
      </c>
      <c r="L11" s="92">
        <v>17436.07</v>
      </c>
      <c r="M11" s="93">
        <f t="shared" si="0"/>
        <v>21393.950920245399</v>
      </c>
      <c r="N11" s="63"/>
    </row>
    <row r="12" spans="1:16" ht="15">
      <c r="A12" s="94"/>
      <c r="B12" s="94"/>
      <c r="C12" s="94">
        <v>1007816507</v>
      </c>
      <c r="D12" s="94" t="s">
        <v>1991</v>
      </c>
      <c r="E12" s="95">
        <v>45569</v>
      </c>
      <c r="F12" s="94" t="s">
        <v>1984</v>
      </c>
      <c r="G12" s="94"/>
      <c r="H12" s="96">
        <v>14741.2</v>
      </c>
      <c r="I12" s="96">
        <v>1301.95</v>
      </c>
      <c r="J12" s="96">
        <v>151.71</v>
      </c>
      <c r="K12" s="94">
        <v>4</v>
      </c>
      <c r="L12" s="96">
        <f>(K12*J12)+H12+I12</f>
        <v>16649.990000000002</v>
      </c>
      <c r="M12" s="97">
        <f t="shared" si="0"/>
        <v>20429.435582822091</v>
      </c>
      <c r="N12" s="63"/>
    </row>
    <row r="13" spans="1:16" ht="15">
      <c r="A13" s="98">
        <v>92775845</v>
      </c>
      <c r="B13" s="99" t="s">
        <v>356</v>
      </c>
      <c r="C13" s="100">
        <v>1007528826</v>
      </c>
      <c r="D13" s="86" t="s">
        <v>1982</v>
      </c>
      <c r="E13" s="87">
        <v>45436</v>
      </c>
      <c r="F13" s="85" t="s">
        <v>1984</v>
      </c>
      <c r="G13" s="85"/>
      <c r="H13" s="88">
        <v>6059.46</v>
      </c>
      <c r="I13" s="88">
        <v>650</v>
      </c>
      <c r="J13" s="88">
        <v>148.75</v>
      </c>
      <c r="K13" s="99">
        <v>4</v>
      </c>
      <c r="L13" s="102">
        <v>7304.46</v>
      </c>
      <c r="M13" s="89">
        <f t="shared" si="0"/>
        <v>8962.5276073619643</v>
      </c>
      <c r="N13" s="63"/>
      <c r="O13" s="21">
        <v>5421.16</v>
      </c>
    </row>
    <row r="14" spans="1:16" ht="15">
      <c r="A14" s="104"/>
      <c r="B14" s="105"/>
      <c r="C14" s="106">
        <v>1007395137</v>
      </c>
      <c r="D14" s="106" t="s">
        <v>1987</v>
      </c>
      <c r="E14" s="107">
        <v>45376</v>
      </c>
      <c r="F14" s="105" t="s">
        <v>1983</v>
      </c>
      <c r="G14" s="105"/>
      <c r="H14" s="108">
        <v>6624.47</v>
      </c>
      <c r="I14" s="108">
        <v>1000</v>
      </c>
      <c r="J14" s="108">
        <v>131.25</v>
      </c>
      <c r="K14" s="105">
        <v>6</v>
      </c>
      <c r="L14" s="108">
        <v>8411.9699999999993</v>
      </c>
      <c r="M14" s="109">
        <f t="shared" si="0"/>
        <v>10321.435582822085</v>
      </c>
      <c r="N14" s="63"/>
    </row>
    <row r="15" spans="1:16" ht="15">
      <c r="A15" s="98">
        <v>92775868</v>
      </c>
      <c r="B15" s="99" t="s">
        <v>376</v>
      </c>
      <c r="C15" s="100">
        <v>1007528826</v>
      </c>
      <c r="D15" s="100" t="s">
        <v>1982</v>
      </c>
      <c r="E15" s="101">
        <v>45436</v>
      </c>
      <c r="F15" s="99" t="s">
        <v>1983</v>
      </c>
      <c r="G15" s="99"/>
      <c r="H15" s="102">
        <v>4518.3</v>
      </c>
      <c r="I15" s="102">
        <v>636.25</v>
      </c>
      <c r="J15" s="102">
        <v>57.75</v>
      </c>
      <c r="K15" s="99">
        <v>4</v>
      </c>
      <c r="L15" s="102">
        <v>5385.55</v>
      </c>
      <c r="M15" s="103">
        <f t="shared" si="0"/>
        <v>6608.0368098159515</v>
      </c>
      <c r="N15" s="63"/>
      <c r="O15" s="21">
        <v>3548.8449999999998</v>
      </c>
    </row>
    <row r="16" spans="1:16" ht="15">
      <c r="A16" s="90"/>
      <c r="B16" s="90"/>
      <c r="C16" s="90">
        <v>1007394704</v>
      </c>
      <c r="D16" s="90" t="s">
        <v>1992</v>
      </c>
      <c r="E16" s="91">
        <v>45376</v>
      </c>
      <c r="F16" s="90" t="s">
        <v>1984</v>
      </c>
      <c r="G16" s="90"/>
      <c r="H16" s="92">
        <v>3698.65</v>
      </c>
      <c r="I16" s="92">
        <v>623.75</v>
      </c>
      <c r="J16" s="92">
        <v>57.75</v>
      </c>
      <c r="K16" s="90">
        <v>4</v>
      </c>
      <c r="L16" s="92">
        <v>4553.3999999999996</v>
      </c>
      <c r="M16" s="93">
        <f t="shared" si="0"/>
        <v>5586.9938650306749</v>
      </c>
      <c r="N16" s="63"/>
    </row>
    <row r="17" spans="1:15" ht="15">
      <c r="A17" s="86"/>
      <c r="B17" s="67"/>
      <c r="C17" s="85">
        <v>1008060801</v>
      </c>
      <c r="D17" s="85" t="s">
        <v>1993</v>
      </c>
      <c r="E17" s="87">
        <v>45692</v>
      </c>
      <c r="F17" s="85" t="s">
        <v>1983</v>
      </c>
      <c r="G17" s="67">
        <v>55</v>
      </c>
      <c r="H17" s="112">
        <v>4253.54</v>
      </c>
      <c r="I17" s="88">
        <v>648.91999999999996</v>
      </c>
      <c r="J17" s="88">
        <v>133.86000000000001</v>
      </c>
      <c r="K17" s="67">
        <v>4</v>
      </c>
      <c r="L17" s="88">
        <f t="shared" ref="L17:L18" si="1">(K17*J17)+H17+I17</f>
        <v>5437.9</v>
      </c>
      <c r="M17" s="89">
        <f t="shared" si="0"/>
        <v>6672.2699386503064</v>
      </c>
      <c r="N17" s="63"/>
    </row>
    <row r="18" spans="1:15" ht="15">
      <c r="A18" s="104"/>
      <c r="B18" s="105"/>
      <c r="C18" s="106">
        <v>1008060993</v>
      </c>
      <c r="D18" s="106" t="s">
        <v>1993</v>
      </c>
      <c r="E18" s="107">
        <v>45692</v>
      </c>
      <c r="F18" s="105" t="s">
        <v>1983</v>
      </c>
      <c r="G18" s="105">
        <v>56</v>
      </c>
      <c r="H18" s="108">
        <v>4335.0600000000004</v>
      </c>
      <c r="I18" s="108">
        <v>648.91999999999996</v>
      </c>
      <c r="J18" s="108">
        <v>133.86000000000001</v>
      </c>
      <c r="K18" s="105">
        <v>4</v>
      </c>
      <c r="L18" s="92">
        <f t="shared" si="1"/>
        <v>5519.42</v>
      </c>
      <c r="M18" s="93">
        <f t="shared" si="0"/>
        <v>6772.2944785276077</v>
      </c>
      <c r="N18" s="63"/>
    </row>
    <row r="19" spans="1:15" ht="15">
      <c r="A19" s="98">
        <v>92775925</v>
      </c>
      <c r="B19" s="99" t="s">
        <v>425</v>
      </c>
      <c r="C19" s="100">
        <v>1007541813</v>
      </c>
      <c r="D19" s="100" t="s">
        <v>1994</v>
      </c>
      <c r="E19" s="101">
        <v>45442</v>
      </c>
      <c r="F19" s="99" t="s">
        <v>1984</v>
      </c>
      <c r="G19" s="99"/>
      <c r="H19" s="102">
        <v>10928.7</v>
      </c>
      <c r="I19" s="102">
        <v>800</v>
      </c>
      <c r="J19" s="102">
        <v>148.75</v>
      </c>
      <c r="K19" s="99">
        <v>4</v>
      </c>
      <c r="L19" s="102">
        <v>12323.7</v>
      </c>
      <c r="M19" s="103">
        <f t="shared" si="0"/>
        <v>15121.104294478529</v>
      </c>
      <c r="N19" s="63"/>
      <c r="O19" s="21">
        <v>8852.49</v>
      </c>
    </row>
    <row r="20" spans="1:15" ht="15">
      <c r="A20" s="110"/>
      <c r="B20" s="105"/>
      <c r="C20" s="111">
        <v>1007394704</v>
      </c>
      <c r="D20" s="111" t="s">
        <v>1992</v>
      </c>
      <c r="E20" s="91">
        <v>45376</v>
      </c>
      <c r="F20" s="90" t="s">
        <v>1983</v>
      </c>
      <c r="G20" s="90"/>
      <c r="H20" s="92">
        <v>11737.29</v>
      </c>
      <c r="I20" s="92">
        <v>800</v>
      </c>
      <c r="J20" s="92">
        <v>148.75</v>
      </c>
      <c r="K20" s="90">
        <v>4</v>
      </c>
      <c r="L20" s="92">
        <v>13132.29</v>
      </c>
      <c r="M20" s="93">
        <f t="shared" si="0"/>
        <v>16113.239263803684</v>
      </c>
      <c r="N20" s="63"/>
    </row>
    <row r="21" spans="1:15" ht="15">
      <c r="A21" s="99">
        <v>92776315</v>
      </c>
      <c r="B21" s="99" t="s">
        <v>544</v>
      </c>
      <c r="C21" s="99">
        <v>1007433753</v>
      </c>
      <c r="D21" s="99" t="s">
        <v>1995</v>
      </c>
      <c r="E21" s="101">
        <v>45393</v>
      </c>
      <c r="F21" s="99" t="s">
        <v>1984</v>
      </c>
      <c r="G21" s="99"/>
      <c r="H21" s="102">
        <v>17071.12</v>
      </c>
      <c r="I21" s="102">
        <v>1010</v>
      </c>
      <c r="J21" s="102">
        <v>148.75</v>
      </c>
      <c r="K21" s="99">
        <v>6</v>
      </c>
      <c r="L21" s="102">
        <v>18973.62</v>
      </c>
      <c r="M21" s="103">
        <f t="shared" si="0"/>
        <v>23280.515337423312</v>
      </c>
      <c r="N21" s="63"/>
      <c r="O21" s="21">
        <v>11869.91</v>
      </c>
    </row>
    <row r="22" spans="1:15" ht="15">
      <c r="A22" s="90"/>
      <c r="B22" s="90"/>
      <c r="C22" s="90">
        <v>1007463845</v>
      </c>
      <c r="D22" s="90" t="s">
        <v>1996</v>
      </c>
      <c r="E22" s="91">
        <v>45406</v>
      </c>
      <c r="F22" s="90" t="s">
        <v>1983</v>
      </c>
      <c r="G22" s="90"/>
      <c r="H22" s="92">
        <v>15338.89</v>
      </c>
      <c r="I22" s="92">
        <v>1050</v>
      </c>
      <c r="J22" s="92">
        <v>148.75</v>
      </c>
      <c r="K22" s="90">
        <v>6</v>
      </c>
      <c r="L22" s="92">
        <v>17281.39</v>
      </c>
      <c r="M22" s="93">
        <f t="shared" si="0"/>
        <v>21204.159509202455</v>
      </c>
      <c r="N22" s="63"/>
    </row>
    <row r="23" spans="1:15" ht="15">
      <c r="A23" s="94"/>
      <c r="B23" s="94"/>
      <c r="C23" s="94">
        <v>1007586374</v>
      </c>
      <c r="D23" s="94" t="s">
        <v>1997</v>
      </c>
      <c r="E23" s="95">
        <v>45462</v>
      </c>
      <c r="F23" s="94" t="s">
        <v>1983</v>
      </c>
      <c r="G23" s="94"/>
      <c r="H23" s="96">
        <v>15016.86</v>
      </c>
      <c r="I23" s="96">
        <v>1050</v>
      </c>
      <c r="J23" s="96">
        <v>57.75</v>
      </c>
      <c r="K23" s="94">
        <v>4</v>
      </c>
      <c r="L23" s="96">
        <v>16297.86</v>
      </c>
      <c r="M23" s="97">
        <f t="shared" si="0"/>
        <v>19997.374233128838</v>
      </c>
      <c r="N23" s="63"/>
    </row>
    <row r="24" spans="1:15" ht="15">
      <c r="A24" s="79">
        <v>92775926</v>
      </c>
      <c r="B24" s="113" t="s">
        <v>426</v>
      </c>
      <c r="C24" s="80">
        <v>1007589574</v>
      </c>
      <c r="D24" s="80" t="s">
        <v>1990</v>
      </c>
      <c r="E24" s="81">
        <v>45463</v>
      </c>
      <c r="F24" s="79" t="s">
        <v>1983</v>
      </c>
      <c r="G24" s="79"/>
      <c r="H24" s="82">
        <v>10722.23</v>
      </c>
      <c r="I24" s="82">
        <v>755</v>
      </c>
      <c r="J24" s="82">
        <v>148.75</v>
      </c>
      <c r="K24" s="79">
        <v>4</v>
      </c>
      <c r="L24" s="82">
        <v>12072.23</v>
      </c>
      <c r="M24" s="83">
        <f t="shared" si="0"/>
        <v>14812.552147239265</v>
      </c>
      <c r="N24" s="63"/>
      <c r="O24" s="21">
        <v>8235.4850000000006</v>
      </c>
    </row>
    <row r="25" spans="1:15" ht="15">
      <c r="A25" s="114"/>
      <c r="B25" s="94"/>
      <c r="C25" s="94">
        <v>1007423760</v>
      </c>
      <c r="D25" s="115" t="s">
        <v>1998</v>
      </c>
      <c r="E25" s="95">
        <v>45390</v>
      </c>
      <c r="F25" s="94" t="s">
        <v>1984</v>
      </c>
      <c r="G25" s="94"/>
      <c r="H25" s="96">
        <v>12552.44</v>
      </c>
      <c r="I25" s="96">
        <v>781.5</v>
      </c>
      <c r="J25" s="96">
        <v>148.75</v>
      </c>
      <c r="K25" s="94">
        <v>4</v>
      </c>
      <c r="L25" s="96">
        <v>13928.94</v>
      </c>
      <c r="M25" s="97">
        <f t="shared" si="0"/>
        <v>17090.723926380371</v>
      </c>
      <c r="N25" s="63"/>
    </row>
    <row r="26" spans="1:15" ht="15">
      <c r="A26" s="110">
        <v>92776317</v>
      </c>
      <c r="B26" s="90" t="s">
        <v>545</v>
      </c>
      <c r="C26" s="79">
        <v>1007589574</v>
      </c>
      <c r="D26" s="111" t="s">
        <v>1990</v>
      </c>
      <c r="E26" s="91">
        <v>45463</v>
      </c>
      <c r="F26" s="90" t="s">
        <v>1984</v>
      </c>
      <c r="G26" s="90"/>
      <c r="H26" s="92">
        <v>13457.4</v>
      </c>
      <c r="I26" s="92">
        <v>755</v>
      </c>
      <c r="J26" s="92">
        <v>148.75</v>
      </c>
      <c r="K26" s="90">
        <v>4</v>
      </c>
      <c r="L26" s="92">
        <v>14807.4</v>
      </c>
      <c r="M26" s="93">
        <f t="shared" si="0"/>
        <v>18168.588957055217</v>
      </c>
      <c r="N26" s="63"/>
      <c r="O26" s="21">
        <v>11265.66</v>
      </c>
    </row>
    <row r="27" spans="1:15" ht="15">
      <c r="A27" s="114"/>
      <c r="B27" s="94"/>
      <c r="C27" s="94">
        <v>1007595706</v>
      </c>
      <c r="D27" s="115" t="s">
        <v>13</v>
      </c>
      <c r="E27" s="95">
        <v>45467</v>
      </c>
      <c r="F27" s="94" t="s">
        <v>1984</v>
      </c>
      <c r="G27" s="94"/>
      <c r="H27" s="96">
        <v>13344.71</v>
      </c>
      <c r="I27" s="96">
        <v>791</v>
      </c>
      <c r="J27" s="96">
        <v>148.75</v>
      </c>
      <c r="K27" s="94">
        <v>4</v>
      </c>
      <c r="L27" s="96">
        <v>14730.71</v>
      </c>
      <c r="M27" s="97">
        <f t="shared" si="0"/>
        <v>18074.490797546012</v>
      </c>
      <c r="N27" s="63"/>
    </row>
    <row r="28" spans="1:15" ht="15">
      <c r="A28" s="110">
        <v>92775867</v>
      </c>
      <c r="B28" s="110" t="s">
        <v>375</v>
      </c>
      <c r="C28" s="90">
        <v>1007423760</v>
      </c>
      <c r="D28" s="111" t="s">
        <v>1998</v>
      </c>
      <c r="E28" s="91">
        <v>45390</v>
      </c>
      <c r="F28" s="90" t="s">
        <v>1984</v>
      </c>
      <c r="G28" s="90"/>
      <c r="H28" s="92">
        <v>4821.5600000000004</v>
      </c>
      <c r="I28" s="82">
        <v>629</v>
      </c>
      <c r="J28" s="92">
        <v>148.75</v>
      </c>
      <c r="K28" s="90">
        <v>4</v>
      </c>
      <c r="L28" s="82">
        <v>6045.56</v>
      </c>
      <c r="M28" s="83">
        <f t="shared" si="0"/>
        <v>7417.8650306748477</v>
      </c>
      <c r="N28" s="63"/>
      <c r="O28" s="21">
        <v>4169.18</v>
      </c>
    </row>
    <row r="29" spans="1:15" ht="15">
      <c r="A29" s="86"/>
      <c r="B29" s="67"/>
      <c r="C29" s="85">
        <v>1007528826</v>
      </c>
      <c r="D29" s="85" t="s">
        <v>1982</v>
      </c>
      <c r="E29" s="87">
        <v>45436</v>
      </c>
      <c r="F29" s="85" t="s">
        <v>1984</v>
      </c>
      <c r="G29" s="67"/>
      <c r="H29" s="116">
        <v>4818.76</v>
      </c>
      <c r="I29" s="88">
        <v>636.25</v>
      </c>
      <c r="J29" s="88">
        <v>57.75</v>
      </c>
      <c r="K29" s="67">
        <v>4</v>
      </c>
      <c r="L29" s="88">
        <v>5686.01</v>
      </c>
      <c r="M29" s="89">
        <f t="shared" si="0"/>
        <v>6976.6993865030681</v>
      </c>
      <c r="N29" s="63"/>
    </row>
    <row r="30" spans="1:15" ht="15">
      <c r="A30" s="90"/>
      <c r="B30" s="90"/>
      <c r="C30" s="90">
        <v>1007595706</v>
      </c>
      <c r="D30" s="90" t="s">
        <v>13</v>
      </c>
      <c r="E30" s="91">
        <v>45467</v>
      </c>
      <c r="F30" s="90" t="s">
        <v>1983</v>
      </c>
      <c r="G30" s="90"/>
      <c r="H30" s="92">
        <v>4517.12</v>
      </c>
      <c r="I30" s="92">
        <v>791</v>
      </c>
      <c r="J30" s="92">
        <v>148.75</v>
      </c>
      <c r="K30" s="90">
        <v>4</v>
      </c>
      <c r="L30" s="92">
        <v>5903.12</v>
      </c>
      <c r="M30" s="93">
        <f t="shared" si="0"/>
        <v>7243.0920245398775</v>
      </c>
      <c r="N30" s="63"/>
    </row>
    <row r="31" spans="1:15" ht="15">
      <c r="A31" s="86"/>
      <c r="B31" s="67"/>
      <c r="C31" s="85">
        <v>1008060801</v>
      </c>
      <c r="D31" s="85" t="s">
        <v>1993</v>
      </c>
      <c r="E31" s="87">
        <v>45692</v>
      </c>
      <c r="F31" s="85" t="s">
        <v>1983</v>
      </c>
      <c r="G31" s="67">
        <v>55</v>
      </c>
      <c r="H31" s="112">
        <v>4910.4399999999996</v>
      </c>
      <c r="I31" s="88">
        <v>520.16</v>
      </c>
      <c r="J31" s="88">
        <v>133.86000000000001</v>
      </c>
      <c r="K31" s="67">
        <v>4</v>
      </c>
      <c r="L31" s="88">
        <f t="shared" ref="L31:L32" si="2">(K31*J31)+H31+I31</f>
        <v>5966.0399999999991</v>
      </c>
      <c r="M31" s="89">
        <f t="shared" si="0"/>
        <v>7320.2944785276068</v>
      </c>
      <c r="N31" s="63"/>
    </row>
    <row r="32" spans="1:15" ht="15">
      <c r="A32" s="104"/>
      <c r="B32" s="105"/>
      <c r="C32" s="106">
        <v>1008060801</v>
      </c>
      <c r="D32" s="106" t="s">
        <v>1993</v>
      </c>
      <c r="E32" s="107">
        <v>45692</v>
      </c>
      <c r="F32" s="105" t="s">
        <v>1983</v>
      </c>
      <c r="G32" s="105">
        <v>56</v>
      </c>
      <c r="H32" s="108">
        <v>4991.96</v>
      </c>
      <c r="I32" s="108">
        <v>520.16</v>
      </c>
      <c r="J32" s="108">
        <v>133.86000000000001</v>
      </c>
      <c r="K32" s="105">
        <v>4</v>
      </c>
      <c r="L32" s="108">
        <f t="shared" si="2"/>
        <v>6047.5599999999995</v>
      </c>
      <c r="M32" s="109">
        <f t="shared" si="0"/>
        <v>7420.3190184049081</v>
      </c>
      <c r="N32" s="63"/>
    </row>
    <row r="33" spans="1:16" ht="15">
      <c r="A33" s="85">
        <v>92775927</v>
      </c>
      <c r="B33" s="67" t="s">
        <v>427</v>
      </c>
      <c r="C33" s="85">
        <v>1007528826</v>
      </c>
      <c r="D33" s="67" t="s">
        <v>1982</v>
      </c>
      <c r="E33" s="87">
        <v>45436</v>
      </c>
      <c r="F33" s="85" t="s">
        <v>1984</v>
      </c>
      <c r="G33" s="84"/>
      <c r="H33" s="112">
        <v>6945.71</v>
      </c>
      <c r="I33" s="102">
        <v>677.5</v>
      </c>
      <c r="J33" s="117">
        <v>148.75</v>
      </c>
      <c r="K33" s="85">
        <v>4</v>
      </c>
      <c r="L33" s="88">
        <v>8218.2099999999991</v>
      </c>
      <c r="M33" s="103">
        <f t="shared" si="0"/>
        <v>10083.693251533741</v>
      </c>
      <c r="N33" s="63"/>
      <c r="O33" s="21">
        <v>6211.61</v>
      </c>
    </row>
    <row r="34" spans="1:16" ht="15">
      <c r="A34" s="90"/>
      <c r="B34" s="118"/>
      <c r="C34" s="90">
        <v>1007595706</v>
      </c>
      <c r="D34" s="111" t="s">
        <v>13</v>
      </c>
      <c r="E34" s="91">
        <v>45467</v>
      </c>
      <c r="F34" s="90" t="s">
        <v>1983</v>
      </c>
      <c r="G34" s="90"/>
      <c r="H34" s="92">
        <v>6826.14</v>
      </c>
      <c r="I34" s="119">
        <v>791</v>
      </c>
      <c r="J34" s="120">
        <v>148.75</v>
      </c>
      <c r="K34" s="90">
        <v>4</v>
      </c>
      <c r="L34" s="92">
        <v>8212.14</v>
      </c>
      <c r="M34" s="121">
        <f t="shared" si="0"/>
        <v>10076.245398773006</v>
      </c>
      <c r="N34" s="63"/>
    </row>
    <row r="35" spans="1:16" ht="15">
      <c r="A35" s="94"/>
      <c r="B35" s="122"/>
      <c r="C35" s="94">
        <v>1007423760</v>
      </c>
      <c r="D35" s="115" t="s">
        <v>1998</v>
      </c>
      <c r="E35" s="95">
        <v>45390</v>
      </c>
      <c r="F35" s="94" t="s">
        <v>1984</v>
      </c>
      <c r="G35" s="94"/>
      <c r="H35" s="96">
        <v>6949.75</v>
      </c>
      <c r="I35" s="96">
        <v>677.5</v>
      </c>
      <c r="J35" s="96">
        <v>148.75</v>
      </c>
      <c r="K35" s="94">
        <v>4</v>
      </c>
      <c r="L35" s="96">
        <v>8222.25</v>
      </c>
      <c r="M35" s="97">
        <f t="shared" si="0"/>
        <v>10088.650306748466</v>
      </c>
      <c r="N35" s="63"/>
    </row>
    <row r="36" spans="1:16" ht="15">
      <c r="A36" s="110">
        <v>92775946</v>
      </c>
      <c r="B36" s="90" t="s">
        <v>443</v>
      </c>
      <c r="C36" s="79">
        <v>1007595706</v>
      </c>
      <c r="D36" s="111" t="s">
        <v>13</v>
      </c>
      <c r="E36" s="91">
        <v>45467</v>
      </c>
      <c r="F36" s="90" t="s">
        <v>1984</v>
      </c>
      <c r="G36" s="90"/>
      <c r="H36" s="92">
        <v>6253.88</v>
      </c>
      <c r="I36" s="92">
        <v>791</v>
      </c>
      <c r="J36" s="92">
        <v>148.75</v>
      </c>
      <c r="K36" s="90">
        <v>4</v>
      </c>
      <c r="L36" s="92">
        <v>7639.88</v>
      </c>
      <c r="M36" s="93">
        <f t="shared" si="0"/>
        <v>9374.0858895705533</v>
      </c>
      <c r="N36" s="63"/>
      <c r="O36" s="21">
        <v>6067</v>
      </c>
    </row>
    <row r="37" spans="1:16" ht="15">
      <c r="A37" s="114"/>
      <c r="B37" s="94"/>
      <c r="C37" s="94">
        <v>1007687288</v>
      </c>
      <c r="D37" s="115" t="s">
        <v>1989</v>
      </c>
      <c r="E37" s="95">
        <v>45509</v>
      </c>
      <c r="F37" s="94" t="s">
        <v>1984</v>
      </c>
      <c r="G37" s="94"/>
      <c r="H37" s="96">
        <v>6253.88</v>
      </c>
      <c r="I37" s="96">
        <v>982.46</v>
      </c>
      <c r="J37" s="96">
        <v>152.03</v>
      </c>
      <c r="K37" s="94">
        <v>4</v>
      </c>
      <c r="L37" s="96">
        <f t="shared" ref="L37:L61" si="3">(K37*J37)+H37+I37</f>
        <v>7844.46</v>
      </c>
      <c r="M37" s="97">
        <f t="shared" si="0"/>
        <v>9625.1042944785277</v>
      </c>
      <c r="N37" s="63"/>
    </row>
    <row r="38" spans="1:16" ht="15">
      <c r="A38" s="104">
        <v>93055792</v>
      </c>
      <c r="B38" s="105" t="s">
        <v>638</v>
      </c>
      <c r="C38" s="123">
        <v>1007687288</v>
      </c>
      <c r="D38" s="106" t="s">
        <v>1989</v>
      </c>
      <c r="E38" s="107">
        <v>45509</v>
      </c>
      <c r="F38" s="105" t="s">
        <v>1984</v>
      </c>
      <c r="G38" s="105"/>
      <c r="H38" s="108">
        <v>13018.15</v>
      </c>
      <c r="I38" s="108">
        <v>817.64</v>
      </c>
      <c r="J38" s="108">
        <v>152.03</v>
      </c>
      <c r="K38" s="105">
        <v>4</v>
      </c>
      <c r="L38" s="108">
        <f t="shared" si="3"/>
        <v>14443.91</v>
      </c>
      <c r="M38" s="109">
        <f t="shared" si="0"/>
        <v>17722.588957055217</v>
      </c>
      <c r="N38" s="63"/>
      <c r="O38" s="21">
        <v>10919.31</v>
      </c>
      <c r="P38" s="21"/>
    </row>
    <row r="39" spans="1:16" ht="15">
      <c r="A39" s="114">
        <v>93055858</v>
      </c>
      <c r="B39" s="94" t="s">
        <v>686</v>
      </c>
      <c r="C39" s="94">
        <v>1007687288</v>
      </c>
      <c r="D39" s="115" t="s">
        <v>1989</v>
      </c>
      <c r="E39" s="95">
        <v>45509</v>
      </c>
      <c r="F39" s="94" t="s">
        <v>1999</v>
      </c>
      <c r="G39" s="94"/>
      <c r="H39" s="96">
        <v>11295.36</v>
      </c>
      <c r="I39" s="96">
        <v>817.64</v>
      </c>
      <c r="J39" s="96">
        <v>152.03</v>
      </c>
      <c r="K39" s="94">
        <v>4</v>
      </c>
      <c r="L39" s="96">
        <f t="shared" si="3"/>
        <v>12721.12</v>
      </c>
      <c r="M39" s="97">
        <f t="shared" si="0"/>
        <v>15608.73619631902</v>
      </c>
      <c r="N39" s="63"/>
      <c r="O39" s="21">
        <v>10374.57</v>
      </c>
      <c r="P39" s="21"/>
    </row>
    <row r="40" spans="1:16" ht="15">
      <c r="A40" s="104">
        <v>93055631</v>
      </c>
      <c r="B40" s="105" t="s">
        <v>499</v>
      </c>
      <c r="C40" s="123">
        <v>1007687288</v>
      </c>
      <c r="D40" s="106" t="s">
        <v>1989</v>
      </c>
      <c r="E40" s="107">
        <v>45509</v>
      </c>
      <c r="F40" s="105" t="s">
        <v>1983</v>
      </c>
      <c r="G40" s="105"/>
      <c r="H40" s="108">
        <v>15687.18</v>
      </c>
      <c r="I40" s="108">
        <v>1121.76</v>
      </c>
      <c r="J40" s="108">
        <v>152.03</v>
      </c>
      <c r="K40" s="105">
        <v>6</v>
      </c>
      <c r="L40" s="108">
        <f t="shared" si="3"/>
        <v>17721.12</v>
      </c>
      <c r="M40" s="109">
        <f t="shared" si="0"/>
        <v>21743.705521472391</v>
      </c>
      <c r="N40" s="63"/>
      <c r="O40" s="21">
        <v>12566.254999999999</v>
      </c>
      <c r="P40" s="21"/>
    </row>
    <row r="41" spans="1:16" ht="15">
      <c r="A41" s="114">
        <v>93055747</v>
      </c>
      <c r="B41" s="94" t="s">
        <v>595</v>
      </c>
      <c r="C41" s="94">
        <v>1007713247</v>
      </c>
      <c r="D41" s="115" t="s">
        <v>2000</v>
      </c>
      <c r="E41" s="95">
        <v>45523</v>
      </c>
      <c r="F41" s="94" t="s">
        <v>1984</v>
      </c>
      <c r="G41" s="94"/>
      <c r="H41" s="96">
        <v>8494.83</v>
      </c>
      <c r="I41" s="96">
        <v>531</v>
      </c>
      <c r="J41" s="96">
        <v>68.5</v>
      </c>
      <c r="K41" s="94">
        <v>4</v>
      </c>
      <c r="L41" s="96">
        <f t="shared" si="3"/>
        <v>9299.83</v>
      </c>
      <c r="M41" s="97">
        <f t="shared" si="0"/>
        <v>11410.834355828221</v>
      </c>
      <c r="N41" s="63"/>
      <c r="O41" s="21">
        <v>4888.07</v>
      </c>
      <c r="P41" s="21">
        <v>4888.07</v>
      </c>
    </row>
    <row r="42" spans="1:16" ht="15">
      <c r="A42" s="104">
        <v>93030798</v>
      </c>
      <c r="B42" s="105" t="s">
        <v>294</v>
      </c>
      <c r="C42" s="123">
        <v>1007713247</v>
      </c>
      <c r="D42" s="106" t="s">
        <v>2000</v>
      </c>
      <c r="E42" s="107">
        <v>45523</v>
      </c>
      <c r="F42" s="105" t="s">
        <v>1984</v>
      </c>
      <c r="G42" s="105"/>
      <c r="H42" s="108">
        <v>11103.85</v>
      </c>
      <c r="I42" s="108">
        <v>832</v>
      </c>
      <c r="J42" s="108">
        <v>155.69999999999999</v>
      </c>
      <c r="K42" s="105">
        <v>4</v>
      </c>
      <c r="L42" s="108">
        <f t="shared" si="3"/>
        <v>12558.65</v>
      </c>
      <c r="M42" s="109">
        <f t="shared" si="0"/>
        <v>15409.386503067486</v>
      </c>
      <c r="N42" s="63"/>
      <c r="O42" s="21">
        <v>6382.69</v>
      </c>
      <c r="P42" s="21">
        <v>6382.69</v>
      </c>
    </row>
    <row r="43" spans="1:16" ht="15">
      <c r="A43" s="114">
        <v>93055686</v>
      </c>
      <c r="B43" s="94" t="s">
        <v>545</v>
      </c>
      <c r="C43" s="94">
        <v>1007713247</v>
      </c>
      <c r="D43" s="115" t="s">
        <v>2000</v>
      </c>
      <c r="E43" s="95">
        <v>45523</v>
      </c>
      <c r="F43" s="94" t="s">
        <v>1984</v>
      </c>
      <c r="G43" s="94"/>
      <c r="H43" s="96">
        <v>22515.79</v>
      </c>
      <c r="I43" s="96">
        <v>1142</v>
      </c>
      <c r="J43" s="96">
        <v>176.46</v>
      </c>
      <c r="K43" s="94">
        <v>6</v>
      </c>
      <c r="L43" s="96">
        <f t="shared" si="3"/>
        <v>24716.55</v>
      </c>
      <c r="M43" s="97">
        <f t="shared" si="0"/>
        <v>30327.055214723929</v>
      </c>
      <c r="N43" s="63"/>
      <c r="O43" s="21">
        <v>11265.66</v>
      </c>
      <c r="P43" s="21">
        <v>11265.66</v>
      </c>
    </row>
    <row r="44" spans="1:16" ht="15">
      <c r="A44" s="98">
        <v>93055520</v>
      </c>
      <c r="B44" s="99" t="s">
        <v>406</v>
      </c>
      <c r="C44" s="100">
        <v>1007713247</v>
      </c>
      <c r="D44" s="100" t="s">
        <v>2000</v>
      </c>
      <c r="E44" s="101">
        <v>45523</v>
      </c>
      <c r="F44" s="99" t="s">
        <v>1984</v>
      </c>
      <c r="G44" s="99"/>
      <c r="H44" s="102">
        <v>8734.17</v>
      </c>
      <c r="I44" s="102">
        <v>531</v>
      </c>
      <c r="J44" s="102">
        <v>68.5</v>
      </c>
      <c r="K44" s="99">
        <v>4</v>
      </c>
      <c r="L44" s="102">
        <f t="shared" si="3"/>
        <v>9539.17</v>
      </c>
      <c r="M44" s="102">
        <f t="shared" si="0"/>
        <v>11704.503067484664</v>
      </c>
      <c r="N44" s="63"/>
      <c r="O44" s="21">
        <v>5016.97</v>
      </c>
      <c r="P44" s="21">
        <v>5016.97</v>
      </c>
    </row>
    <row r="45" spans="1:16" ht="15">
      <c r="A45" s="90"/>
      <c r="B45" s="118"/>
      <c r="C45" s="90">
        <v>1008072834</v>
      </c>
      <c r="D45" s="111" t="s">
        <v>2001</v>
      </c>
      <c r="E45" s="91">
        <v>45697</v>
      </c>
      <c r="F45" s="90" t="s">
        <v>1984</v>
      </c>
      <c r="G45" s="90">
        <v>55</v>
      </c>
      <c r="H45" s="92">
        <v>5584</v>
      </c>
      <c r="I45" s="119">
        <v>662.95</v>
      </c>
      <c r="J45" s="120">
        <v>133.86000000000001</v>
      </c>
      <c r="K45" s="90">
        <v>4</v>
      </c>
      <c r="L45" s="120">
        <f t="shared" si="3"/>
        <v>6782.39</v>
      </c>
      <c r="M45" s="92">
        <f t="shared" si="0"/>
        <v>8321.9509202453992</v>
      </c>
      <c r="N45" s="63"/>
    </row>
    <row r="46" spans="1:16" ht="15">
      <c r="A46" s="94"/>
      <c r="B46" s="122"/>
      <c r="C46" s="94">
        <v>1008072834</v>
      </c>
      <c r="D46" s="115" t="s">
        <v>2001</v>
      </c>
      <c r="E46" s="95">
        <v>45697</v>
      </c>
      <c r="F46" s="94" t="s">
        <v>1983</v>
      </c>
      <c r="G46" s="94">
        <v>55</v>
      </c>
      <c r="H46" s="96">
        <v>6084</v>
      </c>
      <c r="I46" s="96">
        <v>662.95</v>
      </c>
      <c r="J46" s="96">
        <v>133.86000000000001</v>
      </c>
      <c r="K46" s="94">
        <v>4</v>
      </c>
      <c r="L46" s="96">
        <f t="shared" si="3"/>
        <v>7282.39</v>
      </c>
      <c r="M46" s="96">
        <f t="shared" si="0"/>
        <v>8935.4478527607371</v>
      </c>
      <c r="N46" s="63"/>
    </row>
    <row r="47" spans="1:16" ht="15">
      <c r="A47" s="114">
        <v>93055661</v>
      </c>
      <c r="B47" s="94" t="s">
        <v>525</v>
      </c>
      <c r="C47" s="94">
        <v>1007713247</v>
      </c>
      <c r="D47" s="115" t="s">
        <v>2000</v>
      </c>
      <c r="E47" s="95">
        <v>45523</v>
      </c>
      <c r="F47" s="94" t="s">
        <v>1984</v>
      </c>
      <c r="G47" s="94"/>
      <c r="H47" s="96">
        <v>17952.849999999999</v>
      </c>
      <c r="I47" s="96">
        <v>1142</v>
      </c>
      <c r="J47" s="96">
        <v>176.46</v>
      </c>
      <c r="K47" s="94">
        <v>6</v>
      </c>
      <c r="L47" s="96">
        <f t="shared" si="3"/>
        <v>20153.609999999997</v>
      </c>
      <c r="M47" s="97">
        <f t="shared" si="0"/>
        <v>24728.355828220858</v>
      </c>
      <c r="N47" s="63"/>
      <c r="O47" s="21">
        <v>8635.0400000000009</v>
      </c>
      <c r="P47" s="21">
        <v>8635.0400000000009</v>
      </c>
    </row>
    <row r="48" spans="1:16" ht="15">
      <c r="A48" s="110">
        <v>92776322</v>
      </c>
      <c r="B48" s="90" t="s">
        <v>546</v>
      </c>
      <c r="C48" s="79">
        <v>1007716372</v>
      </c>
      <c r="D48" s="111" t="s">
        <v>2002</v>
      </c>
      <c r="E48" s="91">
        <v>45524</v>
      </c>
      <c r="F48" s="90" t="s">
        <v>1983</v>
      </c>
      <c r="G48" s="90"/>
      <c r="H48" s="92">
        <v>9948.43</v>
      </c>
      <c r="I48" s="92">
        <v>1195.5899999999999</v>
      </c>
      <c r="J48" s="92">
        <v>176.46</v>
      </c>
      <c r="K48" s="90">
        <v>6</v>
      </c>
      <c r="L48" s="92">
        <f t="shared" si="3"/>
        <v>12202.78</v>
      </c>
      <c r="M48" s="93">
        <f t="shared" si="0"/>
        <v>14972.73619631902</v>
      </c>
      <c r="N48" s="63"/>
      <c r="O48" s="21">
        <v>9776.6450000000004</v>
      </c>
    </row>
    <row r="49" spans="1:16" ht="15">
      <c r="A49" s="114"/>
      <c r="B49" s="94"/>
      <c r="C49" s="94">
        <v>1007463845</v>
      </c>
      <c r="D49" s="115" t="s">
        <v>1996</v>
      </c>
      <c r="E49" s="95">
        <v>45406</v>
      </c>
      <c r="F49" s="94" t="s">
        <v>1984</v>
      </c>
      <c r="G49" s="94"/>
      <c r="H49" s="96">
        <v>12753.13</v>
      </c>
      <c r="I49" s="96">
        <v>1050</v>
      </c>
      <c r="J49" s="96">
        <v>148.75</v>
      </c>
      <c r="K49" s="94">
        <v>6</v>
      </c>
      <c r="L49" s="96">
        <f t="shared" si="3"/>
        <v>14695.63</v>
      </c>
      <c r="M49" s="97">
        <f t="shared" si="0"/>
        <v>18031.447852760735</v>
      </c>
      <c r="N49" s="63"/>
    </row>
    <row r="50" spans="1:16" ht="15">
      <c r="A50" s="110">
        <v>93056070</v>
      </c>
      <c r="B50" s="90" t="s">
        <v>295</v>
      </c>
      <c r="C50" s="79">
        <v>1007719264</v>
      </c>
      <c r="D50" s="111" t="s">
        <v>2003</v>
      </c>
      <c r="E50" s="91">
        <v>45526</v>
      </c>
      <c r="F50" s="90" t="s">
        <v>1983</v>
      </c>
      <c r="G50" s="90"/>
      <c r="H50" s="92">
        <v>8499.4599999999991</v>
      </c>
      <c r="I50" s="92">
        <v>817.64</v>
      </c>
      <c r="J50" s="92">
        <v>152.03</v>
      </c>
      <c r="K50" s="90">
        <v>4</v>
      </c>
      <c r="L50" s="92">
        <f t="shared" si="3"/>
        <v>9925.2199999999993</v>
      </c>
      <c r="M50" s="93">
        <f t="shared" si="0"/>
        <v>12178.184049079755</v>
      </c>
      <c r="N50" s="63"/>
      <c r="O50" s="21">
        <v>7449.64</v>
      </c>
    </row>
    <row r="51" spans="1:16" ht="15.75" customHeight="1">
      <c r="A51" s="114"/>
      <c r="B51" s="94"/>
      <c r="C51" s="94">
        <v>1008030596</v>
      </c>
      <c r="D51" s="115" t="s">
        <v>2004</v>
      </c>
      <c r="E51" s="95">
        <v>45678</v>
      </c>
      <c r="F51" s="94" t="s">
        <v>1984</v>
      </c>
      <c r="G51" s="94">
        <v>55</v>
      </c>
      <c r="H51" s="96">
        <v>7648.02</v>
      </c>
      <c r="I51" s="96">
        <v>777.68</v>
      </c>
      <c r="J51" s="96">
        <v>151.71</v>
      </c>
      <c r="K51" s="94">
        <v>4</v>
      </c>
      <c r="L51" s="96">
        <f t="shared" si="3"/>
        <v>9032.5400000000009</v>
      </c>
      <c r="M51" s="97">
        <f t="shared" si="0"/>
        <v>11082.871165644174</v>
      </c>
      <c r="N51" s="63"/>
    </row>
    <row r="52" spans="1:16" ht="15">
      <c r="A52" s="114">
        <v>93055999</v>
      </c>
      <c r="B52" s="94" t="s">
        <v>405</v>
      </c>
      <c r="C52" s="94">
        <v>1007719264</v>
      </c>
      <c r="D52" s="115" t="s">
        <v>2003</v>
      </c>
      <c r="E52" s="95">
        <v>45527</v>
      </c>
      <c r="F52" s="94" t="s">
        <v>1983</v>
      </c>
      <c r="G52" s="94"/>
      <c r="H52" s="96">
        <v>5860.91</v>
      </c>
      <c r="I52" s="96">
        <v>664.34</v>
      </c>
      <c r="J52" s="96">
        <v>152.03</v>
      </c>
      <c r="K52" s="94">
        <v>4</v>
      </c>
      <c r="L52" s="96">
        <f t="shared" si="3"/>
        <v>7133.37</v>
      </c>
      <c r="M52" s="97">
        <f t="shared" si="0"/>
        <v>8752.6012269938656</v>
      </c>
      <c r="N52" s="63"/>
      <c r="O52" s="21">
        <v>5186.0050000000001</v>
      </c>
    </row>
    <row r="53" spans="1:16" ht="15">
      <c r="A53" s="104">
        <v>93055965</v>
      </c>
      <c r="B53" s="105" t="s">
        <v>376</v>
      </c>
      <c r="C53" s="123">
        <v>1007719264</v>
      </c>
      <c r="D53" s="106" t="s">
        <v>2003</v>
      </c>
      <c r="E53" s="107">
        <v>45528</v>
      </c>
      <c r="F53" s="105" t="s">
        <v>1983</v>
      </c>
      <c r="G53" s="105"/>
      <c r="H53" s="108">
        <v>4304.6899999999996</v>
      </c>
      <c r="I53" s="108">
        <v>605.57000000000005</v>
      </c>
      <c r="J53" s="108">
        <v>152.03</v>
      </c>
      <c r="K53" s="105">
        <v>4</v>
      </c>
      <c r="L53" s="108">
        <f t="shared" si="3"/>
        <v>5518.3799999999992</v>
      </c>
      <c r="M53" s="109">
        <f t="shared" si="0"/>
        <v>6771.0184049079753</v>
      </c>
      <c r="N53" s="63"/>
      <c r="O53" s="21">
        <v>3548.8449999999998</v>
      </c>
    </row>
    <row r="54" spans="1:16" ht="15">
      <c r="A54" s="114">
        <v>93055546</v>
      </c>
      <c r="B54" s="94" t="s">
        <v>428</v>
      </c>
      <c r="C54" s="94">
        <v>1007719264</v>
      </c>
      <c r="D54" s="115" t="s">
        <v>2003</v>
      </c>
      <c r="E54" s="95">
        <v>45529</v>
      </c>
      <c r="F54" s="94" t="s">
        <v>1983</v>
      </c>
      <c r="G54" s="94"/>
      <c r="H54" s="96">
        <v>5446.36</v>
      </c>
      <c r="I54" s="96">
        <v>817.64</v>
      </c>
      <c r="J54" s="96">
        <v>152.03</v>
      </c>
      <c r="K54" s="94">
        <v>4</v>
      </c>
      <c r="L54" s="96">
        <f t="shared" si="3"/>
        <v>6872.12</v>
      </c>
      <c r="M54" s="97">
        <f t="shared" si="0"/>
        <v>8432.0490797546008</v>
      </c>
      <c r="N54" s="63"/>
      <c r="O54" s="21">
        <v>5825.4350000000004</v>
      </c>
      <c r="P54" s="21"/>
    </row>
    <row r="55" spans="1:16" ht="15">
      <c r="A55" s="104">
        <v>93056108</v>
      </c>
      <c r="B55" s="105" t="s">
        <v>487</v>
      </c>
      <c r="C55" s="123">
        <v>1007719264</v>
      </c>
      <c r="D55" s="106" t="s">
        <v>2003</v>
      </c>
      <c r="E55" s="107">
        <v>45530</v>
      </c>
      <c r="F55" s="105" t="s">
        <v>1984</v>
      </c>
      <c r="G55" s="105"/>
      <c r="H55" s="108">
        <v>11932.8</v>
      </c>
      <c r="I55" s="108">
        <v>817.64</v>
      </c>
      <c r="J55" s="108">
        <v>152.03</v>
      </c>
      <c r="K55" s="105">
        <v>4</v>
      </c>
      <c r="L55" s="108">
        <f t="shared" si="3"/>
        <v>13358.56</v>
      </c>
      <c r="M55" s="109">
        <f t="shared" si="0"/>
        <v>16390.871165644174</v>
      </c>
      <c r="N55" s="63"/>
      <c r="O55" s="21">
        <v>9948.85</v>
      </c>
    </row>
    <row r="56" spans="1:16" ht="15">
      <c r="A56" s="114">
        <v>93056071</v>
      </c>
      <c r="B56" s="94" t="s">
        <v>294</v>
      </c>
      <c r="C56" s="94">
        <v>1007719264</v>
      </c>
      <c r="D56" s="115" t="s">
        <v>2003</v>
      </c>
      <c r="E56" s="95">
        <v>45531</v>
      </c>
      <c r="F56" s="94" t="s">
        <v>1984</v>
      </c>
      <c r="G56" s="94"/>
      <c r="H56" s="96">
        <v>7179.84</v>
      </c>
      <c r="I56" s="96">
        <v>817.64</v>
      </c>
      <c r="J56" s="96">
        <v>152.03</v>
      </c>
      <c r="K56" s="94">
        <v>4</v>
      </c>
      <c r="L56" s="96">
        <f t="shared" si="3"/>
        <v>8605.6</v>
      </c>
      <c r="M56" s="97">
        <f t="shared" si="0"/>
        <v>10559.018404907976</v>
      </c>
      <c r="N56" s="63"/>
      <c r="O56" s="21">
        <v>6382.69</v>
      </c>
    </row>
    <row r="57" spans="1:16" ht="15">
      <c r="A57" s="104">
        <v>93056157</v>
      </c>
      <c r="B57" s="105" t="s">
        <v>526</v>
      </c>
      <c r="C57" s="123">
        <v>1007719264</v>
      </c>
      <c r="D57" s="106" t="s">
        <v>2003</v>
      </c>
      <c r="E57" s="107">
        <v>45532</v>
      </c>
      <c r="F57" s="105" t="s">
        <v>1984</v>
      </c>
      <c r="G57" s="105"/>
      <c r="H57" s="108">
        <v>10176.469999999999</v>
      </c>
      <c r="I57" s="108">
        <v>817.64</v>
      </c>
      <c r="J57" s="108">
        <v>152.03</v>
      </c>
      <c r="K57" s="105">
        <v>4</v>
      </c>
      <c r="L57" s="108">
        <f t="shared" si="3"/>
        <v>11602.23</v>
      </c>
      <c r="M57" s="109">
        <f t="shared" si="0"/>
        <v>14235.865030674848</v>
      </c>
      <c r="N57" s="63"/>
      <c r="O57" s="21">
        <v>8293.15</v>
      </c>
    </row>
    <row r="58" spans="1:16" ht="15">
      <c r="A58" s="114">
        <v>93055564</v>
      </c>
      <c r="B58" s="94" t="s">
        <v>443</v>
      </c>
      <c r="C58" s="94">
        <v>1007719264</v>
      </c>
      <c r="D58" s="115" t="s">
        <v>2003</v>
      </c>
      <c r="E58" s="95">
        <v>45533</v>
      </c>
      <c r="F58" s="94" t="s">
        <v>1983</v>
      </c>
      <c r="G58" s="94"/>
      <c r="H58" s="96">
        <v>5628.57</v>
      </c>
      <c r="I58" s="96">
        <v>817.64</v>
      </c>
      <c r="J58" s="96">
        <v>152.03</v>
      </c>
      <c r="K58" s="94">
        <v>4</v>
      </c>
      <c r="L58" s="96">
        <f t="shared" si="3"/>
        <v>7054.33</v>
      </c>
      <c r="M58" s="97">
        <f t="shared" si="0"/>
        <v>8655.6196319018418</v>
      </c>
      <c r="N58" s="63"/>
      <c r="O58" s="21">
        <v>6067</v>
      </c>
      <c r="P58" s="21"/>
    </row>
    <row r="59" spans="1:16" ht="15">
      <c r="A59" s="104">
        <v>93055923</v>
      </c>
      <c r="B59" s="105" t="s">
        <v>347</v>
      </c>
      <c r="C59" s="123">
        <v>1007719264</v>
      </c>
      <c r="D59" s="106" t="s">
        <v>2003</v>
      </c>
      <c r="E59" s="107">
        <v>45534</v>
      </c>
      <c r="F59" s="105" t="s">
        <v>1984</v>
      </c>
      <c r="G59" s="105"/>
      <c r="H59" s="108">
        <v>3669.05</v>
      </c>
      <c r="I59" s="108">
        <v>605.57000000000005</v>
      </c>
      <c r="J59" s="108">
        <v>133.84</v>
      </c>
      <c r="K59" s="105">
        <v>4</v>
      </c>
      <c r="L59" s="108">
        <f t="shared" si="3"/>
        <v>4809.9799999999996</v>
      </c>
      <c r="M59" s="109">
        <f t="shared" si="0"/>
        <v>5901.8159509202451</v>
      </c>
      <c r="N59" s="63"/>
      <c r="O59" s="21">
        <v>3250.5349999999999</v>
      </c>
    </row>
    <row r="60" spans="1:16" ht="15">
      <c r="A60" s="114">
        <v>93055450</v>
      </c>
      <c r="B60" s="94" t="s">
        <v>348</v>
      </c>
      <c r="C60" s="94">
        <v>1007719264</v>
      </c>
      <c r="D60" s="115" t="s">
        <v>2003</v>
      </c>
      <c r="E60" s="95">
        <v>45535</v>
      </c>
      <c r="F60" s="94" t="s">
        <v>1984</v>
      </c>
      <c r="G60" s="94"/>
      <c r="H60" s="96">
        <v>2371.75</v>
      </c>
      <c r="I60" s="96">
        <v>637.52</v>
      </c>
      <c r="J60" s="96">
        <v>59.02</v>
      </c>
      <c r="K60" s="94">
        <v>4</v>
      </c>
      <c r="L60" s="96">
        <f t="shared" si="3"/>
        <v>3245.35</v>
      </c>
      <c r="M60" s="97">
        <f t="shared" si="0"/>
        <v>3982.0245398773009</v>
      </c>
      <c r="N60" s="63"/>
      <c r="O60" s="21">
        <v>2725.5949999999998</v>
      </c>
      <c r="P60" s="21"/>
    </row>
    <row r="61" spans="1:16" ht="15">
      <c r="A61" s="110">
        <v>92776275</v>
      </c>
      <c r="B61" s="110" t="s">
        <v>526</v>
      </c>
      <c r="C61" s="90"/>
      <c r="D61" s="111" t="s">
        <v>2005</v>
      </c>
      <c r="E61" s="91">
        <v>45343</v>
      </c>
      <c r="F61" s="90" t="s">
        <v>1984</v>
      </c>
      <c r="G61" s="90"/>
      <c r="H61" s="92">
        <v>9340</v>
      </c>
      <c r="I61" s="82">
        <v>817.64</v>
      </c>
      <c r="J61" s="92">
        <v>152.03</v>
      </c>
      <c r="K61" s="90">
        <v>4</v>
      </c>
      <c r="L61" s="82">
        <f t="shared" si="3"/>
        <v>10765.76</v>
      </c>
      <c r="M61" s="83">
        <f t="shared" si="0"/>
        <v>13209.521472392638</v>
      </c>
      <c r="N61" s="63"/>
      <c r="O61" s="21">
        <v>8293.15</v>
      </c>
    </row>
    <row r="62" spans="1:16" ht="15">
      <c r="A62" s="114"/>
      <c r="B62" s="94"/>
      <c r="C62" s="94">
        <v>1008030596</v>
      </c>
      <c r="D62" s="115" t="s">
        <v>2004</v>
      </c>
      <c r="E62" s="95">
        <v>45678</v>
      </c>
      <c r="F62" s="94" t="s">
        <v>1983</v>
      </c>
      <c r="G62" s="94">
        <v>55</v>
      </c>
      <c r="H62" s="96">
        <v>8954.6200000000008</v>
      </c>
      <c r="I62" s="96">
        <v>815.92</v>
      </c>
      <c r="J62" s="96">
        <v>151.71</v>
      </c>
      <c r="K62" s="94">
        <v>4</v>
      </c>
      <c r="L62" s="96">
        <v>14730.71</v>
      </c>
      <c r="M62" s="97">
        <f t="shared" si="0"/>
        <v>18074.490797546012</v>
      </c>
      <c r="N62" s="63"/>
    </row>
    <row r="63" spans="1:16" ht="15">
      <c r="A63" s="110">
        <v>93053105</v>
      </c>
      <c r="B63" s="110" t="s">
        <v>404</v>
      </c>
      <c r="C63" s="90">
        <v>1007748820</v>
      </c>
      <c r="D63" s="111" t="s">
        <v>2006</v>
      </c>
      <c r="E63" s="91">
        <v>45539</v>
      </c>
      <c r="F63" s="90" t="s">
        <v>1983</v>
      </c>
      <c r="G63" s="90"/>
      <c r="H63" s="92">
        <v>5709.29</v>
      </c>
      <c r="I63" s="82">
        <v>980.39</v>
      </c>
      <c r="J63" s="92">
        <v>151.71</v>
      </c>
      <c r="K63" s="90">
        <v>4</v>
      </c>
      <c r="L63" s="82">
        <f t="shared" ref="L63:L100" si="4">(K63*J63)+H63+I63</f>
        <v>7296.52</v>
      </c>
      <c r="M63" s="83">
        <f t="shared" si="0"/>
        <v>8952.7852760736205</v>
      </c>
      <c r="N63" s="63"/>
      <c r="O63" s="21">
        <v>5611.79</v>
      </c>
    </row>
    <row r="64" spans="1:16" ht="15">
      <c r="A64" s="86"/>
      <c r="B64" s="67"/>
      <c r="C64" s="85">
        <v>1008008615</v>
      </c>
      <c r="D64" s="85" t="s">
        <v>2007</v>
      </c>
      <c r="E64" s="87">
        <v>45667</v>
      </c>
      <c r="F64" s="85" t="s">
        <v>1983</v>
      </c>
      <c r="G64" s="67">
        <v>56</v>
      </c>
      <c r="H64" s="112">
        <v>6235.75</v>
      </c>
      <c r="I64" s="88">
        <v>981.49</v>
      </c>
      <c r="J64" s="88">
        <v>151.71</v>
      </c>
      <c r="K64" s="67">
        <v>4</v>
      </c>
      <c r="L64" s="88">
        <f t="shared" si="4"/>
        <v>7824.08</v>
      </c>
      <c r="M64" s="89">
        <f t="shared" si="0"/>
        <v>9600.0981595092035</v>
      </c>
      <c r="N64" s="63"/>
    </row>
    <row r="65" spans="1:16" ht="15">
      <c r="A65" s="90"/>
      <c r="B65" s="90"/>
      <c r="C65" s="90">
        <v>1008060801</v>
      </c>
      <c r="D65" s="90" t="s">
        <v>1993</v>
      </c>
      <c r="E65" s="91">
        <v>45692</v>
      </c>
      <c r="F65" s="90" t="s">
        <v>1983</v>
      </c>
      <c r="G65" s="90">
        <v>55</v>
      </c>
      <c r="H65" s="92">
        <v>6433.44</v>
      </c>
      <c r="I65" s="92">
        <v>648.91999999999996</v>
      </c>
      <c r="J65" s="92">
        <v>133.86000000000001</v>
      </c>
      <c r="K65" s="90">
        <v>4</v>
      </c>
      <c r="L65" s="92">
        <f t="shared" si="4"/>
        <v>7617.7999999999993</v>
      </c>
      <c r="M65" s="93">
        <f t="shared" si="0"/>
        <v>9346.993865030674</v>
      </c>
      <c r="N65" s="63"/>
    </row>
    <row r="66" spans="1:16" ht="15">
      <c r="A66" s="94"/>
      <c r="B66" s="94"/>
      <c r="C66" s="94">
        <v>1008060993</v>
      </c>
      <c r="D66" s="94" t="s">
        <v>1993</v>
      </c>
      <c r="E66" s="95">
        <v>45692</v>
      </c>
      <c r="F66" s="94" t="s">
        <v>1983</v>
      </c>
      <c r="G66" s="94">
        <v>56</v>
      </c>
      <c r="H66" s="96">
        <v>6542.7</v>
      </c>
      <c r="I66" s="96">
        <v>648.91</v>
      </c>
      <c r="J66" s="96">
        <v>133.86000000000001</v>
      </c>
      <c r="K66" s="94">
        <v>4</v>
      </c>
      <c r="L66" s="96">
        <f t="shared" si="4"/>
        <v>7727.0499999999993</v>
      </c>
      <c r="M66" s="97">
        <f t="shared" si="0"/>
        <v>9481.0429447852766</v>
      </c>
      <c r="N66" s="63"/>
    </row>
    <row r="67" spans="1:16" ht="15">
      <c r="A67" s="114">
        <v>92775827</v>
      </c>
      <c r="B67" s="94" t="s">
        <v>341</v>
      </c>
      <c r="C67" s="94">
        <v>1007748820</v>
      </c>
      <c r="D67" s="115" t="s">
        <v>2006</v>
      </c>
      <c r="E67" s="95">
        <v>45540</v>
      </c>
      <c r="F67" s="94" t="s">
        <v>1983</v>
      </c>
      <c r="G67" s="94"/>
      <c r="H67" s="96">
        <v>4894.32</v>
      </c>
      <c r="I67" s="96">
        <v>980.4</v>
      </c>
      <c r="J67" s="96">
        <v>151.71</v>
      </c>
      <c r="K67" s="94">
        <v>4</v>
      </c>
      <c r="L67" s="96">
        <f t="shared" si="4"/>
        <v>6481.5599999999995</v>
      </c>
      <c r="M67" s="97">
        <f t="shared" si="0"/>
        <v>7952.8343558282204</v>
      </c>
      <c r="N67" s="63"/>
      <c r="O67" s="21">
        <v>4809.1400000000003</v>
      </c>
    </row>
    <row r="68" spans="1:16" ht="15">
      <c r="A68" s="104">
        <v>92776041</v>
      </c>
      <c r="B68" s="105" t="s">
        <v>488</v>
      </c>
      <c r="C68" s="123">
        <v>1007801318</v>
      </c>
      <c r="D68" s="123" t="s">
        <v>2008</v>
      </c>
      <c r="E68" s="107">
        <v>45562</v>
      </c>
      <c r="F68" s="105" t="s">
        <v>1984</v>
      </c>
      <c r="G68" s="105"/>
      <c r="H68" s="108">
        <v>9629.48</v>
      </c>
      <c r="I68" s="108">
        <v>1528.81</v>
      </c>
      <c r="J68" s="108">
        <v>151.71</v>
      </c>
      <c r="K68" s="105">
        <v>4</v>
      </c>
      <c r="L68" s="108">
        <f t="shared" si="4"/>
        <v>11765.13</v>
      </c>
      <c r="M68" s="109">
        <f t="shared" si="0"/>
        <v>14435.742331288344</v>
      </c>
      <c r="N68" s="63"/>
      <c r="O68" s="21">
        <v>9101.8950000000004</v>
      </c>
    </row>
    <row r="69" spans="1:16" ht="15">
      <c r="A69" s="114">
        <v>92776276</v>
      </c>
      <c r="B69" s="94" t="s">
        <v>527</v>
      </c>
      <c r="C69" s="94">
        <v>1007801318</v>
      </c>
      <c r="D69" s="115" t="s">
        <v>2008</v>
      </c>
      <c r="E69" s="95">
        <v>45562</v>
      </c>
      <c r="F69" s="94" t="s">
        <v>1983</v>
      </c>
      <c r="G69" s="94"/>
      <c r="H69" s="96">
        <v>6780.48</v>
      </c>
      <c r="I69" s="96">
        <v>1015.62</v>
      </c>
      <c r="J69" s="96">
        <v>151.71</v>
      </c>
      <c r="K69" s="94">
        <v>4</v>
      </c>
      <c r="L69" s="96">
        <f t="shared" si="4"/>
        <v>8402.94</v>
      </c>
      <c r="M69" s="97">
        <f t="shared" si="0"/>
        <v>10310.35582822086</v>
      </c>
      <c r="N69" s="63"/>
      <c r="O69" s="21">
        <v>7177.5349999999999</v>
      </c>
    </row>
    <row r="70" spans="1:16" ht="15">
      <c r="A70" s="104">
        <v>92775902</v>
      </c>
      <c r="B70" s="105" t="s">
        <v>405</v>
      </c>
      <c r="C70" s="123">
        <v>1007801318</v>
      </c>
      <c r="D70" s="123" t="s">
        <v>2008</v>
      </c>
      <c r="E70" s="107">
        <v>45564</v>
      </c>
      <c r="F70" s="105" t="s">
        <v>1984</v>
      </c>
      <c r="G70" s="105"/>
      <c r="H70" s="108">
        <v>4626.1000000000004</v>
      </c>
      <c r="I70" s="108">
        <v>715.21</v>
      </c>
      <c r="J70" s="108">
        <v>133.86000000000001</v>
      </c>
      <c r="K70" s="105">
        <v>4</v>
      </c>
      <c r="L70" s="108">
        <f t="shared" si="4"/>
        <v>5876.7500000000009</v>
      </c>
      <c r="M70" s="109">
        <f t="shared" si="0"/>
        <v>7210.7361963190197</v>
      </c>
      <c r="N70" s="63"/>
      <c r="O70" s="21">
        <v>5186.0050000000001</v>
      </c>
    </row>
    <row r="71" spans="1:16" ht="15">
      <c r="A71" s="98">
        <v>92775880</v>
      </c>
      <c r="B71" s="99" t="s">
        <v>387</v>
      </c>
      <c r="C71" s="100">
        <v>1007813843</v>
      </c>
      <c r="D71" s="100" t="s">
        <v>2009</v>
      </c>
      <c r="E71" s="101">
        <v>45568</v>
      </c>
      <c r="F71" s="99" t="s">
        <v>1983</v>
      </c>
      <c r="G71" s="99"/>
      <c r="H71" s="102">
        <v>6135.3</v>
      </c>
      <c r="I71" s="102">
        <v>980.39</v>
      </c>
      <c r="J71" s="102">
        <v>151.71</v>
      </c>
      <c r="K71" s="99">
        <v>4</v>
      </c>
      <c r="L71" s="102">
        <f t="shared" si="4"/>
        <v>7722.5300000000007</v>
      </c>
      <c r="M71" s="103">
        <f t="shared" si="0"/>
        <v>9475.4969325153397</v>
      </c>
      <c r="N71" s="63"/>
      <c r="O71" s="21">
        <v>5635.1</v>
      </c>
    </row>
    <row r="72" spans="1:16" ht="15">
      <c r="A72" s="104"/>
      <c r="B72" s="105"/>
      <c r="C72" s="106">
        <v>1008027134</v>
      </c>
      <c r="D72" s="106" t="s">
        <v>2010</v>
      </c>
      <c r="E72" s="107">
        <v>45676</v>
      </c>
      <c r="F72" s="105" t="s">
        <v>1983</v>
      </c>
      <c r="G72" s="105">
        <v>55</v>
      </c>
      <c r="H72" s="108">
        <v>6140.47</v>
      </c>
      <c r="I72" s="108">
        <v>980.4</v>
      </c>
      <c r="J72" s="108">
        <v>151.71</v>
      </c>
      <c r="K72" s="105">
        <v>4</v>
      </c>
      <c r="L72" s="108">
        <f t="shared" si="4"/>
        <v>7727.71</v>
      </c>
      <c r="M72" s="109">
        <f t="shared" si="0"/>
        <v>9481.8527607361975</v>
      </c>
      <c r="N72" s="63"/>
    </row>
    <row r="73" spans="1:16" ht="15">
      <c r="A73" s="114">
        <v>93055430</v>
      </c>
      <c r="B73" s="94" t="s">
        <v>329</v>
      </c>
      <c r="C73" s="94">
        <v>1007956737</v>
      </c>
      <c r="D73" s="115" t="s">
        <v>2006</v>
      </c>
      <c r="E73" s="95">
        <v>45632</v>
      </c>
      <c r="F73" s="94" t="s">
        <v>1983</v>
      </c>
      <c r="G73" s="94"/>
      <c r="H73" s="96">
        <v>3648.9</v>
      </c>
      <c r="I73" s="96">
        <v>662.95</v>
      </c>
      <c r="J73" s="96">
        <v>133.86000000000001</v>
      </c>
      <c r="K73" s="94">
        <v>4</v>
      </c>
      <c r="L73" s="96">
        <f t="shared" si="4"/>
        <v>4847.29</v>
      </c>
      <c r="M73" s="97">
        <f t="shared" si="0"/>
        <v>5947.5950920245405</v>
      </c>
      <c r="N73" s="63"/>
      <c r="O73" s="21">
        <v>3376.07</v>
      </c>
      <c r="P73" s="21"/>
    </row>
    <row r="74" spans="1:16" ht="15">
      <c r="A74" s="104">
        <v>93055650</v>
      </c>
      <c r="B74" s="105" t="s">
        <v>515</v>
      </c>
      <c r="C74" s="123">
        <v>1007956737</v>
      </c>
      <c r="D74" s="123" t="s">
        <v>2006</v>
      </c>
      <c r="E74" s="107">
        <v>45632</v>
      </c>
      <c r="F74" s="105" t="s">
        <v>1983</v>
      </c>
      <c r="G74" s="105"/>
      <c r="H74" s="108">
        <v>2615.5300000000002</v>
      </c>
      <c r="I74" s="108">
        <v>647.65</v>
      </c>
      <c r="J74" s="108">
        <v>58.9</v>
      </c>
      <c r="K74" s="105">
        <v>4</v>
      </c>
      <c r="L74" s="108">
        <f t="shared" si="4"/>
        <v>3498.78</v>
      </c>
      <c r="M74" s="109">
        <f t="shared" si="0"/>
        <v>4292.9815950920247</v>
      </c>
      <c r="N74" s="63"/>
      <c r="O74" s="21">
        <v>2418.3000000000002</v>
      </c>
      <c r="P74" s="21"/>
    </row>
    <row r="75" spans="1:16" ht="15">
      <c r="A75" s="114">
        <v>93053375</v>
      </c>
      <c r="B75" s="94" t="s">
        <v>2011</v>
      </c>
      <c r="C75" s="94">
        <v>1007987319</v>
      </c>
      <c r="D75" s="115" t="s">
        <v>2012</v>
      </c>
      <c r="E75" s="95">
        <v>45649</v>
      </c>
      <c r="F75" s="94" t="s">
        <v>1983</v>
      </c>
      <c r="G75" s="94"/>
      <c r="H75" s="96">
        <v>4963</v>
      </c>
      <c r="I75" s="96">
        <v>641.24</v>
      </c>
      <c r="J75" s="96">
        <v>58.9</v>
      </c>
      <c r="K75" s="94">
        <v>4</v>
      </c>
      <c r="L75" s="96">
        <f t="shared" si="4"/>
        <v>5839.84</v>
      </c>
      <c r="M75" s="97">
        <f t="shared" si="0"/>
        <v>7165.4478527607371</v>
      </c>
      <c r="N75" s="63"/>
    </row>
    <row r="76" spans="1:16" ht="15">
      <c r="A76" s="104">
        <v>93226247</v>
      </c>
      <c r="B76" s="105" t="s">
        <v>2013</v>
      </c>
      <c r="C76" s="123">
        <v>1007999915</v>
      </c>
      <c r="D76" s="106" t="s">
        <v>2014</v>
      </c>
      <c r="E76" s="107">
        <v>45664</v>
      </c>
      <c r="F76" s="105" t="s">
        <v>1983</v>
      </c>
      <c r="G76" s="105"/>
      <c r="H76" s="108">
        <v>5987.5</v>
      </c>
      <c r="I76" s="108">
        <v>981.5</v>
      </c>
      <c r="J76" s="108">
        <v>151.71</v>
      </c>
      <c r="K76" s="105">
        <v>4</v>
      </c>
      <c r="L76" s="108">
        <f t="shared" si="4"/>
        <v>7575.84</v>
      </c>
      <c r="M76" s="109">
        <f t="shared" si="0"/>
        <v>9295.5092024539881</v>
      </c>
      <c r="N76" s="63"/>
    </row>
    <row r="77" spans="1:16" ht="15">
      <c r="A77" s="114">
        <v>93053308</v>
      </c>
      <c r="B77" s="94" t="s">
        <v>430</v>
      </c>
      <c r="C77" s="94">
        <v>1007999915</v>
      </c>
      <c r="D77" s="115" t="s">
        <v>2014</v>
      </c>
      <c r="E77" s="95">
        <v>45664</v>
      </c>
      <c r="F77" s="94" t="s">
        <v>1983</v>
      </c>
      <c r="G77" s="94"/>
      <c r="H77" s="96">
        <v>4020.5</v>
      </c>
      <c r="I77" s="96">
        <v>905.12</v>
      </c>
      <c r="J77" s="96">
        <v>151.71</v>
      </c>
      <c r="K77" s="94">
        <v>4</v>
      </c>
      <c r="L77" s="96">
        <f t="shared" si="4"/>
        <v>5532.46</v>
      </c>
      <c r="M77" s="97">
        <f t="shared" si="0"/>
        <v>6788.2944785276077</v>
      </c>
      <c r="N77" s="63"/>
      <c r="O77" s="21">
        <v>3748.31</v>
      </c>
    </row>
    <row r="78" spans="1:16" ht="15">
      <c r="A78" s="110">
        <v>55</v>
      </c>
      <c r="B78" s="110" t="s">
        <v>2015</v>
      </c>
      <c r="C78" s="90">
        <v>1007999915</v>
      </c>
      <c r="D78" s="111" t="s">
        <v>2014</v>
      </c>
      <c r="E78" s="91">
        <v>45664</v>
      </c>
      <c r="F78" s="90" t="s">
        <v>1983</v>
      </c>
      <c r="G78" s="90"/>
      <c r="H78" s="92">
        <v>12496.5</v>
      </c>
      <c r="I78" s="82">
        <v>1040</v>
      </c>
      <c r="J78" s="92">
        <v>151.71</v>
      </c>
      <c r="K78" s="90">
        <v>4</v>
      </c>
      <c r="L78" s="82">
        <f t="shared" si="4"/>
        <v>14143.34</v>
      </c>
      <c r="M78" s="83">
        <f t="shared" si="0"/>
        <v>17353.791411042945</v>
      </c>
      <c r="N78" s="63"/>
    </row>
    <row r="79" spans="1:16" ht="15">
      <c r="A79" s="114"/>
      <c r="B79" s="94"/>
      <c r="C79" s="94">
        <v>1008088759</v>
      </c>
      <c r="D79" s="115" t="s">
        <v>2016</v>
      </c>
      <c r="E79" s="95">
        <v>45705</v>
      </c>
      <c r="F79" s="94" t="s">
        <v>1983</v>
      </c>
      <c r="G79" s="94">
        <v>55</v>
      </c>
      <c r="H79" s="96">
        <v>10727.55</v>
      </c>
      <c r="I79" s="96">
        <v>1302.04</v>
      </c>
      <c r="J79" s="96">
        <v>151.71</v>
      </c>
      <c r="K79" s="94">
        <v>6</v>
      </c>
      <c r="L79" s="96">
        <f t="shared" si="4"/>
        <v>12939.849999999999</v>
      </c>
      <c r="M79" s="97">
        <f t="shared" si="0"/>
        <v>15877.116564417178</v>
      </c>
      <c r="N79" s="63"/>
    </row>
    <row r="80" spans="1:16" ht="15">
      <c r="A80" s="98">
        <v>93053436</v>
      </c>
      <c r="B80" s="99" t="s">
        <v>444</v>
      </c>
      <c r="C80" s="100">
        <v>1007999915</v>
      </c>
      <c r="D80" s="100" t="s">
        <v>2014</v>
      </c>
      <c r="E80" s="101">
        <v>45664</v>
      </c>
      <c r="F80" s="99" t="s">
        <v>1983</v>
      </c>
      <c r="G80" s="99"/>
      <c r="H80" s="102">
        <v>6334.5</v>
      </c>
      <c r="I80" s="102">
        <v>981.5</v>
      </c>
      <c r="J80" s="102">
        <v>151.71</v>
      </c>
      <c r="K80" s="99">
        <v>4</v>
      </c>
      <c r="L80" s="102">
        <f t="shared" si="4"/>
        <v>7922.84</v>
      </c>
      <c r="M80" s="103">
        <f t="shared" si="0"/>
        <v>9721.2760736196324</v>
      </c>
      <c r="N80" s="63"/>
      <c r="O80" s="21">
        <v>5880.52</v>
      </c>
    </row>
    <row r="81" spans="1:16" ht="15">
      <c r="A81" s="104"/>
      <c r="B81" s="105"/>
      <c r="C81" s="106">
        <v>1007378231</v>
      </c>
      <c r="D81" s="106" t="s">
        <v>2017</v>
      </c>
      <c r="E81" s="107">
        <v>45369</v>
      </c>
      <c r="F81" s="105" t="s">
        <v>1983</v>
      </c>
      <c r="G81" s="105"/>
      <c r="H81" s="108">
        <v>6829.09</v>
      </c>
      <c r="I81" s="108">
        <v>1000</v>
      </c>
      <c r="J81" s="108">
        <v>148.75</v>
      </c>
      <c r="K81" s="105">
        <v>4</v>
      </c>
      <c r="L81" s="108">
        <f t="shared" si="4"/>
        <v>8424.09</v>
      </c>
      <c r="M81" s="109">
        <f t="shared" si="0"/>
        <v>10336.306748466259</v>
      </c>
      <c r="N81" s="63"/>
    </row>
    <row r="82" spans="1:16" ht="15">
      <c r="A82" s="114">
        <v>93053635</v>
      </c>
      <c r="B82" s="94" t="s">
        <v>2018</v>
      </c>
      <c r="C82" s="94">
        <v>1007999915</v>
      </c>
      <c r="D82" s="115" t="s">
        <v>2014</v>
      </c>
      <c r="E82" s="95">
        <v>45664</v>
      </c>
      <c r="F82" s="94" t="s">
        <v>1984</v>
      </c>
      <c r="G82" s="94"/>
      <c r="H82" s="96">
        <v>10430.5</v>
      </c>
      <c r="I82" s="96">
        <v>1040</v>
      </c>
      <c r="J82" s="96">
        <v>151.71</v>
      </c>
      <c r="K82" s="94">
        <v>4</v>
      </c>
      <c r="L82" s="96">
        <f t="shared" si="4"/>
        <v>12077.34</v>
      </c>
      <c r="M82" s="97">
        <f t="shared" si="0"/>
        <v>14818.822085889571</v>
      </c>
      <c r="N82" s="63"/>
    </row>
    <row r="83" spans="1:16" ht="15">
      <c r="A83" s="110">
        <v>93053416</v>
      </c>
      <c r="B83" s="90" t="s">
        <v>443</v>
      </c>
      <c r="C83" s="79">
        <v>1007999915</v>
      </c>
      <c r="D83" s="111" t="s">
        <v>2014</v>
      </c>
      <c r="E83" s="91">
        <v>45664</v>
      </c>
      <c r="F83" s="90" t="s">
        <v>1984</v>
      </c>
      <c r="G83" s="90"/>
      <c r="H83" s="92">
        <v>6150.5</v>
      </c>
      <c r="I83" s="92">
        <v>981.5</v>
      </c>
      <c r="J83" s="92">
        <v>151.71</v>
      </c>
      <c r="K83" s="90">
        <v>4</v>
      </c>
      <c r="L83" s="92">
        <f t="shared" si="4"/>
        <v>7738.84</v>
      </c>
      <c r="M83" s="93">
        <f t="shared" si="0"/>
        <v>9495.5092024539881</v>
      </c>
      <c r="N83" s="63"/>
      <c r="O83" s="21">
        <v>6067</v>
      </c>
    </row>
    <row r="84" spans="1:16" ht="15.75" customHeight="1">
      <c r="A84" s="114"/>
      <c r="B84" s="94"/>
      <c r="C84" s="94">
        <v>1008088759</v>
      </c>
      <c r="D84" s="115" t="s">
        <v>2016</v>
      </c>
      <c r="E84" s="95">
        <v>45705</v>
      </c>
      <c r="F84" s="94" t="s">
        <v>1984</v>
      </c>
      <c r="G84" s="94">
        <v>55</v>
      </c>
      <c r="H84" s="96">
        <v>6417.56</v>
      </c>
      <c r="I84" s="96">
        <v>658.04</v>
      </c>
      <c r="J84" s="96">
        <v>151.71</v>
      </c>
      <c r="K84" s="94">
        <v>4</v>
      </c>
      <c r="L84" s="96">
        <f t="shared" si="4"/>
        <v>7682.4400000000005</v>
      </c>
      <c r="M84" s="97">
        <f t="shared" si="0"/>
        <v>9426.3067484662588</v>
      </c>
      <c r="N84" s="63"/>
    </row>
    <row r="85" spans="1:16" ht="15">
      <c r="A85" s="104">
        <v>93052969</v>
      </c>
      <c r="B85" s="105" t="s">
        <v>369</v>
      </c>
      <c r="C85" s="123">
        <v>1008015251</v>
      </c>
      <c r="D85" s="123" t="s">
        <v>2012</v>
      </c>
      <c r="E85" s="107">
        <v>45671</v>
      </c>
      <c r="F85" s="105" t="s">
        <v>1983</v>
      </c>
      <c r="G85" s="105">
        <v>55</v>
      </c>
      <c r="H85" s="108">
        <v>3572</v>
      </c>
      <c r="I85" s="108">
        <v>636.35</v>
      </c>
      <c r="J85" s="108">
        <v>58.9</v>
      </c>
      <c r="K85" s="105">
        <v>4</v>
      </c>
      <c r="L85" s="108">
        <f t="shared" si="4"/>
        <v>4443.95</v>
      </c>
      <c r="M85" s="109">
        <f t="shared" si="0"/>
        <v>5452.6993865030672</v>
      </c>
      <c r="N85" s="63"/>
      <c r="O85" s="21">
        <v>3264.19</v>
      </c>
    </row>
    <row r="86" spans="1:16" ht="15">
      <c r="A86" s="114">
        <v>93053023</v>
      </c>
      <c r="B86" s="94" t="s">
        <v>385</v>
      </c>
      <c r="C86" s="94">
        <v>1008015251</v>
      </c>
      <c r="D86" s="115" t="s">
        <v>2012</v>
      </c>
      <c r="E86" s="95">
        <v>45671</v>
      </c>
      <c r="F86" s="94" t="s">
        <v>1984</v>
      </c>
      <c r="G86" s="94">
        <v>55</v>
      </c>
      <c r="H86" s="96">
        <v>3374.5</v>
      </c>
      <c r="I86" s="96">
        <v>636.34</v>
      </c>
      <c r="J86" s="96">
        <v>58.9</v>
      </c>
      <c r="K86" s="94">
        <v>4</v>
      </c>
      <c r="L86" s="96">
        <f t="shared" si="4"/>
        <v>4246.4399999999996</v>
      </c>
      <c r="M86" s="97">
        <f t="shared" si="0"/>
        <v>5210.3558282208587</v>
      </c>
      <c r="N86" s="63"/>
      <c r="O86" s="21">
        <v>8156.57</v>
      </c>
      <c r="P86" s="21">
        <v>8156.57</v>
      </c>
    </row>
    <row r="87" spans="1:16" ht="15">
      <c r="A87" s="104">
        <v>93053636</v>
      </c>
      <c r="B87" s="105" t="s">
        <v>465</v>
      </c>
      <c r="C87" s="123">
        <v>1008027134</v>
      </c>
      <c r="D87" s="123" t="s">
        <v>2010</v>
      </c>
      <c r="E87" s="107">
        <v>45676</v>
      </c>
      <c r="F87" s="105" t="s">
        <v>1984</v>
      </c>
      <c r="G87" s="105">
        <v>55</v>
      </c>
      <c r="H87" s="108">
        <v>6431.28</v>
      </c>
      <c r="I87" s="108">
        <v>734.33</v>
      </c>
      <c r="J87" s="108">
        <v>151.71</v>
      </c>
      <c r="K87" s="105">
        <v>4</v>
      </c>
      <c r="L87" s="108">
        <f t="shared" si="4"/>
        <v>7772.45</v>
      </c>
      <c r="M87" s="109">
        <f t="shared" si="0"/>
        <v>9536.7484662576699</v>
      </c>
      <c r="N87" s="63"/>
      <c r="O87" s="21">
        <v>6258.8549999999996</v>
      </c>
    </row>
    <row r="88" spans="1:16" ht="15">
      <c r="A88" s="114">
        <v>93055390</v>
      </c>
      <c r="B88" s="94" t="s">
        <v>296</v>
      </c>
      <c r="C88" s="94">
        <v>1008030596</v>
      </c>
      <c r="D88" s="115" t="s">
        <v>2004</v>
      </c>
      <c r="E88" s="95">
        <v>45678</v>
      </c>
      <c r="F88" s="94" t="s">
        <v>1983</v>
      </c>
      <c r="G88" s="94">
        <v>55</v>
      </c>
      <c r="H88" s="96">
        <v>3354.84</v>
      </c>
      <c r="I88" s="96">
        <v>604.29999999999995</v>
      </c>
      <c r="J88" s="96">
        <v>58.9</v>
      </c>
      <c r="K88" s="94">
        <v>4</v>
      </c>
      <c r="L88" s="96">
        <f t="shared" si="4"/>
        <v>4194.74</v>
      </c>
      <c r="M88" s="97">
        <f t="shared" si="0"/>
        <v>5146.9202453987727</v>
      </c>
      <c r="N88" s="63"/>
      <c r="O88" s="21">
        <v>3073.74</v>
      </c>
      <c r="P88" s="21"/>
    </row>
    <row r="89" spans="1:16" ht="15">
      <c r="A89" s="104">
        <v>93053107</v>
      </c>
      <c r="B89" s="105" t="s">
        <v>405</v>
      </c>
      <c r="C89" s="123">
        <v>1008043385</v>
      </c>
      <c r="D89" s="123" t="s">
        <v>2019</v>
      </c>
      <c r="E89" s="107">
        <v>45683</v>
      </c>
      <c r="F89" s="105" t="s">
        <v>1983</v>
      </c>
      <c r="G89" s="105">
        <v>55</v>
      </c>
      <c r="H89" s="108">
        <v>5386.66</v>
      </c>
      <c r="I89" s="108">
        <v>1015.62</v>
      </c>
      <c r="J89" s="108">
        <v>151.71</v>
      </c>
      <c r="K89" s="105">
        <v>4</v>
      </c>
      <c r="L89" s="108">
        <f t="shared" si="4"/>
        <v>7009.12</v>
      </c>
      <c r="M89" s="109">
        <f t="shared" si="0"/>
        <v>8600.1472392638043</v>
      </c>
      <c r="N89" s="63"/>
      <c r="O89" s="21">
        <v>5186.0050000000001</v>
      </c>
    </row>
    <row r="90" spans="1:16" ht="15">
      <c r="A90" s="98">
        <v>93053509</v>
      </c>
      <c r="B90" s="99" t="s">
        <v>452</v>
      </c>
      <c r="C90" s="100">
        <v>1008043385</v>
      </c>
      <c r="D90" s="86" t="s">
        <v>2019</v>
      </c>
      <c r="E90" s="87">
        <v>45683</v>
      </c>
      <c r="F90" s="85" t="s">
        <v>1984</v>
      </c>
      <c r="G90" s="85">
        <v>55</v>
      </c>
      <c r="H90" s="88">
        <v>4996.6000000000004</v>
      </c>
      <c r="I90" s="88">
        <v>1015.62</v>
      </c>
      <c r="J90" s="88">
        <v>151.71</v>
      </c>
      <c r="K90" s="99">
        <v>4</v>
      </c>
      <c r="L90" s="102">
        <f t="shared" si="4"/>
        <v>6619.06</v>
      </c>
      <c r="M90" s="89">
        <f t="shared" si="0"/>
        <v>8121.5460122699396</v>
      </c>
      <c r="N90" s="63"/>
      <c r="O90" s="21">
        <v>4860.6750000000002</v>
      </c>
    </row>
    <row r="91" spans="1:16" ht="15">
      <c r="A91" s="104"/>
      <c r="B91" s="105"/>
      <c r="C91" s="106">
        <v>1007378231</v>
      </c>
      <c r="D91" s="106" t="s">
        <v>2017</v>
      </c>
      <c r="E91" s="107">
        <v>45369</v>
      </c>
      <c r="F91" s="105" t="s">
        <v>1984</v>
      </c>
      <c r="G91" s="105">
        <v>55</v>
      </c>
      <c r="H91" s="108">
        <v>5275.36</v>
      </c>
      <c r="I91" s="108">
        <v>1000</v>
      </c>
      <c r="J91" s="108">
        <v>148.75</v>
      </c>
      <c r="K91" s="105">
        <v>6</v>
      </c>
      <c r="L91" s="108">
        <f t="shared" si="4"/>
        <v>7167.86</v>
      </c>
      <c r="M91" s="109">
        <f t="shared" si="0"/>
        <v>8794.9202453987727</v>
      </c>
      <c r="N91" s="63"/>
    </row>
    <row r="92" spans="1:16" ht="15">
      <c r="A92" s="114">
        <v>93053373</v>
      </c>
      <c r="B92" s="94" t="s">
        <v>2020</v>
      </c>
      <c r="C92" s="94">
        <v>1008043385</v>
      </c>
      <c r="D92" s="115" t="s">
        <v>2019</v>
      </c>
      <c r="E92" s="95">
        <v>45683</v>
      </c>
      <c r="F92" s="94" t="s">
        <v>1984</v>
      </c>
      <c r="G92" s="94">
        <v>55</v>
      </c>
      <c r="H92" s="96">
        <v>5216.3599999999997</v>
      </c>
      <c r="I92" s="96">
        <v>1015.62</v>
      </c>
      <c r="J92" s="96">
        <v>151.71</v>
      </c>
      <c r="K92" s="94">
        <v>4</v>
      </c>
      <c r="L92" s="96">
        <f t="shared" si="4"/>
        <v>6838.82</v>
      </c>
      <c r="M92" s="97">
        <f t="shared" si="0"/>
        <v>8391.1901840490791</v>
      </c>
      <c r="N92" s="63"/>
    </row>
    <row r="93" spans="1:16" ht="15">
      <c r="A93" s="104">
        <v>93053438</v>
      </c>
      <c r="B93" s="105" t="s">
        <v>445</v>
      </c>
      <c r="C93" s="123">
        <v>1008043385</v>
      </c>
      <c r="D93" s="123" t="s">
        <v>2019</v>
      </c>
      <c r="E93" s="107">
        <v>45683</v>
      </c>
      <c r="F93" s="105" t="s">
        <v>1984</v>
      </c>
      <c r="G93" s="105">
        <v>55</v>
      </c>
      <c r="H93" s="108">
        <v>5554</v>
      </c>
      <c r="I93" s="108">
        <v>1015.64</v>
      </c>
      <c r="J93" s="108">
        <v>151.71</v>
      </c>
      <c r="K93" s="105">
        <v>4</v>
      </c>
      <c r="L93" s="108">
        <f t="shared" si="4"/>
        <v>7176.4800000000005</v>
      </c>
      <c r="M93" s="109">
        <f t="shared" si="0"/>
        <v>8805.4969325153379</v>
      </c>
      <c r="N93" s="63"/>
      <c r="O93" s="21">
        <v>5402.72</v>
      </c>
    </row>
    <row r="94" spans="1:16" ht="15">
      <c r="A94" s="98">
        <v>93052879</v>
      </c>
      <c r="B94" s="99" t="s">
        <v>342</v>
      </c>
      <c r="C94" s="100">
        <v>1008060801</v>
      </c>
      <c r="D94" s="100" t="s">
        <v>1993</v>
      </c>
      <c r="E94" s="101">
        <v>45692</v>
      </c>
      <c r="F94" s="99" t="s">
        <v>1983</v>
      </c>
      <c r="G94" s="99">
        <v>55</v>
      </c>
      <c r="H94" s="102">
        <v>4950.1400000000003</v>
      </c>
      <c r="I94" s="102">
        <v>942.14</v>
      </c>
      <c r="J94" s="102">
        <v>133.86000000000001</v>
      </c>
      <c r="K94" s="99">
        <v>4</v>
      </c>
      <c r="L94" s="102">
        <f t="shared" si="4"/>
        <v>6427.72</v>
      </c>
      <c r="M94" s="103">
        <f t="shared" si="0"/>
        <v>7886.7730061349703</v>
      </c>
      <c r="N94" s="63"/>
      <c r="O94" s="21">
        <v>4190.24</v>
      </c>
    </row>
    <row r="95" spans="1:16" ht="15">
      <c r="A95" s="104"/>
      <c r="B95" s="105"/>
      <c r="C95" s="106">
        <v>1008060993</v>
      </c>
      <c r="D95" s="106" t="s">
        <v>1993</v>
      </c>
      <c r="E95" s="107">
        <v>45692</v>
      </c>
      <c r="F95" s="105" t="s">
        <v>1983</v>
      </c>
      <c r="G95" s="105">
        <v>56</v>
      </c>
      <c r="H95" s="108">
        <v>5010.84</v>
      </c>
      <c r="I95" s="108">
        <v>648.91999999999996</v>
      </c>
      <c r="J95" s="108">
        <v>133.86000000000001</v>
      </c>
      <c r="K95" s="105">
        <v>4</v>
      </c>
      <c r="L95" s="108">
        <f t="shared" si="4"/>
        <v>6195.2000000000007</v>
      </c>
      <c r="M95" s="109">
        <f t="shared" si="0"/>
        <v>7601.4723926380384</v>
      </c>
      <c r="N95" s="63"/>
    </row>
    <row r="96" spans="1:16" ht="15">
      <c r="A96" s="98">
        <v>93052609</v>
      </c>
      <c r="B96" s="99" t="s">
        <v>298</v>
      </c>
      <c r="C96" s="100">
        <v>1008060801</v>
      </c>
      <c r="D96" s="100" t="s">
        <v>1993</v>
      </c>
      <c r="E96" s="101">
        <v>45692</v>
      </c>
      <c r="F96" s="99" t="s">
        <v>1983</v>
      </c>
      <c r="G96" s="99">
        <v>55</v>
      </c>
      <c r="H96" s="102">
        <v>3112.45</v>
      </c>
      <c r="I96" s="102">
        <v>942.14</v>
      </c>
      <c r="J96" s="102">
        <v>133.86000000000001</v>
      </c>
      <c r="K96" s="99">
        <v>4</v>
      </c>
      <c r="L96" s="102">
        <f t="shared" si="4"/>
        <v>4590.03</v>
      </c>
      <c r="M96" s="103">
        <f t="shared" si="0"/>
        <v>5631.938650306749</v>
      </c>
      <c r="N96" s="63"/>
      <c r="O96" s="21">
        <v>2467.19</v>
      </c>
    </row>
    <row r="97" spans="1:16" ht="15">
      <c r="A97" s="104"/>
      <c r="B97" s="105"/>
      <c r="C97" s="106">
        <v>1008060993</v>
      </c>
      <c r="D97" s="106" t="s">
        <v>1993</v>
      </c>
      <c r="E97" s="107">
        <v>45692</v>
      </c>
      <c r="F97" s="105" t="s">
        <v>1983</v>
      </c>
      <c r="G97" s="105">
        <v>56</v>
      </c>
      <c r="H97" s="108">
        <v>3183.16</v>
      </c>
      <c r="I97" s="108">
        <v>942.14</v>
      </c>
      <c r="J97" s="108">
        <v>133.86000000000001</v>
      </c>
      <c r="K97" s="105">
        <v>4</v>
      </c>
      <c r="L97" s="108">
        <f t="shared" si="4"/>
        <v>4660.74</v>
      </c>
      <c r="M97" s="109">
        <f t="shared" si="0"/>
        <v>5718.6993865030672</v>
      </c>
      <c r="N97" s="63"/>
    </row>
    <row r="98" spans="1:16" ht="15">
      <c r="A98" s="114">
        <v>93055519</v>
      </c>
      <c r="B98" s="94" t="s">
        <v>405</v>
      </c>
      <c r="C98" s="94">
        <v>1008072834</v>
      </c>
      <c r="D98" s="115" t="s">
        <v>2001</v>
      </c>
      <c r="E98" s="95">
        <v>45697</v>
      </c>
      <c r="F98" s="94" t="s">
        <v>1984</v>
      </c>
      <c r="G98" s="94">
        <v>55</v>
      </c>
      <c r="H98" s="96">
        <v>5100.5</v>
      </c>
      <c r="I98" s="96">
        <v>662.94</v>
      </c>
      <c r="J98" s="96">
        <v>133.86000000000001</v>
      </c>
      <c r="K98" s="94">
        <v>4</v>
      </c>
      <c r="L98" s="96">
        <f t="shared" si="4"/>
        <v>6298.880000000001</v>
      </c>
      <c r="M98" s="97">
        <f t="shared" si="0"/>
        <v>7728.6871165644188</v>
      </c>
      <c r="N98" s="63"/>
      <c r="O98" s="21">
        <v>5186.0050000000001</v>
      </c>
      <c r="P98" s="21"/>
    </row>
    <row r="99" spans="1:16" ht="15">
      <c r="A99" s="104">
        <v>93054075</v>
      </c>
      <c r="B99" s="105" t="s">
        <v>546</v>
      </c>
      <c r="C99" s="123">
        <v>1008088759</v>
      </c>
      <c r="D99" s="123" t="s">
        <v>2016</v>
      </c>
      <c r="E99" s="107">
        <v>45705</v>
      </c>
      <c r="F99" s="105" t="s">
        <v>1983</v>
      </c>
      <c r="G99" s="105">
        <v>55</v>
      </c>
      <c r="H99" s="108">
        <v>10832.8</v>
      </c>
      <c r="I99" s="108">
        <v>1302.04</v>
      </c>
      <c r="J99" s="108">
        <v>128.37</v>
      </c>
      <c r="K99" s="105">
        <v>4</v>
      </c>
      <c r="L99" s="108">
        <f t="shared" si="4"/>
        <v>12648.32</v>
      </c>
      <c r="M99" s="109">
        <f t="shared" si="0"/>
        <v>15519.411042944786</v>
      </c>
      <c r="N99" s="63"/>
      <c r="O99" s="21">
        <v>9776.6450000000004</v>
      </c>
    </row>
    <row r="100" spans="1:16" ht="15">
      <c r="A100" s="114">
        <v>93053982</v>
      </c>
      <c r="B100" s="94" t="s">
        <v>523</v>
      </c>
      <c r="C100" s="94">
        <v>1008088759</v>
      </c>
      <c r="D100" s="115" t="s">
        <v>2016</v>
      </c>
      <c r="E100" s="95">
        <v>45705</v>
      </c>
      <c r="F100" s="94" t="s">
        <v>1984</v>
      </c>
      <c r="G100" s="94">
        <v>55</v>
      </c>
      <c r="H100" s="96">
        <v>6497.3</v>
      </c>
      <c r="I100" s="96">
        <v>815.93</v>
      </c>
      <c r="J100" s="96">
        <v>151.71</v>
      </c>
      <c r="K100" s="94">
        <v>4</v>
      </c>
      <c r="L100" s="96">
        <f t="shared" si="4"/>
        <v>7920.0700000000006</v>
      </c>
      <c r="M100" s="97">
        <f t="shared" si="0"/>
        <v>9717.8773006134979</v>
      </c>
      <c r="N100" s="63"/>
      <c r="O100" s="21">
        <v>11298.82</v>
      </c>
      <c r="P100" s="21">
        <v>11298.82</v>
      </c>
    </row>
    <row r="101" spans="1:16" ht="15">
      <c r="A101" s="124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7"/>
      <c r="M101" s="125"/>
      <c r="N101" s="63"/>
    </row>
    <row r="102" spans="1:16" ht="15">
      <c r="A102" s="124"/>
      <c r="B102" s="63"/>
      <c r="C102" s="63"/>
      <c r="D102" s="63"/>
      <c r="E102" s="63"/>
      <c r="F102" s="63"/>
      <c r="G102" s="63"/>
      <c r="I102" s="63"/>
      <c r="J102" s="63"/>
      <c r="K102" s="63"/>
      <c r="L102" s="67"/>
      <c r="M102" s="125"/>
      <c r="N102" s="63"/>
    </row>
    <row r="103" spans="1:16" ht="15">
      <c r="A103" s="124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7"/>
      <c r="M103" s="125"/>
      <c r="N103" s="63"/>
    </row>
    <row r="104" spans="1:16" ht="15">
      <c r="A104" s="124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7"/>
      <c r="M104" s="125"/>
      <c r="N104" s="63"/>
    </row>
    <row r="105" spans="1:16" ht="15">
      <c r="A105" s="124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7"/>
      <c r="M105" s="125"/>
      <c r="N105" s="63"/>
    </row>
    <row r="106" spans="1:16" ht="15">
      <c r="A106" s="124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7"/>
      <c r="M106" s="125"/>
      <c r="N106" s="63"/>
    </row>
    <row r="107" spans="1:16" ht="15">
      <c r="A107" s="124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7"/>
      <c r="M107" s="125"/>
      <c r="N107" s="63"/>
    </row>
    <row r="108" spans="1:16" ht="15">
      <c r="A108" s="124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7"/>
      <c r="M108" s="125"/>
      <c r="N108" s="63"/>
    </row>
    <row r="109" spans="1:16" ht="15">
      <c r="A109" s="124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7"/>
      <c r="M109" s="125"/>
      <c r="N109" s="63"/>
    </row>
    <row r="110" spans="1:16" ht="15">
      <c r="A110" s="124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7"/>
      <c r="M110" s="125"/>
      <c r="N110" s="63"/>
    </row>
    <row r="111" spans="1:16" ht="15">
      <c r="A111" s="124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7"/>
      <c r="M111" s="125"/>
      <c r="N111" s="63"/>
    </row>
    <row r="112" spans="1:16" ht="15">
      <c r="A112" s="124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7"/>
      <c r="M112" s="125"/>
      <c r="N112" s="63"/>
    </row>
    <row r="113" spans="1:14" ht="15">
      <c r="A113" s="124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7"/>
      <c r="M113" s="125"/>
      <c r="N113" s="63"/>
    </row>
    <row r="114" spans="1:14" ht="15">
      <c r="A114" s="124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7"/>
      <c r="M114" s="125"/>
      <c r="N114" s="63"/>
    </row>
    <row r="115" spans="1:14" ht="15">
      <c r="A115" s="124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7"/>
      <c r="M115" s="125"/>
      <c r="N115" s="63"/>
    </row>
    <row r="116" spans="1:14" ht="15">
      <c r="A116" s="124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7"/>
      <c r="M116" s="125"/>
      <c r="N116" s="63"/>
    </row>
    <row r="117" spans="1:14" ht="15">
      <c r="A117" s="124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7"/>
      <c r="M117" s="125"/>
      <c r="N117" s="63"/>
    </row>
    <row r="118" spans="1:14" ht="15">
      <c r="A118" s="124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7"/>
      <c r="M118" s="125"/>
      <c r="N118" s="63"/>
    </row>
    <row r="119" spans="1:14" ht="15">
      <c r="A119" s="124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7"/>
      <c r="M119" s="125"/>
      <c r="N119" s="63"/>
    </row>
    <row r="120" spans="1:14" ht="15">
      <c r="A120" s="124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7"/>
      <c r="M120" s="125"/>
      <c r="N120" s="63"/>
    </row>
    <row r="121" spans="1:14" ht="15">
      <c r="A121" s="124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7"/>
      <c r="M121" s="125"/>
      <c r="N121" s="63"/>
    </row>
    <row r="122" spans="1:14" ht="15">
      <c r="A122" s="124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7"/>
      <c r="M122" s="125"/>
      <c r="N122" s="63"/>
    </row>
    <row r="123" spans="1:14" ht="15">
      <c r="A123" s="124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7"/>
      <c r="M123" s="125"/>
      <c r="N123" s="63"/>
    </row>
    <row r="124" spans="1:14" ht="15">
      <c r="A124" s="124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7"/>
      <c r="M124" s="125"/>
      <c r="N124" s="63"/>
    </row>
    <row r="125" spans="1:14" ht="15">
      <c r="A125" s="124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7"/>
      <c r="M125" s="125"/>
      <c r="N125" s="63"/>
    </row>
    <row r="126" spans="1:14" ht="15">
      <c r="A126" s="124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7"/>
      <c r="M126" s="125"/>
      <c r="N126" s="63"/>
    </row>
    <row r="127" spans="1:14" ht="15">
      <c r="A127" s="124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7"/>
      <c r="M127" s="125"/>
      <c r="N127" s="63"/>
    </row>
    <row r="128" spans="1:14" ht="15">
      <c r="A128" s="124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7"/>
      <c r="M128" s="125"/>
      <c r="N128" s="63"/>
    </row>
    <row r="129" spans="1:14" ht="15">
      <c r="A129" s="124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7"/>
      <c r="M129" s="125"/>
      <c r="N129" s="63"/>
    </row>
    <row r="130" spans="1:14" ht="15">
      <c r="A130" s="124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7"/>
      <c r="M130" s="125"/>
      <c r="N130" s="63"/>
    </row>
    <row r="131" spans="1:14" ht="15">
      <c r="A131" s="124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7"/>
      <c r="M131" s="125"/>
      <c r="N131" s="63"/>
    </row>
    <row r="132" spans="1:14" ht="15">
      <c r="A132" s="124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7"/>
      <c r="M132" s="125"/>
      <c r="N132" s="63"/>
    </row>
    <row r="133" spans="1:14" ht="15">
      <c r="A133" s="124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7"/>
      <c r="M133" s="125"/>
      <c r="N133" s="63"/>
    </row>
    <row r="134" spans="1:14" ht="15">
      <c r="A134" s="124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7"/>
      <c r="M134" s="125"/>
      <c r="N134" s="63"/>
    </row>
    <row r="135" spans="1:14" ht="15">
      <c r="A135" s="124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7"/>
      <c r="M135" s="125"/>
      <c r="N135" s="63"/>
    </row>
    <row r="136" spans="1:14" ht="15">
      <c r="A136" s="124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7"/>
      <c r="M136" s="125"/>
      <c r="N136" s="63"/>
    </row>
    <row r="137" spans="1:14" ht="15">
      <c r="A137" s="124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7"/>
      <c r="M137" s="125"/>
      <c r="N137" s="63"/>
    </row>
    <row r="138" spans="1:14" ht="15">
      <c r="A138" s="124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7"/>
      <c r="M138" s="125"/>
      <c r="N138" s="63"/>
    </row>
    <row r="139" spans="1:14" ht="15">
      <c r="A139" s="124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7"/>
      <c r="M139" s="125"/>
      <c r="N139" s="63"/>
    </row>
    <row r="140" spans="1:14" ht="15">
      <c r="A140" s="124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7"/>
      <c r="M140" s="125"/>
      <c r="N140" s="63"/>
    </row>
    <row r="141" spans="1:14" ht="15">
      <c r="A141" s="124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7"/>
      <c r="M141" s="125"/>
      <c r="N141" s="63"/>
    </row>
    <row r="142" spans="1:14" ht="15">
      <c r="A142" s="124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7"/>
      <c r="M142" s="125"/>
      <c r="N142" s="63"/>
    </row>
    <row r="143" spans="1:14" ht="15">
      <c r="A143" s="124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7"/>
      <c r="M143" s="125"/>
      <c r="N143" s="63"/>
    </row>
    <row r="144" spans="1:14" ht="15">
      <c r="A144" s="124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7"/>
      <c r="M144" s="125"/>
      <c r="N144" s="63"/>
    </row>
    <row r="145" spans="1:14" ht="15">
      <c r="A145" s="124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7"/>
      <c r="M145" s="125"/>
      <c r="N145" s="63"/>
    </row>
    <row r="146" spans="1:14" ht="15">
      <c r="A146" s="124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7"/>
      <c r="M146" s="125"/>
      <c r="N146" s="63"/>
    </row>
    <row r="147" spans="1:14" ht="15">
      <c r="A147" s="124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7"/>
      <c r="M147" s="125"/>
      <c r="N147" s="63"/>
    </row>
    <row r="148" spans="1:14" ht="15">
      <c r="A148" s="124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7"/>
      <c r="M148" s="125"/>
      <c r="N148" s="63"/>
    </row>
    <row r="149" spans="1:14" ht="15">
      <c r="A149" s="124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7"/>
      <c r="M149" s="125"/>
      <c r="N149" s="63"/>
    </row>
    <row r="150" spans="1:14" ht="15">
      <c r="A150" s="124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7"/>
      <c r="M150" s="125"/>
      <c r="N150" s="63"/>
    </row>
    <row r="151" spans="1:14" ht="15">
      <c r="A151" s="124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7"/>
      <c r="M151" s="125"/>
      <c r="N151" s="63"/>
    </row>
    <row r="152" spans="1:14" ht="15">
      <c r="A152" s="124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7"/>
      <c r="M152" s="125"/>
      <c r="N152" s="63"/>
    </row>
    <row r="153" spans="1:14" ht="15">
      <c r="A153" s="124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7"/>
      <c r="M153" s="125"/>
      <c r="N153" s="63"/>
    </row>
    <row r="154" spans="1:14" ht="15">
      <c r="A154" s="124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7"/>
      <c r="M154" s="125"/>
      <c r="N154" s="63"/>
    </row>
    <row r="155" spans="1:14" ht="15">
      <c r="A155" s="124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7"/>
      <c r="M155" s="125"/>
      <c r="N155" s="63"/>
    </row>
    <row r="156" spans="1:14" ht="15">
      <c r="A156" s="124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7"/>
      <c r="M156" s="125"/>
      <c r="N156" s="63"/>
    </row>
    <row r="157" spans="1:14" ht="15">
      <c r="A157" s="124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7"/>
      <c r="M157" s="125"/>
      <c r="N157" s="63"/>
    </row>
    <row r="158" spans="1:14" ht="15">
      <c r="A158" s="124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7"/>
      <c r="M158" s="125"/>
      <c r="N158" s="63"/>
    </row>
    <row r="159" spans="1:14" ht="15">
      <c r="A159" s="124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7"/>
      <c r="M159" s="125"/>
      <c r="N159" s="63"/>
    </row>
    <row r="160" spans="1:14" ht="15">
      <c r="A160" s="124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7"/>
      <c r="M160" s="125"/>
      <c r="N160" s="63"/>
    </row>
    <row r="161" spans="1:14" ht="15">
      <c r="A161" s="124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7"/>
      <c r="M161" s="125"/>
      <c r="N161" s="63"/>
    </row>
    <row r="162" spans="1:14" ht="15">
      <c r="A162" s="124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7"/>
      <c r="M162" s="125"/>
      <c r="N162" s="63"/>
    </row>
    <row r="163" spans="1:14" ht="15">
      <c r="A163" s="124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7"/>
      <c r="M163" s="125"/>
      <c r="N163" s="63"/>
    </row>
    <row r="164" spans="1:14" ht="15">
      <c r="A164" s="124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7"/>
      <c r="M164" s="125"/>
      <c r="N164" s="63"/>
    </row>
    <row r="165" spans="1:14" ht="15">
      <c r="A165" s="124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7"/>
      <c r="M165" s="125"/>
      <c r="N165" s="63"/>
    </row>
    <row r="166" spans="1:14" ht="15">
      <c r="A166" s="124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7"/>
      <c r="M166" s="125"/>
      <c r="N166" s="63"/>
    </row>
    <row r="167" spans="1:14" ht="15">
      <c r="A167" s="124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7"/>
      <c r="M167" s="125"/>
      <c r="N167" s="63"/>
    </row>
    <row r="168" spans="1:14" ht="15">
      <c r="A168" s="124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7"/>
      <c r="M168" s="125"/>
      <c r="N168" s="63"/>
    </row>
    <row r="169" spans="1:14" ht="15">
      <c r="A169" s="124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7"/>
      <c r="M169" s="125"/>
      <c r="N169" s="63"/>
    </row>
    <row r="170" spans="1:14" ht="15">
      <c r="A170" s="124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7"/>
      <c r="M170" s="125"/>
      <c r="N170" s="63"/>
    </row>
    <row r="171" spans="1:14" ht="15">
      <c r="A171" s="124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7"/>
      <c r="M171" s="125"/>
      <c r="N171" s="63"/>
    </row>
    <row r="172" spans="1:14" ht="15">
      <c r="A172" s="124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7"/>
      <c r="M172" s="125"/>
      <c r="N172" s="63"/>
    </row>
    <row r="173" spans="1:14" ht="15">
      <c r="A173" s="124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7"/>
      <c r="M173" s="125"/>
      <c r="N173" s="63"/>
    </row>
    <row r="174" spans="1:14" ht="15">
      <c r="A174" s="124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7"/>
      <c r="M174" s="125"/>
      <c r="N174" s="63"/>
    </row>
    <row r="175" spans="1:14" ht="15">
      <c r="A175" s="124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7"/>
      <c r="M175" s="125"/>
      <c r="N175" s="63"/>
    </row>
    <row r="176" spans="1:14" ht="15">
      <c r="A176" s="124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7"/>
      <c r="M176" s="125"/>
      <c r="N176" s="63"/>
    </row>
    <row r="177" spans="1:14" ht="15">
      <c r="A177" s="124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7"/>
      <c r="M177" s="125"/>
      <c r="N177" s="63"/>
    </row>
    <row r="178" spans="1:14" ht="15">
      <c r="A178" s="124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7"/>
      <c r="M178" s="125"/>
      <c r="N178" s="63"/>
    </row>
    <row r="179" spans="1:14" ht="15">
      <c r="A179" s="124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7"/>
      <c r="M179" s="125"/>
      <c r="N179" s="63"/>
    </row>
    <row r="180" spans="1:14" ht="15">
      <c r="A180" s="124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7"/>
      <c r="M180" s="125"/>
      <c r="N180" s="63"/>
    </row>
    <row r="181" spans="1:14" ht="15">
      <c r="A181" s="124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7"/>
      <c r="M181" s="125"/>
      <c r="N181" s="63"/>
    </row>
    <row r="182" spans="1:14" ht="15">
      <c r="A182" s="124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7"/>
      <c r="M182" s="125"/>
      <c r="N182" s="63"/>
    </row>
    <row r="183" spans="1:14" ht="15">
      <c r="A183" s="124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7"/>
      <c r="M183" s="125"/>
      <c r="N183" s="63"/>
    </row>
    <row r="184" spans="1:14" ht="15">
      <c r="A184" s="124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7"/>
      <c r="M184" s="125"/>
      <c r="N184" s="63"/>
    </row>
    <row r="185" spans="1:14" ht="15">
      <c r="A185" s="124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7"/>
      <c r="M185" s="125"/>
      <c r="N185" s="63"/>
    </row>
    <row r="186" spans="1:14" ht="15">
      <c r="A186" s="124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7"/>
      <c r="M186" s="125"/>
      <c r="N186" s="63"/>
    </row>
    <row r="187" spans="1:14" ht="15">
      <c r="A187" s="124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7"/>
      <c r="M187" s="125"/>
      <c r="N187" s="63"/>
    </row>
    <row r="188" spans="1:14" ht="15">
      <c r="A188" s="124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7"/>
      <c r="M188" s="125"/>
      <c r="N188" s="63"/>
    </row>
    <row r="189" spans="1:14" ht="15">
      <c r="A189" s="124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7"/>
      <c r="M189" s="125"/>
      <c r="N189" s="63"/>
    </row>
    <row r="190" spans="1:14" ht="15">
      <c r="A190" s="124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7"/>
      <c r="M190" s="125"/>
      <c r="N190" s="63"/>
    </row>
    <row r="191" spans="1:14" ht="15">
      <c r="A191" s="124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7"/>
      <c r="M191" s="125"/>
      <c r="N191" s="63"/>
    </row>
    <row r="192" spans="1:14" ht="15">
      <c r="A192" s="124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7"/>
      <c r="M192" s="125"/>
      <c r="N192" s="63"/>
    </row>
    <row r="193" spans="1:14" ht="15">
      <c r="A193" s="124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7"/>
      <c r="M193" s="125"/>
      <c r="N193" s="63"/>
    </row>
    <row r="194" spans="1:14" ht="15">
      <c r="A194" s="124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7"/>
      <c r="M194" s="125"/>
      <c r="N194" s="63"/>
    </row>
    <row r="195" spans="1:14" ht="15">
      <c r="A195" s="124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7"/>
      <c r="M195" s="125"/>
      <c r="N195" s="63"/>
    </row>
    <row r="196" spans="1:14" ht="15">
      <c r="A196" s="124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7"/>
      <c r="M196" s="125"/>
      <c r="N196" s="63"/>
    </row>
    <row r="197" spans="1:14" ht="15">
      <c r="A197" s="124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7"/>
      <c r="M197" s="125"/>
      <c r="N197" s="63"/>
    </row>
    <row r="198" spans="1:14" ht="15">
      <c r="A198" s="124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7"/>
      <c r="M198" s="125"/>
      <c r="N198" s="63"/>
    </row>
    <row r="199" spans="1:14" ht="15">
      <c r="A199" s="124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7"/>
      <c r="M199" s="125"/>
      <c r="N199" s="63"/>
    </row>
    <row r="200" spans="1:14" ht="15">
      <c r="A200" s="124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7"/>
      <c r="M200" s="125"/>
      <c r="N200" s="63"/>
    </row>
    <row r="201" spans="1:14" ht="15">
      <c r="A201" s="124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7"/>
      <c r="M201" s="125"/>
      <c r="N201" s="63"/>
    </row>
    <row r="202" spans="1:14" ht="15">
      <c r="A202" s="124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7"/>
      <c r="M202" s="125"/>
      <c r="N202" s="63"/>
    </row>
    <row r="203" spans="1:14" ht="15">
      <c r="A203" s="124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7"/>
      <c r="M203" s="125"/>
      <c r="N203" s="63"/>
    </row>
    <row r="204" spans="1:14" ht="15">
      <c r="A204" s="124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7"/>
      <c r="M204" s="125"/>
      <c r="N204" s="63"/>
    </row>
    <row r="205" spans="1:14" ht="15">
      <c r="A205" s="124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7"/>
      <c r="M205" s="125"/>
      <c r="N205" s="63"/>
    </row>
    <row r="206" spans="1:14" ht="15">
      <c r="A206" s="124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7"/>
      <c r="M206" s="125"/>
      <c r="N206" s="63"/>
    </row>
    <row r="207" spans="1:14" ht="15">
      <c r="A207" s="124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7"/>
      <c r="M207" s="125"/>
      <c r="N207" s="63"/>
    </row>
    <row r="208" spans="1:14" ht="15">
      <c r="A208" s="124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7"/>
      <c r="M208" s="125"/>
      <c r="N208" s="63"/>
    </row>
    <row r="209" spans="1:14" ht="15">
      <c r="A209" s="124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7"/>
      <c r="M209" s="125"/>
      <c r="N209" s="63"/>
    </row>
    <row r="210" spans="1:14" ht="15">
      <c r="A210" s="124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7"/>
      <c r="M210" s="125"/>
      <c r="N210" s="63"/>
    </row>
    <row r="211" spans="1:14" ht="15">
      <c r="A211" s="124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7"/>
      <c r="M211" s="125"/>
      <c r="N211" s="63"/>
    </row>
    <row r="212" spans="1:14" ht="15">
      <c r="A212" s="124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7"/>
      <c r="M212" s="125"/>
      <c r="N212" s="63"/>
    </row>
    <row r="213" spans="1:14" ht="15">
      <c r="A213" s="124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7"/>
      <c r="M213" s="125"/>
      <c r="N213" s="63"/>
    </row>
    <row r="214" spans="1:14" ht="15">
      <c r="A214" s="124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7"/>
      <c r="M214" s="125"/>
      <c r="N214" s="63"/>
    </row>
    <row r="215" spans="1:14" ht="15">
      <c r="A215" s="124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7"/>
      <c r="M215" s="125"/>
      <c r="N215" s="63"/>
    </row>
    <row r="216" spans="1:14" ht="15">
      <c r="A216" s="124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7"/>
      <c r="M216" s="125"/>
      <c r="N216" s="63"/>
    </row>
    <row r="217" spans="1:14" ht="15">
      <c r="A217" s="124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7"/>
      <c r="M217" s="125"/>
      <c r="N217" s="63"/>
    </row>
    <row r="218" spans="1:14" ht="15">
      <c r="A218" s="124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7"/>
      <c r="M218" s="125"/>
      <c r="N218" s="63"/>
    </row>
    <row r="219" spans="1:14" ht="15">
      <c r="A219" s="124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7"/>
      <c r="M219" s="125"/>
      <c r="N219" s="63"/>
    </row>
    <row r="220" spans="1:14" ht="15">
      <c r="A220" s="124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7"/>
      <c r="M220" s="125"/>
      <c r="N220" s="63"/>
    </row>
    <row r="221" spans="1:14" ht="15">
      <c r="A221" s="124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7"/>
      <c r="M221" s="125"/>
      <c r="N221" s="63"/>
    </row>
    <row r="222" spans="1:14" ht="15">
      <c r="A222" s="124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7"/>
      <c r="M222" s="125"/>
      <c r="N222" s="63"/>
    </row>
    <row r="223" spans="1:14" ht="15">
      <c r="A223" s="124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7"/>
      <c r="M223" s="125"/>
      <c r="N223" s="63"/>
    </row>
    <row r="224" spans="1:14" ht="15">
      <c r="A224" s="124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7"/>
      <c r="M224" s="125"/>
      <c r="N224" s="63"/>
    </row>
    <row r="225" spans="1:14" ht="15">
      <c r="A225" s="124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7"/>
      <c r="M225" s="125"/>
      <c r="N225" s="63"/>
    </row>
    <row r="226" spans="1:14" ht="15">
      <c r="A226" s="124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7"/>
      <c r="M226" s="125"/>
      <c r="N226" s="63"/>
    </row>
    <row r="227" spans="1:14" ht="15">
      <c r="A227" s="124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7"/>
      <c r="M227" s="125"/>
      <c r="N227" s="63"/>
    </row>
    <row r="228" spans="1:14" ht="15">
      <c r="A228" s="124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7"/>
      <c r="M228" s="125"/>
      <c r="N228" s="63"/>
    </row>
    <row r="229" spans="1:14" ht="15">
      <c r="A229" s="124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7"/>
      <c r="M229" s="125"/>
      <c r="N229" s="63"/>
    </row>
    <row r="230" spans="1:14" ht="15">
      <c r="A230" s="124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7"/>
      <c r="M230" s="125"/>
      <c r="N230" s="63"/>
    </row>
    <row r="231" spans="1:14" ht="15">
      <c r="A231" s="124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7"/>
      <c r="M231" s="125"/>
      <c r="N231" s="63"/>
    </row>
    <row r="232" spans="1:14" ht="15">
      <c r="A232" s="124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7"/>
      <c r="M232" s="125"/>
      <c r="N232" s="63"/>
    </row>
    <row r="233" spans="1:14" ht="15">
      <c r="A233" s="124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7"/>
      <c r="M233" s="125"/>
      <c r="N233" s="63"/>
    </row>
    <row r="234" spans="1:14" ht="15">
      <c r="A234" s="124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7"/>
      <c r="M234" s="125"/>
      <c r="N234" s="63"/>
    </row>
    <row r="235" spans="1:14" ht="15">
      <c r="A235" s="124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7"/>
      <c r="M235" s="125"/>
      <c r="N235" s="63"/>
    </row>
    <row r="236" spans="1:14" ht="15">
      <c r="A236" s="124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7"/>
      <c r="M236" s="125"/>
      <c r="N236" s="63"/>
    </row>
    <row r="237" spans="1:14" ht="15">
      <c r="A237" s="124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7"/>
      <c r="M237" s="125"/>
      <c r="N237" s="63"/>
    </row>
    <row r="238" spans="1:14" ht="15">
      <c r="A238" s="124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7"/>
      <c r="M238" s="125"/>
      <c r="N238" s="63"/>
    </row>
    <row r="239" spans="1:14" ht="15">
      <c r="A239" s="124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7"/>
      <c r="M239" s="125"/>
      <c r="N239" s="63"/>
    </row>
    <row r="240" spans="1:14" ht="15">
      <c r="A240" s="124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7"/>
      <c r="M240" s="125"/>
      <c r="N240" s="63"/>
    </row>
    <row r="241" spans="1:14" ht="15">
      <c r="A241" s="124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7"/>
      <c r="M241" s="125"/>
      <c r="N241" s="63"/>
    </row>
    <row r="242" spans="1:14" ht="15">
      <c r="A242" s="124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7"/>
      <c r="M242" s="125"/>
      <c r="N242" s="63"/>
    </row>
    <row r="243" spans="1:14" ht="15">
      <c r="A243" s="124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7"/>
      <c r="M243" s="125"/>
      <c r="N243" s="63"/>
    </row>
    <row r="244" spans="1:14" ht="15">
      <c r="A244" s="124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7"/>
      <c r="M244" s="125"/>
      <c r="N244" s="63"/>
    </row>
    <row r="245" spans="1:14" ht="15">
      <c r="A245" s="124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7"/>
      <c r="M245" s="125"/>
      <c r="N245" s="63"/>
    </row>
    <row r="246" spans="1:14" ht="15">
      <c r="A246" s="124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7"/>
      <c r="M246" s="125"/>
      <c r="N246" s="63"/>
    </row>
    <row r="247" spans="1:14" ht="15">
      <c r="A247" s="124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7"/>
      <c r="M247" s="125"/>
      <c r="N247" s="63"/>
    </row>
    <row r="248" spans="1:14" ht="15">
      <c r="A248" s="124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7"/>
      <c r="M248" s="125"/>
      <c r="N248" s="63"/>
    </row>
    <row r="249" spans="1:14" ht="15">
      <c r="A249" s="124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7"/>
      <c r="M249" s="125"/>
      <c r="N249" s="63"/>
    </row>
    <row r="250" spans="1:14" ht="15">
      <c r="A250" s="124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7"/>
      <c r="M250" s="125"/>
      <c r="N250" s="63"/>
    </row>
    <row r="251" spans="1:14" ht="15">
      <c r="A251" s="124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7"/>
      <c r="M251" s="125"/>
      <c r="N251" s="63"/>
    </row>
    <row r="252" spans="1:14" ht="15">
      <c r="A252" s="124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7"/>
      <c r="M252" s="125"/>
      <c r="N252" s="63"/>
    </row>
    <row r="253" spans="1:14" ht="15">
      <c r="A253" s="124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7"/>
      <c r="M253" s="125"/>
      <c r="N253" s="63"/>
    </row>
    <row r="254" spans="1:14" ht="15">
      <c r="A254" s="124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7"/>
      <c r="M254" s="125"/>
      <c r="N254" s="63"/>
    </row>
    <row r="255" spans="1:14" ht="15">
      <c r="A255" s="124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7"/>
      <c r="M255" s="125"/>
      <c r="N255" s="63"/>
    </row>
    <row r="256" spans="1:14" ht="15">
      <c r="A256" s="124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7"/>
      <c r="M256" s="125"/>
      <c r="N256" s="63"/>
    </row>
    <row r="257" spans="1:14" ht="15">
      <c r="A257" s="124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7"/>
      <c r="M257" s="125"/>
      <c r="N257" s="63"/>
    </row>
    <row r="258" spans="1:14" ht="15">
      <c r="A258" s="124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7"/>
      <c r="M258" s="125"/>
      <c r="N258" s="63"/>
    </row>
    <row r="259" spans="1:14" ht="15">
      <c r="A259" s="124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7"/>
      <c r="M259" s="125"/>
      <c r="N259" s="63"/>
    </row>
    <row r="260" spans="1:14" ht="15">
      <c r="A260" s="124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7"/>
      <c r="M260" s="125"/>
      <c r="N260" s="63"/>
    </row>
    <row r="261" spans="1:14" ht="15">
      <c r="A261" s="124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7"/>
      <c r="M261" s="125"/>
      <c r="N261" s="63"/>
    </row>
    <row r="262" spans="1:14" ht="15">
      <c r="A262" s="124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7"/>
      <c r="M262" s="125"/>
      <c r="N262" s="63"/>
    </row>
    <row r="263" spans="1:14" ht="15">
      <c r="A263" s="124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7"/>
      <c r="M263" s="125"/>
      <c r="N263" s="63"/>
    </row>
    <row r="264" spans="1:14" ht="15">
      <c r="A264" s="124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7"/>
      <c r="M264" s="125"/>
      <c r="N264" s="63"/>
    </row>
    <row r="265" spans="1:14" ht="15">
      <c r="A265" s="124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7"/>
      <c r="M265" s="125"/>
      <c r="N265" s="63"/>
    </row>
    <row r="266" spans="1:14" ht="15">
      <c r="A266" s="124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7"/>
      <c r="M266" s="125"/>
      <c r="N266" s="63"/>
    </row>
    <row r="267" spans="1:14" ht="15">
      <c r="A267" s="124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7"/>
      <c r="M267" s="125"/>
      <c r="N267" s="63"/>
    </row>
    <row r="268" spans="1:14" ht="15">
      <c r="A268" s="124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7"/>
      <c r="M268" s="125"/>
      <c r="N268" s="63"/>
    </row>
    <row r="269" spans="1:14" ht="15">
      <c r="A269" s="124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7"/>
      <c r="M269" s="125"/>
      <c r="N269" s="63"/>
    </row>
    <row r="270" spans="1:14" ht="15">
      <c r="A270" s="124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7"/>
      <c r="M270" s="125"/>
      <c r="N270" s="63"/>
    </row>
    <row r="271" spans="1:14" ht="15">
      <c r="A271" s="124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7"/>
      <c r="M271" s="125"/>
      <c r="N271" s="63"/>
    </row>
    <row r="272" spans="1:14" ht="15">
      <c r="A272" s="124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7"/>
      <c r="M272" s="125"/>
      <c r="N272" s="63"/>
    </row>
    <row r="273" spans="1:14" ht="15">
      <c r="A273" s="124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7"/>
      <c r="M273" s="125"/>
      <c r="N273" s="63"/>
    </row>
    <row r="274" spans="1:14" ht="15">
      <c r="A274" s="124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7"/>
      <c r="M274" s="125"/>
      <c r="N274" s="63"/>
    </row>
    <row r="275" spans="1:14" ht="15">
      <c r="A275" s="124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7"/>
      <c r="M275" s="125"/>
      <c r="N275" s="63"/>
    </row>
    <row r="276" spans="1:14" ht="15">
      <c r="A276" s="124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7"/>
      <c r="M276" s="125"/>
      <c r="N276" s="63"/>
    </row>
    <row r="277" spans="1:14" ht="15">
      <c r="A277" s="124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7"/>
      <c r="M277" s="125"/>
      <c r="N277" s="63"/>
    </row>
    <row r="278" spans="1:14" ht="15">
      <c r="A278" s="124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7"/>
      <c r="M278" s="125"/>
      <c r="N278" s="63"/>
    </row>
    <row r="279" spans="1:14" ht="15">
      <c r="A279" s="124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7"/>
      <c r="M279" s="125"/>
      <c r="N279" s="63"/>
    </row>
    <row r="280" spans="1:14" ht="15">
      <c r="A280" s="124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7"/>
      <c r="M280" s="125"/>
      <c r="N280" s="63"/>
    </row>
    <row r="281" spans="1:14" ht="15">
      <c r="A281" s="124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7"/>
      <c r="M281" s="125"/>
      <c r="N281" s="63"/>
    </row>
    <row r="282" spans="1:14" ht="15">
      <c r="A282" s="124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7"/>
      <c r="M282" s="125"/>
      <c r="N282" s="63"/>
    </row>
    <row r="283" spans="1:14" ht="15">
      <c r="A283" s="124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7"/>
      <c r="M283" s="125"/>
      <c r="N283" s="63"/>
    </row>
    <row r="284" spans="1:14" ht="15">
      <c r="A284" s="124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7"/>
      <c r="M284" s="125"/>
      <c r="N284" s="63"/>
    </row>
    <row r="285" spans="1:14" ht="15">
      <c r="A285" s="124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7"/>
      <c r="M285" s="125"/>
      <c r="N285" s="63"/>
    </row>
    <row r="286" spans="1:14" ht="15">
      <c r="A286" s="124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7"/>
      <c r="M286" s="125"/>
      <c r="N286" s="63"/>
    </row>
    <row r="287" spans="1:14" ht="15">
      <c r="A287" s="124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7"/>
      <c r="M287" s="125"/>
      <c r="N287" s="63"/>
    </row>
    <row r="288" spans="1:14" ht="15">
      <c r="A288" s="124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7"/>
      <c r="M288" s="125"/>
      <c r="N288" s="63"/>
    </row>
    <row r="289" spans="1:14" ht="15">
      <c r="A289" s="124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7"/>
      <c r="M289" s="125"/>
      <c r="N289" s="63"/>
    </row>
    <row r="290" spans="1:14" ht="15">
      <c r="A290" s="124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7"/>
      <c r="M290" s="125"/>
      <c r="N290" s="63"/>
    </row>
    <row r="291" spans="1:14" ht="15">
      <c r="A291" s="124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7"/>
      <c r="M291" s="125"/>
      <c r="N291" s="63"/>
    </row>
    <row r="292" spans="1:14" ht="15">
      <c r="A292" s="124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7"/>
      <c r="M292" s="125"/>
      <c r="N292" s="63"/>
    </row>
    <row r="293" spans="1:14" ht="15">
      <c r="A293" s="124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7"/>
      <c r="M293" s="125"/>
      <c r="N293" s="63"/>
    </row>
    <row r="294" spans="1:14" ht="15">
      <c r="A294" s="124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7"/>
      <c r="M294" s="125"/>
      <c r="N294" s="63"/>
    </row>
    <row r="295" spans="1:14" ht="15">
      <c r="A295" s="124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7"/>
      <c r="M295" s="125"/>
      <c r="N295" s="63"/>
    </row>
    <row r="296" spans="1:14" ht="15">
      <c r="A296" s="124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7"/>
      <c r="M296" s="125"/>
      <c r="N296" s="63"/>
    </row>
    <row r="297" spans="1:14" ht="15">
      <c r="A297" s="124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7"/>
      <c r="M297" s="125"/>
      <c r="N297" s="63"/>
    </row>
    <row r="298" spans="1:14" ht="15">
      <c r="A298" s="124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7"/>
      <c r="M298" s="125"/>
      <c r="N298" s="63"/>
    </row>
    <row r="299" spans="1:14" ht="15">
      <c r="A299" s="124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7"/>
      <c r="M299" s="125"/>
      <c r="N299" s="63"/>
    </row>
    <row r="300" spans="1:14" ht="15">
      <c r="A300" s="124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7"/>
      <c r="M300" s="125"/>
      <c r="N300" s="63"/>
    </row>
    <row r="301" spans="1:14" ht="15">
      <c r="A301" s="124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7"/>
      <c r="M301" s="125"/>
      <c r="N301" s="63"/>
    </row>
    <row r="302" spans="1:14" ht="15">
      <c r="A302" s="124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7"/>
      <c r="M302" s="125"/>
      <c r="N302" s="63"/>
    </row>
    <row r="303" spans="1:14" ht="15">
      <c r="A303" s="124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7"/>
      <c r="M303" s="125"/>
      <c r="N303" s="63"/>
    </row>
    <row r="304" spans="1:14" ht="15">
      <c r="A304" s="124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7"/>
      <c r="M304" s="125"/>
      <c r="N304" s="63"/>
    </row>
    <row r="305" spans="1:14" ht="15">
      <c r="A305" s="124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7"/>
      <c r="M305" s="125"/>
      <c r="N305" s="63"/>
    </row>
    <row r="306" spans="1:14" ht="15">
      <c r="A306" s="124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7"/>
      <c r="M306" s="125"/>
      <c r="N306" s="63"/>
    </row>
    <row r="307" spans="1:14" ht="15">
      <c r="A307" s="124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7"/>
      <c r="M307" s="125"/>
      <c r="N307" s="63"/>
    </row>
    <row r="308" spans="1:14" ht="15">
      <c r="A308" s="124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7"/>
      <c r="M308" s="125"/>
      <c r="N308" s="63"/>
    </row>
    <row r="309" spans="1:14" ht="15">
      <c r="A309" s="124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7"/>
      <c r="M309" s="125"/>
      <c r="N309" s="63"/>
    </row>
    <row r="310" spans="1:14" ht="15">
      <c r="A310" s="124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7"/>
      <c r="M310" s="125"/>
      <c r="N310" s="63"/>
    </row>
    <row r="311" spans="1:14" ht="15">
      <c r="A311" s="124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7"/>
      <c r="M311" s="125"/>
      <c r="N311" s="63"/>
    </row>
    <row r="312" spans="1:14" ht="15">
      <c r="A312" s="124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7"/>
      <c r="M312" s="125"/>
      <c r="N312" s="63"/>
    </row>
    <row r="313" spans="1:14" ht="15">
      <c r="A313" s="124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7"/>
      <c r="M313" s="125"/>
      <c r="N313" s="63"/>
    </row>
    <row r="314" spans="1:14" ht="15">
      <c r="A314" s="124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7"/>
      <c r="M314" s="125"/>
      <c r="N314" s="63"/>
    </row>
    <row r="315" spans="1:14" ht="15">
      <c r="A315" s="124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7"/>
      <c r="M315" s="125"/>
      <c r="N315" s="63"/>
    </row>
    <row r="316" spans="1:14" ht="15">
      <c r="A316" s="124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7"/>
      <c r="M316" s="125"/>
      <c r="N316" s="63"/>
    </row>
    <row r="317" spans="1:14" ht="15">
      <c r="A317" s="124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7"/>
      <c r="M317" s="125"/>
      <c r="N317" s="63"/>
    </row>
    <row r="318" spans="1:14" ht="15">
      <c r="A318" s="124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7"/>
      <c r="M318" s="125"/>
      <c r="N318" s="63"/>
    </row>
    <row r="319" spans="1:14" ht="15">
      <c r="A319" s="124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7"/>
      <c r="M319" s="125"/>
      <c r="N319" s="63"/>
    </row>
    <row r="320" spans="1:14" ht="15">
      <c r="A320" s="124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7"/>
      <c r="M320" s="125"/>
      <c r="N320" s="63"/>
    </row>
    <row r="321" spans="1:14" ht="15">
      <c r="A321" s="124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7"/>
      <c r="M321" s="125"/>
      <c r="N321" s="63"/>
    </row>
    <row r="322" spans="1:14" ht="15">
      <c r="A322" s="124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7"/>
      <c r="M322" s="125"/>
      <c r="N322" s="63"/>
    </row>
    <row r="323" spans="1:14" ht="15">
      <c r="A323" s="124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7"/>
      <c r="M323" s="125"/>
      <c r="N323" s="63"/>
    </row>
    <row r="324" spans="1:14" ht="15">
      <c r="A324" s="124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7"/>
      <c r="M324" s="125"/>
      <c r="N324" s="63"/>
    </row>
    <row r="325" spans="1:14" ht="15">
      <c r="A325" s="124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7"/>
      <c r="M325" s="125"/>
      <c r="N325" s="63"/>
    </row>
    <row r="326" spans="1:14" ht="15">
      <c r="A326" s="124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7"/>
      <c r="M326" s="125"/>
      <c r="N326" s="63"/>
    </row>
    <row r="327" spans="1:14" ht="15">
      <c r="A327" s="124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7"/>
      <c r="M327" s="125"/>
      <c r="N327" s="63"/>
    </row>
    <row r="328" spans="1:14" ht="15">
      <c r="A328" s="124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7"/>
      <c r="M328" s="125"/>
      <c r="N328" s="63"/>
    </row>
    <row r="329" spans="1:14" ht="15">
      <c r="A329" s="124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7"/>
      <c r="M329" s="125"/>
      <c r="N329" s="63"/>
    </row>
    <row r="330" spans="1:14" ht="15">
      <c r="A330" s="124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7"/>
      <c r="M330" s="125"/>
      <c r="N330" s="63"/>
    </row>
    <row r="331" spans="1:14" ht="15">
      <c r="A331" s="124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7"/>
      <c r="M331" s="125"/>
      <c r="N331" s="63"/>
    </row>
    <row r="332" spans="1:14" ht="15">
      <c r="A332" s="124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7"/>
      <c r="M332" s="125"/>
      <c r="N332" s="63"/>
    </row>
    <row r="333" spans="1:14" ht="15">
      <c r="A333" s="124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7"/>
      <c r="M333" s="125"/>
      <c r="N333" s="63"/>
    </row>
    <row r="334" spans="1:14" ht="15">
      <c r="A334" s="124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7"/>
      <c r="M334" s="125"/>
      <c r="N334" s="63"/>
    </row>
    <row r="335" spans="1:14" ht="15">
      <c r="A335" s="124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7"/>
      <c r="M335" s="125"/>
      <c r="N335" s="63"/>
    </row>
    <row r="336" spans="1:14" ht="15">
      <c r="A336" s="124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7"/>
      <c r="M336" s="125"/>
      <c r="N336" s="63"/>
    </row>
    <row r="337" spans="1:14" ht="15">
      <c r="A337" s="124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7"/>
      <c r="M337" s="125"/>
      <c r="N337" s="63"/>
    </row>
    <row r="338" spans="1:14" ht="15">
      <c r="A338" s="124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7"/>
      <c r="M338" s="125"/>
      <c r="N338" s="63"/>
    </row>
    <row r="339" spans="1:14" ht="15">
      <c r="A339" s="124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7"/>
      <c r="M339" s="125"/>
      <c r="N339" s="63"/>
    </row>
    <row r="340" spans="1:14" ht="15">
      <c r="A340" s="124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7"/>
      <c r="M340" s="125"/>
      <c r="N340" s="63"/>
    </row>
    <row r="341" spans="1:14" ht="15">
      <c r="A341" s="124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7"/>
      <c r="M341" s="125"/>
      <c r="N341" s="63"/>
    </row>
    <row r="342" spans="1:14" ht="15">
      <c r="A342" s="124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7"/>
      <c r="M342" s="125"/>
      <c r="N342" s="63"/>
    </row>
    <row r="343" spans="1:14" ht="15">
      <c r="A343" s="124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7"/>
      <c r="M343" s="125"/>
      <c r="N343" s="63"/>
    </row>
    <row r="344" spans="1:14" ht="15">
      <c r="A344" s="124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7"/>
      <c r="M344" s="125"/>
      <c r="N344" s="63"/>
    </row>
    <row r="345" spans="1:14" ht="15">
      <c r="A345" s="124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7"/>
      <c r="M345" s="125"/>
      <c r="N345" s="63"/>
    </row>
    <row r="346" spans="1:14" ht="15">
      <c r="A346" s="124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7"/>
      <c r="M346" s="125"/>
      <c r="N346" s="63"/>
    </row>
    <row r="347" spans="1:14" ht="15">
      <c r="A347" s="124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7"/>
      <c r="M347" s="125"/>
      <c r="N347" s="63"/>
    </row>
    <row r="348" spans="1:14" ht="15">
      <c r="A348" s="124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7"/>
      <c r="M348" s="125"/>
      <c r="N348" s="63"/>
    </row>
    <row r="349" spans="1:14" ht="15">
      <c r="A349" s="124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7"/>
      <c r="M349" s="125"/>
      <c r="N349" s="63"/>
    </row>
    <row r="350" spans="1:14" ht="15">
      <c r="A350" s="124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7"/>
      <c r="M350" s="125"/>
      <c r="N350" s="63"/>
    </row>
    <row r="351" spans="1:14" ht="15">
      <c r="A351" s="124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7"/>
      <c r="M351" s="125"/>
      <c r="N351" s="63"/>
    </row>
    <row r="352" spans="1:14" ht="15">
      <c r="A352" s="124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7"/>
      <c r="M352" s="125"/>
      <c r="N352" s="63"/>
    </row>
    <row r="353" spans="1:14" ht="15">
      <c r="A353" s="124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7"/>
      <c r="M353" s="125"/>
      <c r="N353" s="63"/>
    </row>
    <row r="354" spans="1:14" ht="15">
      <c r="A354" s="124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7"/>
      <c r="M354" s="125"/>
      <c r="N354" s="63"/>
    </row>
    <row r="355" spans="1:14" ht="15">
      <c r="A355" s="124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7"/>
      <c r="M355" s="125"/>
      <c r="N355" s="63"/>
    </row>
    <row r="356" spans="1:14" ht="15">
      <c r="A356" s="124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7"/>
      <c r="M356" s="125"/>
      <c r="N356" s="63"/>
    </row>
    <row r="357" spans="1:14" ht="15">
      <c r="A357" s="124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7"/>
      <c r="M357" s="125"/>
      <c r="N357" s="63"/>
    </row>
    <row r="358" spans="1:14" ht="15">
      <c r="A358" s="124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7"/>
      <c r="M358" s="125"/>
      <c r="N358" s="63"/>
    </row>
    <row r="359" spans="1:14" ht="15">
      <c r="A359" s="124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7"/>
      <c r="M359" s="125"/>
      <c r="N359" s="63"/>
    </row>
    <row r="360" spans="1:14" ht="15">
      <c r="A360" s="124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7"/>
      <c r="M360" s="125"/>
      <c r="N360" s="63"/>
    </row>
    <row r="361" spans="1:14" ht="15">
      <c r="A361" s="124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7"/>
      <c r="M361" s="125"/>
      <c r="N361" s="63"/>
    </row>
    <row r="362" spans="1:14" ht="15">
      <c r="A362" s="124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7"/>
      <c r="M362" s="125"/>
      <c r="N362" s="63"/>
    </row>
    <row r="363" spans="1:14" ht="15">
      <c r="A363" s="124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7"/>
      <c r="M363" s="125"/>
      <c r="N363" s="63"/>
    </row>
    <row r="364" spans="1:14" ht="15">
      <c r="A364" s="124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7"/>
      <c r="M364" s="125"/>
      <c r="N364" s="63"/>
    </row>
    <row r="365" spans="1:14" ht="15">
      <c r="A365" s="124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7"/>
      <c r="M365" s="125"/>
      <c r="N365" s="63"/>
    </row>
    <row r="366" spans="1:14" ht="15">
      <c r="A366" s="124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7"/>
      <c r="M366" s="125"/>
      <c r="N366" s="63"/>
    </row>
    <row r="367" spans="1:14" ht="15">
      <c r="A367" s="124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7"/>
      <c r="M367" s="125"/>
      <c r="N367" s="63"/>
    </row>
    <row r="368" spans="1:14" ht="15">
      <c r="A368" s="124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7"/>
      <c r="M368" s="125"/>
      <c r="N368" s="63"/>
    </row>
    <row r="369" spans="1:14" ht="15">
      <c r="A369" s="124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7"/>
      <c r="M369" s="125"/>
      <c r="N369" s="63"/>
    </row>
    <row r="370" spans="1:14" ht="15">
      <c r="A370" s="124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7"/>
      <c r="M370" s="125"/>
      <c r="N370" s="63"/>
    </row>
    <row r="371" spans="1:14" ht="15">
      <c r="A371" s="124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7"/>
      <c r="M371" s="125"/>
      <c r="N371" s="63"/>
    </row>
    <row r="372" spans="1:14" ht="15">
      <c r="A372" s="124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7"/>
      <c r="M372" s="125"/>
      <c r="N372" s="63"/>
    </row>
    <row r="373" spans="1:14" ht="15">
      <c r="A373" s="124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7"/>
      <c r="M373" s="125"/>
      <c r="N373" s="63"/>
    </row>
    <row r="374" spans="1:14" ht="15">
      <c r="A374" s="124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7"/>
      <c r="M374" s="125"/>
      <c r="N374" s="63"/>
    </row>
    <row r="375" spans="1:14" ht="15">
      <c r="A375" s="124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7"/>
      <c r="M375" s="125"/>
      <c r="N375" s="63"/>
    </row>
    <row r="376" spans="1:14" ht="15">
      <c r="A376" s="124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7"/>
      <c r="M376" s="125"/>
      <c r="N376" s="63"/>
    </row>
    <row r="377" spans="1:14" ht="15">
      <c r="A377" s="124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7"/>
      <c r="M377" s="125"/>
      <c r="N377" s="63"/>
    </row>
    <row r="378" spans="1:14" ht="15">
      <c r="A378" s="124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7"/>
      <c r="M378" s="125"/>
      <c r="N378" s="63"/>
    </row>
    <row r="379" spans="1:14" ht="15">
      <c r="A379" s="124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7"/>
      <c r="M379" s="125"/>
      <c r="N379" s="63"/>
    </row>
    <row r="380" spans="1:14" ht="15">
      <c r="A380" s="124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7"/>
      <c r="M380" s="125"/>
      <c r="N380" s="63"/>
    </row>
    <row r="381" spans="1:14" ht="15">
      <c r="A381" s="124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7"/>
      <c r="M381" s="125"/>
      <c r="N381" s="63"/>
    </row>
    <row r="382" spans="1:14" ht="15">
      <c r="A382" s="124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7"/>
      <c r="M382" s="125"/>
      <c r="N382" s="63"/>
    </row>
    <row r="383" spans="1:14" ht="15">
      <c r="A383" s="124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7"/>
      <c r="M383" s="125"/>
      <c r="N383" s="63"/>
    </row>
    <row r="384" spans="1:14" ht="15">
      <c r="A384" s="124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7"/>
      <c r="M384" s="125"/>
      <c r="N384" s="63"/>
    </row>
    <row r="385" spans="1:14" ht="15">
      <c r="A385" s="124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7"/>
      <c r="M385" s="125"/>
      <c r="N385" s="63"/>
    </row>
    <row r="386" spans="1:14" ht="15">
      <c r="A386" s="124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7"/>
      <c r="M386" s="125"/>
      <c r="N386" s="63"/>
    </row>
    <row r="387" spans="1:14" ht="15">
      <c r="A387" s="124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7"/>
      <c r="M387" s="125"/>
      <c r="N387" s="63"/>
    </row>
    <row r="388" spans="1:14" ht="15">
      <c r="A388" s="124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7"/>
      <c r="M388" s="125"/>
      <c r="N388" s="63"/>
    </row>
    <row r="389" spans="1:14" ht="15">
      <c r="A389" s="124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7"/>
      <c r="M389" s="125"/>
      <c r="N389" s="63"/>
    </row>
    <row r="390" spans="1:14" ht="15">
      <c r="A390" s="124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7"/>
      <c r="M390" s="125"/>
      <c r="N390" s="63"/>
    </row>
    <row r="391" spans="1:14" ht="15">
      <c r="A391" s="124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7"/>
      <c r="M391" s="125"/>
      <c r="N391" s="63"/>
    </row>
    <row r="392" spans="1:14" ht="15">
      <c r="A392" s="124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7"/>
      <c r="M392" s="125"/>
      <c r="N392" s="63"/>
    </row>
    <row r="393" spans="1:14" ht="15">
      <c r="A393" s="124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7"/>
      <c r="M393" s="125"/>
      <c r="N393" s="63"/>
    </row>
    <row r="394" spans="1:14" ht="15">
      <c r="A394" s="124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7"/>
      <c r="M394" s="125"/>
      <c r="N394" s="63"/>
    </row>
    <row r="395" spans="1:14" ht="15">
      <c r="A395" s="124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7"/>
      <c r="M395" s="125"/>
      <c r="N395" s="63"/>
    </row>
    <row r="396" spans="1:14" ht="15">
      <c r="A396" s="124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7"/>
      <c r="M396" s="125"/>
      <c r="N396" s="63"/>
    </row>
    <row r="397" spans="1:14" ht="15">
      <c r="A397" s="124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7"/>
      <c r="M397" s="125"/>
      <c r="N397" s="63"/>
    </row>
    <row r="398" spans="1:14" ht="15">
      <c r="A398" s="124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7"/>
      <c r="M398" s="125"/>
      <c r="N398" s="63"/>
    </row>
    <row r="399" spans="1:14" ht="15">
      <c r="A399" s="124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7"/>
      <c r="M399" s="125"/>
      <c r="N399" s="63"/>
    </row>
    <row r="400" spans="1:14" ht="15">
      <c r="A400" s="124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7"/>
      <c r="M400" s="125"/>
      <c r="N400" s="63"/>
    </row>
    <row r="401" spans="1:14" ht="15">
      <c r="A401" s="124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7"/>
      <c r="M401" s="125"/>
      <c r="N401" s="63"/>
    </row>
    <row r="402" spans="1:14" ht="15">
      <c r="A402" s="124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7"/>
      <c r="M402" s="125"/>
      <c r="N402" s="63"/>
    </row>
    <row r="403" spans="1:14" ht="15">
      <c r="A403" s="124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7"/>
      <c r="M403" s="125"/>
      <c r="N403" s="63"/>
    </row>
    <row r="404" spans="1:14" ht="15">
      <c r="A404" s="124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7"/>
      <c r="M404" s="125"/>
      <c r="N404" s="63"/>
    </row>
    <row r="405" spans="1:14" ht="15">
      <c r="A405" s="124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7"/>
      <c r="M405" s="125"/>
      <c r="N405" s="63"/>
    </row>
    <row r="406" spans="1:14" ht="15">
      <c r="A406" s="124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7"/>
      <c r="M406" s="125"/>
      <c r="N406" s="63"/>
    </row>
    <row r="407" spans="1:14" ht="15">
      <c r="A407" s="124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7"/>
      <c r="M407" s="125"/>
      <c r="N407" s="63"/>
    </row>
    <row r="408" spans="1:14" ht="15">
      <c r="A408" s="124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7"/>
      <c r="M408" s="125"/>
      <c r="N408" s="63"/>
    </row>
    <row r="409" spans="1:14" ht="15">
      <c r="A409" s="124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7"/>
      <c r="M409" s="125"/>
      <c r="N409" s="63"/>
    </row>
    <row r="410" spans="1:14" ht="15">
      <c r="A410" s="124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7"/>
      <c r="M410" s="125"/>
      <c r="N410" s="63"/>
    </row>
    <row r="411" spans="1:14" ht="15">
      <c r="A411" s="124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7"/>
      <c r="M411" s="125"/>
      <c r="N411" s="63"/>
    </row>
    <row r="412" spans="1:14" ht="15">
      <c r="A412" s="124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7"/>
      <c r="M412" s="125"/>
      <c r="N412" s="63"/>
    </row>
    <row r="413" spans="1:14" ht="15">
      <c r="A413" s="124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7"/>
      <c r="M413" s="125"/>
      <c r="N413" s="63"/>
    </row>
    <row r="414" spans="1:14" ht="15">
      <c r="A414" s="124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7"/>
      <c r="M414" s="125"/>
      <c r="N414" s="63"/>
    </row>
    <row r="415" spans="1:14" ht="15">
      <c r="A415" s="124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7"/>
      <c r="M415" s="125"/>
      <c r="N415" s="63"/>
    </row>
    <row r="416" spans="1:14" ht="15">
      <c r="A416" s="124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7"/>
      <c r="M416" s="125"/>
      <c r="N416" s="63"/>
    </row>
    <row r="417" spans="1:14" ht="15">
      <c r="A417" s="124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7"/>
      <c r="M417" s="125"/>
      <c r="N417" s="63"/>
    </row>
    <row r="418" spans="1:14" ht="15">
      <c r="A418" s="124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7"/>
      <c r="M418" s="125"/>
      <c r="N418" s="63"/>
    </row>
    <row r="419" spans="1:14" ht="15">
      <c r="A419" s="124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7"/>
      <c r="M419" s="125"/>
      <c r="N419" s="63"/>
    </row>
    <row r="420" spans="1:14" ht="15">
      <c r="A420" s="124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7"/>
      <c r="M420" s="125"/>
      <c r="N420" s="63"/>
    </row>
    <row r="421" spans="1:14" ht="15">
      <c r="A421" s="124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7"/>
      <c r="M421" s="125"/>
      <c r="N421" s="63"/>
    </row>
    <row r="422" spans="1:14" ht="15">
      <c r="A422" s="124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7"/>
      <c r="M422" s="125"/>
      <c r="N422" s="63"/>
    </row>
    <row r="423" spans="1:14" ht="15">
      <c r="A423" s="124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7"/>
      <c r="M423" s="125"/>
      <c r="N423" s="63"/>
    </row>
    <row r="424" spans="1:14" ht="15">
      <c r="A424" s="124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7"/>
      <c r="M424" s="125"/>
      <c r="N424" s="63"/>
    </row>
    <row r="425" spans="1:14" ht="15">
      <c r="A425" s="124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7"/>
      <c r="M425" s="125"/>
      <c r="N425" s="63"/>
    </row>
    <row r="426" spans="1:14" ht="15">
      <c r="A426" s="124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7"/>
      <c r="M426" s="125"/>
      <c r="N426" s="63"/>
    </row>
    <row r="427" spans="1:14" ht="15">
      <c r="A427" s="124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7"/>
      <c r="M427" s="125"/>
      <c r="N427" s="63"/>
    </row>
    <row r="428" spans="1:14" ht="15">
      <c r="A428" s="124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7"/>
      <c r="M428" s="125"/>
      <c r="N428" s="63"/>
    </row>
    <row r="429" spans="1:14" ht="15">
      <c r="A429" s="124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7"/>
      <c r="M429" s="125"/>
      <c r="N429" s="63"/>
    </row>
    <row r="430" spans="1:14" ht="15">
      <c r="A430" s="124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7"/>
      <c r="M430" s="125"/>
      <c r="N430" s="63"/>
    </row>
    <row r="431" spans="1:14" ht="15">
      <c r="A431" s="124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7"/>
      <c r="M431" s="125"/>
      <c r="N431" s="63"/>
    </row>
    <row r="432" spans="1:14" ht="15">
      <c r="A432" s="124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7"/>
      <c r="M432" s="125"/>
      <c r="N432" s="63"/>
    </row>
    <row r="433" spans="1:14" ht="15">
      <c r="A433" s="124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7"/>
      <c r="M433" s="125"/>
      <c r="N433" s="63"/>
    </row>
    <row r="434" spans="1:14" ht="15">
      <c r="A434" s="124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7"/>
      <c r="M434" s="125"/>
      <c r="N434" s="63"/>
    </row>
    <row r="435" spans="1:14" ht="15">
      <c r="A435" s="124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7"/>
      <c r="M435" s="125"/>
      <c r="N435" s="63"/>
    </row>
    <row r="436" spans="1:14" ht="15">
      <c r="A436" s="124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7"/>
      <c r="M436" s="125"/>
      <c r="N436" s="63"/>
    </row>
    <row r="437" spans="1:14" ht="15">
      <c r="A437" s="124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7"/>
      <c r="M437" s="125"/>
      <c r="N437" s="63"/>
    </row>
    <row r="438" spans="1:14" ht="15">
      <c r="A438" s="124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7"/>
      <c r="M438" s="125"/>
      <c r="N438" s="63"/>
    </row>
    <row r="439" spans="1:14" ht="15">
      <c r="A439" s="124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7"/>
      <c r="M439" s="125"/>
      <c r="N439" s="63"/>
    </row>
    <row r="440" spans="1:14" ht="15">
      <c r="A440" s="124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7"/>
      <c r="M440" s="125"/>
      <c r="N440" s="63"/>
    </row>
    <row r="441" spans="1:14" ht="15">
      <c r="A441" s="124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7"/>
      <c r="M441" s="125"/>
      <c r="N441" s="63"/>
    </row>
    <row r="442" spans="1:14" ht="15">
      <c r="A442" s="124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7"/>
      <c r="M442" s="125"/>
      <c r="N442" s="63"/>
    </row>
    <row r="443" spans="1:14" ht="15">
      <c r="A443" s="124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7"/>
      <c r="M443" s="125"/>
      <c r="N443" s="63"/>
    </row>
    <row r="444" spans="1:14" ht="15">
      <c r="A444" s="124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7"/>
      <c r="M444" s="125"/>
      <c r="N444" s="63"/>
    </row>
    <row r="445" spans="1:14" ht="15">
      <c r="A445" s="124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7"/>
      <c r="M445" s="125"/>
      <c r="N445" s="63"/>
    </row>
    <row r="446" spans="1:14" ht="15">
      <c r="A446" s="124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7"/>
      <c r="M446" s="125"/>
      <c r="N446" s="63"/>
    </row>
    <row r="447" spans="1:14" ht="15">
      <c r="A447" s="124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7"/>
      <c r="M447" s="125"/>
      <c r="N447" s="63"/>
    </row>
    <row r="448" spans="1:14" ht="15">
      <c r="A448" s="124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7"/>
      <c r="M448" s="125"/>
      <c r="N448" s="63"/>
    </row>
    <row r="449" spans="1:14" ht="15">
      <c r="A449" s="124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7"/>
      <c r="M449" s="125"/>
      <c r="N449" s="63"/>
    </row>
    <row r="450" spans="1:14" ht="15">
      <c r="A450" s="124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7"/>
      <c r="M450" s="125"/>
      <c r="N450" s="63"/>
    </row>
    <row r="451" spans="1:14" ht="15">
      <c r="A451" s="124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7"/>
      <c r="M451" s="125"/>
      <c r="N451" s="63"/>
    </row>
    <row r="452" spans="1:14" ht="15">
      <c r="A452" s="124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7"/>
      <c r="M452" s="125"/>
      <c r="N452" s="63"/>
    </row>
    <row r="453" spans="1:14" ht="15">
      <c r="A453" s="124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7"/>
      <c r="M453" s="125"/>
      <c r="N453" s="63"/>
    </row>
    <row r="454" spans="1:14" ht="15">
      <c r="A454" s="124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7"/>
      <c r="M454" s="125"/>
      <c r="N454" s="63"/>
    </row>
    <row r="455" spans="1:14" ht="15">
      <c r="A455" s="124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7"/>
      <c r="M455" s="125"/>
      <c r="N455" s="63"/>
    </row>
    <row r="456" spans="1:14" ht="15">
      <c r="A456" s="124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7"/>
      <c r="M456" s="125"/>
      <c r="N456" s="63"/>
    </row>
    <row r="457" spans="1:14" ht="15">
      <c r="A457" s="124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7"/>
      <c r="M457" s="125"/>
      <c r="N457" s="63"/>
    </row>
    <row r="458" spans="1:14" ht="15">
      <c r="A458" s="124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7"/>
      <c r="M458" s="125"/>
      <c r="N458" s="63"/>
    </row>
    <row r="459" spans="1:14" ht="15">
      <c r="A459" s="124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7"/>
      <c r="M459" s="125"/>
      <c r="N459" s="63"/>
    </row>
    <row r="460" spans="1:14" ht="15">
      <c r="A460" s="124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7"/>
      <c r="M460" s="125"/>
      <c r="N460" s="63"/>
    </row>
    <row r="461" spans="1:14" ht="15">
      <c r="A461" s="124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7"/>
      <c r="M461" s="125"/>
      <c r="N461" s="63"/>
    </row>
    <row r="462" spans="1:14" ht="15">
      <c r="A462" s="124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7"/>
      <c r="M462" s="125"/>
      <c r="N462" s="63"/>
    </row>
    <row r="463" spans="1:14" ht="15">
      <c r="A463" s="124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7"/>
      <c r="M463" s="125"/>
      <c r="N463" s="63"/>
    </row>
    <row r="464" spans="1:14" ht="15">
      <c r="A464" s="124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7"/>
      <c r="M464" s="125"/>
      <c r="N464" s="63"/>
    </row>
    <row r="465" spans="1:14" ht="15">
      <c r="A465" s="124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7"/>
      <c r="M465" s="125"/>
      <c r="N465" s="63"/>
    </row>
    <row r="466" spans="1:14" ht="15">
      <c r="A466" s="124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7"/>
      <c r="M466" s="125"/>
      <c r="N466" s="63"/>
    </row>
    <row r="467" spans="1:14" ht="15">
      <c r="A467" s="124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7"/>
      <c r="M467" s="125"/>
      <c r="N467" s="63"/>
    </row>
    <row r="468" spans="1:14" ht="15">
      <c r="A468" s="124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7"/>
      <c r="M468" s="125"/>
      <c r="N468" s="63"/>
    </row>
    <row r="469" spans="1:14" ht="15">
      <c r="A469" s="124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7"/>
      <c r="M469" s="125"/>
      <c r="N469" s="63"/>
    </row>
    <row r="470" spans="1:14" ht="15">
      <c r="A470" s="124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7"/>
      <c r="M470" s="125"/>
      <c r="N470" s="63"/>
    </row>
    <row r="471" spans="1:14" ht="15">
      <c r="A471" s="124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7"/>
      <c r="M471" s="125"/>
      <c r="N471" s="63"/>
    </row>
    <row r="472" spans="1:14" ht="15">
      <c r="A472" s="124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7"/>
      <c r="M472" s="125"/>
      <c r="N472" s="63"/>
    </row>
    <row r="473" spans="1:14" ht="15">
      <c r="A473" s="124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7"/>
      <c r="M473" s="125"/>
      <c r="N473" s="63"/>
    </row>
    <row r="474" spans="1:14" ht="15">
      <c r="A474" s="124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7"/>
      <c r="M474" s="125"/>
      <c r="N474" s="63"/>
    </row>
    <row r="475" spans="1:14" ht="15">
      <c r="A475" s="124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7"/>
      <c r="M475" s="125"/>
      <c r="N475" s="63"/>
    </row>
    <row r="476" spans="1:14" ht="15">
      <c r="A476" s="124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7"/>
      <c r="M476" s="125"/>
      <c r="N476" s="63"/>
    </row>
    <row r="477" spans="1:14" ht="15">
      <c r="A477" s="124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7"/>
      <c r="M477" s="125"/>
      <c r="N477" s="63"/>
    </row>
    <row r="478" spans="1:14" ht="15">
      <c r="A478" s="124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7"/>
      <c r="M478" s="125"/>
      <c r="N478" s="63"/>
    </row>
    <row r="479" spans="1:14" ht="15">
      <c r="A479" s="124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7"/>
      <c r="M479" s="125"/>
      <c r="N479" s="63"/>
    </row>
    <row r="480" spans="1:14" ht="15">
      <c r="A480" s="124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7"/>
      <c r="M480" s="125"/>
      <c r="N480" s="63"/>
    </row>
    <row r="481" spans="1:14" ht="15">
      <c r="A481" s="124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7"/>
      <c r="M481" s="125"/>
      <c r="N481" s="63"/>
    </row>
    <row r="482" spans="1:14" ht="15">
      <c r="A482" s="124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7"/>
      <c r="M482" s="125"/>
      <c r="N482" s="63"/>
    </row>
    <row r="483" spans="1:14" ht="15">
      <c r="A483" s="124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7"/>
      <c r="M483" s="125"/>
      <c r="N483" s="63"/>
    </row>
    <row r="484" spans="1:14" ht="15">
      <c r="A484" s="124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7"/>
      <c r="M484" s="125"/>
      <c r="N484" s="63"/>
    </row>
    <row r="485" spans="1:14" ht="15">
      <c r="A485" s="124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7"/>
      <c r="M485" s="125"/>
      <c r="N485" s="63"/>
    </row>
    <row r="486" spans="1:14" ht="15">
      <c r="A486" s="124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7"/>
      <c r="M486" s="125"/>
      <c r="N486" s="63"/>
    </row>
    <row r="487" spans="1:14" ht="15">
      <c r="A487" s="124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7"/>
      <c r="M487" s="125"/>
      <c r="N487" s="63"/>
    </row>
    <row r="488" spans="1:14" ht="15">
      <c r="A488" s="124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7"/>
      <c r="M488" s="125"/>
      <c r="N488" s="63"/>
    </row>
    <row r="489" spans="1:14" ht="15">
      <c r="A489" s="124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7"/>
      <c r="M489" s="125"/>
      <c r="N489" s="63"/>
    </row>
    <row r="490" spans="1:14" ht="15">
      <c r="A490" s="124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7"/>
      <c r="M490" s="125"/>
      <c r="N490" s="63"/>
    </row>
    <row r="491" spans="1:14" ht="15">
      <c r="A491" s="124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7"/>
      <c r="M491" s="125"/>
      <c r="N491" s="63"/>
    </row>
    <row r="492" spans="1:14" ht="15">
      <c r="A492" s="124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7"/>
      <c r="M492" s="125"/>
      <c r="N492" s="63"/>
    </row>
    <row r="493" spans="1:14" ht="15">
      <c r="A493" s="124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7"/>
      <c r="M493" s="125"/>
      <c r="N493" s="63"/>
    </row>
    <row r="494" spans="1:14" ht="15">
      <c r="A494" s="124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7"/>
      <c r="M494" s="125"/>
      <c r="N494" s="63"/>
    </row>
    <row r="495" spans="1:14" ht="15">
      <c r="A495" s="124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7"/>
      <c r="M495" s="125"/>
      <c r="N495" s="63"/>
    </row>
    <row r="496" spans="1:14" ht="15">
      <c r="A496" s="124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7"/>
      <c r="M496" s="125"/>
      <c r="N496" s="63"/>
    </row>
    <row r="497" spans="1:14" ht="15">
      <c r="A497" s="124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7"/>
      <c r="M497" s="125"/>
      <c r="N497" s="63"/>
    </row>
    <row r="498" spans="1:14" ht="15">
      <c r="A498" s="124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7"/>
      <c r="M498" s="125"/>
      <c r="N498" s="63"/>
    </row>
    <row r="499" spans="1:14" ht="15">
      <c r="A499" s="124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7"/>
      <c r="M499" s="125"/>
      <c r="N499" s="63"/>
    </row>
    <row r="500" spans="1:14" ht="15">
      <c r="A500" s="124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7"/>
      <c r="M500" s="125"/>
      <c r="N500" s="63"/>
    </row>
    <row r="501" spans="1:14" ht="15">
      <c r="A501" s="124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7"/>
      <c r="M501" s="125"/>
      <c r="N501" s="63"/>
    </row>
    <row r="502" spans="1:14" ht="15">
      <c r="A502" s="124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7"/>
      <c r="M502" s="125"/>
      <c r="N502" s="63"/>
    </row>
    <row r="503" spans="1:14" ht="15">
      <c r="A503" s="124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7"/>
      <c r="M503" s="125"/>
      <c r="N503" s="63"/>
    </row>
    <row r="504" spans="1:14" ht="12.75">
      <c r="M504" s="10"/>
    </row>
    <row r="505" spans="1:14" ht="12.75">
      <c r="M505" s="10"/>
    </row>
    <row r="506" spans="1:14" ht="12.75">
      <c r="M506" s="10"/>
    </row>
    <row r="507" spans="1:14" ht="12.75">
      <c r="M507" s="10"/>
    </row>
    <row r="508" spans="1:14" ht="12.75">
      <c r="M508" s="10"/>
    </row>
    <row r="509" spans="1:14" ht="12.75">
      <c r="M509" s="10"/>
    </row>
    <row r="510" spans="1:14" ht="12.75">
      <c r="M510" s="10"/>
    </row>
    <row r="511" spans="1:14" ht="12.75">
      <c r="M511" s="10"/>
    </row>
    <row r="512" spans="1:14" ht="12.75">
      <c r="M512" s="10"/>
    </row>
    <row r="513" spans="13:13" ht="12.75">
      <c r="M513" s="10"/>
    </row>
    <row r="514" spans="13:13" ht="12.75">
      <c r="M514" s="10"/>
    </row>
    <row r="515" spans="13:13" ht="12.75">
      <c r="M515" s="10"/>
    </row>
    <row r="516" spans="13:13" ht="12.75">
      <c r="M516" s="10"/>
    </row>
    <row r="517" spans="13:13" ht="12.75">
      <c r="M517" s="10"/>
    </row>
    <row r="518" spans="13:13" ht="12.75">
      <c r="M518" s="10"/>
    </row>
    <row r="519" spans="13:13" ht="12.75">
      <c r="M519" s="10"/>
    </row>
    <row r="520" spans="13:13" ht="12.75">
      <c r="M520" s="10"/>
    </row>
    <row r="521" spans="13:13" ht="12.75">
      <c r="M521" s="10"/>
    </row>
    <row r="522" spans="13:13" ht="12.75">
      <c r="M522" s="10"/>
    </row>
    <row r="523" spans="13:13" ht="12.75">
      <c r="M523" s="10"/>
    </row>
    <row r="524" spans="13:13" ht="12.75">
      <c r="M524" s="10"/>
    </row>
    <row r="525" spans="13:13" ht="12.75">
      <c r="M525" s="10"/>
    </row>
    <row r="526" spans="13:13" ht="12.75">
      <c r="M526" s="10"/>
    </row>
    <row r="527" spans="13:13" ht="12.75">
      <c r="M527" s="10"/>
    </row>
    <row r="528" spans="13:13" ht="12.75">
      <c r="M528" s="10"/>
    </row>
    <row r="529" spans="13:13" ht="12.75">
      <c r="M529" s="10"/>
    </row>
    <row r="530" spans="13:13" ht="12.75">
      <c r="M530" s="10"/>
    </row>
    <row r="531" spans="13:13" ht="12.75">
      <c r="M531" s="10"/>
    </row>
    <row r="532" spans="13:13" ht="12.75">
      <c r="M532" s="10"/>
    </row>
    <row r="533" spans="13:13" ht="12.75">
      <c r="M533" s="10"/>
    </row>
    <row r="534" spans="13:13" ht="12.75">
      <c r="M534" s="10"/>
    </row>
    <row r="535" spans="13:13" ht="12.75">
      <c r="M535" s="10"/>
    </row>
    <row r="536" spans="13:13" ht="12.75">
      <c r="M536" s="10"/>
    </row>
    <row r="537" spans="13:13" ht="12.75">
      <c r="M537" s="10"/>
    </row>
    <row r="538" spans="13:13" ht="12.75">
      <c r="M538" s="10"/>
    </row>
    <row r="539" spans="13:13" ht="12.75">
      <c r="M539" s="10"/>
    </row>
    <row r="540" spans="13:13" ht="12.75">
      <c r="M540" s="10"/>
    </row>
    <row r="541" spans="13:13" ht="12.75">
      <c r="M541" s="10"/>
    </row>
    <row r="542" spans="13:13" ht="12.75">
      <c r="M542" s="10"/>
    </row>
    <row r="543" spans="13:13" ht="12.75">
      <c r="M543" s="10"/>
    </row>
    <row r="544" spans="13:13" ht="12.75">
      <c r="M544" s="10"/>
    </row>
    <row r="545" spans="13:13" ht="12.75">
      <c r="M545" s="10"/>
    </row>
    <row r="546" spans="13:13" ht="12.75">
      <c r="M546" s="10"/>
    </row>
    <row r="547" spans="13:13" ht="12.75">
      <c r="M547" s="10"/>
    </row>
    <row r="548" spans="13:13" ht="12.75">
      <c r="M548" s="10"/>
    </row>
    <row r="549" spans="13:13" ht="12.75">
      <c r="M549" s="10"/>
    </row>
    <row r="550" spans="13:13" ht="12.75">
      <c r="M550" s="10"/>
    </row>
    <row r="551" spans="13:13" ht="12.75">
      <c r="M551" s="10"/>
    </row>
    <row r="552" spans="13:13" ht="12.75">
      <c r="M552" s="10"/>
    </row>
    <row r="553" spans="13:13" ht="12.75">
      <c r="M553" s="10"/>
    </row>
    <row r="554" spans="13:13" ht="12.75">
      <c r="M554" s="10"/>
    </row>
    <row r="555" spans="13:13" ht="12.75">
      <c r="M555" s="10"/>
    </row>
    <row r="556" spans="13:13" ht="12.75">
      <c r="M556" s="10"/>
    </row>
    <row r="557" spans="13:13" ht="12.75">
      <c r="M557" s="10"/>
    </row>
    <row r="558" spans="13:13" ht="12.75">
      <c r="M558" s="10"/>
    </row>
    <row r="559" spans="13:13" ht="12.75">
      <c r="M559" s="10"/>
    </row>
    <row r="560" spans="13:13" ht="12.75">
      <c r="M560" s="10"/>
    </row>
    <row r="561" spans="13:13" ht="12.75">
      <c r="M561" s="10"/>
    </row>
    <row r="562" spans="13:13" ht="12.75">
      <c r="M562" s="10"/>
    </row>
    <row r="563" spans="13:13" ht="12.75">
      <c r="M563" s="10"/>
    </row>
    <row r="564" spans="13:13" ht="12.75">
      <c r="M564" s="10"/>
    </row>
    <row r="565" spans="13:13" ht="12.75">
      <c r="M565" s="10"/>
    </row>
    <row r="566" spans="13:13" ht="12.75">
      <c r="M566" s="10"/>
    </row>
    <row r="567" spans="13:13" ht="12.75">
      <c r="M567" s="10"/>
    </row>
    <row r="568" spans="13:13" ht="12.75">
      <c r="M568" s="10"/>
    </row>
    <row r="569" spans="13:13" ht="12.75">
      <c r="M569" s="10"/>
    </row>
    <row r="570" spans="13:13" ht="12.75">
      <c r="M570" s="10"/>
    </row>
    <row r="571" spans="13:13" ht="12.75">
      <c r="M571" s="10"/>
    </row>
    <row r="572" spans="13:13" ht="12.75">
      <c r="M572" s="10"/>
    </row>
    <row r="573" spans="13:13" ht="12.75">
      <c r="M573" s="10"/>
    </row>
    <row r="574" spans="13:13" ht="12.75">
      <c r="M574" s="10"/>
    </row>
    <row r="575" spans="13:13" ht="12.75">
      <c r="M575" s="10"/>
    </row>
    <row r="576" spans="13:13" ht="12.75">
      <c r="M576" s="10"/>
    </row>
    <row r="577" spans="13:13" ht="12.75">
      <c r="M577" s="10"/>
    </row>
    <row r="578" spans="13:13" ht="12.75">
      <c r="M578" s="10"/>
    </row>
    <row r="579" spans="13:13" ht="12.75">
      <c r="M579" s="10"/>
    </row>
    <row r="580" spans="13:13" ht="12.75">
      <c r="M580" s="10"/>
    </row>
    <row r="581" spans="13:13" ht="12.75">
      <c r="M581" s="10"/>
    </row>
    <row r="582" spans="13:13" ht="12.75">
      <c r="M582" s="10"/>
    </row>
    <row r="583" spans="13:13" ht="12.75">
      <c r="M583" s="10"/>
    </row>
    <row r="584" spans="13:13" ht="12.75">
      <c r="M584" s="10"/>
    </row>
    <row r="585" spans="13:13" ht="12.75">
      <c r="M585" s="10"/>
    </row>
    <row r="586" spans="13:13" ht="12.75">
      <c r="M586" s="10"/>
    </row>
    <row r="587" spans="13:13" ht="12.75">
      <c r="M587" s="10"/>
    </row>
    <row r="588" spans="13:13" ht="12.75">
      <c r="M588" s="10"/>
    </row>
    <row r="589" spans="13:13" ht="12.75">
      <c r="M589" s="10"/>
    </row>
    <row r="590" spans="13:13" ht="12.75">
      <c r="M590" s="10"/>
    </row>
    <row r="591" spans="13:13" ht="12.75">
      <c r="M591" s="10"/>
    </row>
    <row r="592" spans="13:13" ht="12.75">
      <c r="M592" s="10"/>
    </row>
    <row r="593" spans="13:13" ht="12.75">
      <c r="M593" s="10"/>
    </row>
    <row r="594" spans="13:13" ht="12.75">
      <c r="M594" s="10"/>
    </row>
    <row r="595" spans="13:13" ht="12.75">
      <c r="M595" s="10"/>
    </row>
    <row r="596" spans="13:13" ht="12.75">
      <c r="M596" s="10"/>
    </row>
    <row r="597" spans="13:13" ht="12.75">
      <c r="M597" s="10"/>
    </row>
    <row r="598" spans="13:13" ht="12.75">
      <c r="M598" s="10"/>
    </row>
    <row r="599" spans="13:13" ht="12.75">
      <c r="M599" s="10"/>
    </row>
    <row r="600" spans="13:13" ht="12.75">
      <c r="M600" s="10"/>
    </row>
    <row r="601" spans="13:13" ht="12.75">
      <c r="M601" s="10"/>
    </row>
    <row r="602" spans="13:13" ht="12.75">
      <c r="M602" s="10"/>
    </row>
    <row r="603" spans="13:13" ht="12.75">
      <c r="M603" s="10"/>
    </row>
    <row r="604" spans="13:13" ht="12.75">
      <c r="M604" s="10"/>
    </row>
    <row r="605" spans="13:13" ht="12.75">
      <c r="M605" s="10"/>
    </row>
    <row r="606" spans="13:13" ht="12.75">
      <c r="M606" s="10"/>
    </row>
    <row r="607" spans="13:13" ht="12.75">
      <c r="M607" s="10"/>
    </row>
    <row r="608" spans="13:13" ht="12.75">
      <c r="M608" s="10"/>
    </row>
    <row r="609" spans="13:13" ht="12.75">
      <c r="M609" s="10"/>
    </row>
    <row r="610" spans="13:13" ht="12.75">
      <c r="M610" s="10"/>
    </row>
    <row r="611" spans="13:13" ht="12.75">
      <c r="M611" s="10"/>
    </row>
    <row r="612" spans="13:13" ht="12.75">
      <c r="M612" s="10"/>
    </row>
    <row r="613" spans="13:13" ht="12.75">
      <c r="M613" s="10"/>
    </row>
    <row r="614" spans="13:13" ht="12.75">
      <c r="M614" s="10"/>
    </row>
    <row r="615" spans="13:13" ht="12.75">
      <c r="M615" s="10"/>
    </row>
    <row r="616" spans="13:13" ht="12.75">
      <c r="M616" s="10"/>
    </row>
    <row r="617" spans="13:13" ht="12.75">
      <c r="M617" s="10"/>
    </row>
    <row r="618" spans="13:13" ht="12.75">
      <c r="M618" s="10"/>
    </row>
    <row r="619" spans="13:13" ht="12.75">
      <c r="M619" s="10"/>
    </row>
    <row r="620" spans="13:13" ht="12.75">
      <c r="M620" s="10"/>
    </row>
    <row r="621" spans="13:13" ht="12.75">
      <c r="M621" s="10"/>
    </row>
    <row r="622" spans="13:13" ht="12.75">
      <c r="M622" s="10"/>
    </row>
    <row r="623" spans="13:13" ht="12.75">
      <c r="M623" s="10"/>
    </row>
    <row r="624" spans="13:13" ht="12.75">
      <c r="M624" s="10"/>
    </row>
    <row r="625" spans="13:13" ht="12.75">
      <c r="M625" s="10"/>
    </row>
    <row r="626" spans="13:13" ht="12.75">
      <c r="M626" s="10"/>
    </row>
    <row r="627" spans="13:13" ht="12.75">
      <c r="M627" s="10"/>
    </row>
    <row r="628" spans="13:13" ht="12.75">
      <c r="M628" s="10"/>
    </row>
    <row r="629" spans="13:13" ht="12.75">
      <c r="M629" s="10"/>
    </row>
    <row r="630" spans="13:13" ht="12.75">
      <c r="M630" s="10"/>
    </row>
    <row r="631" spans="13:13" ht="12.75">
      <c r="M631" s="10"/>
    </row>
    <row r="632" spans="13:13" ht="12.75">
      <c r="M632" s="10"/>
    </row>
    <row r="633" spans="13:13" ht="12.75">
      <c r="M633" s="10"/>
    </row>
    <row r="634" spans="13:13" ht="12.75">
      <c r="M634" s="10"/>
    </row>
    <row r="635" spans="13:13" ht="12.75">
      <c r="M635" s="10"/>
    </row>
    <row r="636" spans="13:13" ht="12.75">
      <c r="M636" s="10"/>
    </row>
    <row r="637" spans="13:13" ht="12.75">
      <c r="M637" s="10"/>
    </row>
    <row r="638" spans="13:13" ht="12.75">
      <c r="M638" s="10"/>
    </row>
    <row r="639" spans="13:13" ht="12.75">
      <c r="M639" s="10"/>
    </row>
    <row r="640" spans="13:13" ht="12.75">
      <c r="M640" s="10"/>
    </row>
    <row r="641" spans="13:13" ht="12.75">
      <c r="M641" s="10"/>
    </row>
    <row r="642" spans="13:13" ht="12.75">
      <c r="M642" s="10"/>
    </row>
    <row r="643" spans="13:13" ht="12.75">
      <c r="M643" s="10"/>
    </row>
    <row r="644" spans="13:13" ht="12.75">
      <c r="M644" s="10"/>
    </row>
    <row r="645" spans="13:13" ht="12.75">
      <c r="M645" s="10"/>
    </row>
    <row r="646" spans="13:13" ht="12.75">
      <c r="M646" s="10"/>
    </row>
    <row r="647" spans="13:13" ht="12.75">
      <c r="M647" s="10"/>
    </row>
    <row r="648" spans="13:13" ht="12.75">
      <c r="M648" s="10"/>
    </row>
    <row r="649" spans="13:13" ht="12.75">
      <c r="M649" s="10"/>
    </row>
    <row r="650" spans="13:13" ht="12.75">
      <c r="M650" s="10"/>
    </row>
    <row r="651" spans="13:13" ht="12.75">
      <c r="M651" s="10"/>
    </row>
    <row r="652" spans="13:13" ht="12.75">
      <c r="M652" s="10"/>
    </row>
    <row r="653" spans="13:13" ht="12.75">
      <c r="M653" s="10"/>
    </row>
    <row r="654" spans="13:13" ht="12.75">
      <c r="M654" s="10"/>
    </row>
    <row r="655" spans="13:13" ht="12.75">
      <c r="M655" s="10"/>
    </row>
    <row r="656" spans="13:13" ht="12.75">
      <c r="M656" s="10"/>
    </row>
    <row r="657" spans="13:13" ht="12.75">
      <c r="M657" s="10"/>
    </row>
    <row r="658" spans="13:13" ht="12.75">
      <c r="M658" s="10"/>
    </row>
    <row r="659" spans="13:13" ht="12.75">
      <c r="M659" s="10"/>
    </row>
    <row r="660" spans="13:13" ht="12.75">
      <c r="M660" s="10"/>
    </row>
    <row r="661" spans="13:13" ht="12.75">
      <c r="M661" s="10"/>
    </row>
    <row r="662" spans="13:13" ht="12.75">
      <c r="M662" s="10"/>
    </row>
    <row r="663" spans="13:13" ht="12.75">
      <c r="M663" s="10"/>
    </row>
    <row r="664" spans="13:13" ht="12.75">
      <c r="M664" s="10"/>
    </row>
    <row r="665" spans="13:13" ht="12.75">
      <c r="M665" s="10"/>
    </row>
    <row r="666" spans="13:13" ht="12.75">
      <c r="M666" s="10"/>
    </row>
    <row r="667" spans="13:13" ht="12.75">
      <c r="M667" s="10"/>
    </row>
    <row r="668" spans="13:13" ht="12.75">
      <c r="M668" s="10"/>
    </row>
    <row r="669" spans="13:13" ht="12.75">
      <c r="M669" s="10"/>
    </row>
    <row r="670" spans="13:13" ht="12.75">
      <c r="M670" s="10"/>
    </row>
    <row r="671" spans="13:13" ht="12.75">
      <c r="M671" s="10"/>
    </row>
    <row r="672" spans="13:13" ht="12.75">
      <c r="M672" s="10"/>
    </row>
    <row r="673" spans="13:13" ht="12.75">
      <c r="M673" s="10"/>
    </row>
    <row r="674" spans="13:13" ht="12.75">
      <c r="M674" s="10"/>
    </row>
    <row r="675" spans="13:13" ht="12.75">
      <c r="M675" s="10"/>
    </row>
    <row r="676" spans="13:13" ht="12.75">
      <c r="M676" s="10"/>
    </row>
    <row r="677" spans="13:13" ht="12.75">
      <c r="M677" s="10"/>
    </row>
    <row r="678" spans="13:13" ht="12.75">
      <c r="M678" s="10"/>
    </row>
    <row r="679" spans="13:13" ht="12.75">
      <c r="M679" s="10"/>
    </row>
    <row r="680" spans="13:13" ht="12.75">
      <c r="M680" s="10"/>
    </row>
    <row r="681" spans="13:13" ht="12.75">
      <c r="M681" s="10"/>
    </row>
    <row r="682" spans="13:13" ht="12.75">
      <c r="M682" s="10"/>
    </row>
    <row r="683" spans="13:13" ht="12.75">
      <c r="M683" s="10"/>
    </row>
    <row r="684" spans="13:13" ht="12.75">
      <c r="M684" s="10"/>
    </row>
    <row r="685" spans="13:13" ht="12.75">
      <c r="M685" s="10"/>
    </row>
    <row r="686" spans="13:13" ht="12.75">
      <c r="M686" s="10"/>
    </row>
    <row r="687" spans="13:13" ht="12.75">
      <c r="M687" s="10"/>
    </row>
    <row r="688" spans="13:13" ht="12.75">
      <c r="M688" s="10"/>
    </row>
    <row r="689" spans="13:13" ht="12.75">
      <c r="M689" s="10"/>
    </row>
    <row r="690" spans="13:13" ht="12.75">
      <c r="M690" s="10"/>
    </row>
    <row r="691" spans="13:13" ht="12.75">
      <c r="M691" s="10"/>
    </row>
    <row r="692" spans="13:13" ht="12.75">
      <c r="M692" s="10"/>
    </row>
    <row r="693" spans="13:13" ht="12.75">
      <c r="M693" s="10"/>
    </row>
    <row r="694" spans="13:13" ht="12.75">
      <c r="M694" s="10"/>
    </row>
    <row r="695" spans="13:13" ht="12.75">
      <c r="M695" s="10"/>
    </row>
    <row r="696" spans="13:13" ht="12.75">
      <c r="M696" s="10"/>
    </row>
    <row r="697" spans="13:13" ht="12.75">
      <c r="M697" s="10"/>
    </row>
    <row r="698" spans="13:13" ht="12.75">
      <c r="M698" s="10"/>
    </row>
    <row r="699" spans="13:13" ht="12.75">
      <c r="M699" s="10"/>
    </row>
    <row r="700" spans="13:13" ht="12.75">
      <c r="M700" s="10"/>
    </row>
    <row r="701" spans="13:13" ht="12.75">
      <c r="M701" s="10"/>
    </row>
    <row r="702" spans="13:13" ht="12.75">
      <c r="M702" s="10"/>
    </row>
    <row r="703" spans="13:13" ht="12.75">
      <c r="M703" s="10"/>
    </row>
    <row r="704" spans="13:13" ht="12.75">
      <c r="M704" s="10"/>
    </row>
    <row r="705" spans="13:13" ht="12.75">
      <c r="M705" s="10"/>
    </row>
    <row r="706" spans="13:13" ht="12.75">
      <c r="M706" s="10"/>
    </row>
    <row r="707" spans="13:13" ht="12.75">
      <c r="M707" s="10"/>
    </row>
    <row r="708" spans="13:13" ht="12.75">
      <c r="M708" s="10"/>
    </row>
    <row r="709" spans="13:13" ht="12.75">
      <c r="M709" s="10"/>
    </row>
    <row r="710" spans="13:13" ht="12.75">
      <c r="M710" s="10"/>
    </row>
    <row r="711" spans="13:13" ht="12.75">
      <c r="M711" s="10"/>
    </row>
    <row r="712" spans="13:13" ht="12.75">
      <c r="M712" s="10"/>
    </row>
    <row r="713" spans="13:13" ht="12.75">
      <c r="M713" s="10"/>
    </row>
    <row r="714" spans="13:13" ht="12.75">
      <c r="M714" s="10"/>
    </row>
    <row r="715" spans="13:13" ht="12.75">
      <c r="M715" s="10"/>
    </row>
    <row r="716" spans="13:13" ht="12.75">
      <c r="M716" s="10"/>
    </row>
    <row r="717" spans="13:13" ht="12.75">
      <c r="M717" s="10"/>
    </row>
    <row r="718" spans="13:13" ht="12.75">
      <c r="M718" s="10"/>
    </row>
    <row r="719" spans="13:13" ht="12.75">
      <c r="M719" s="10"/>
    </row>
    <row r="720" spans="13:13" ht="12.75">
      <c r="M720" s="10"/>
    </row>
    <row r="721" spans="13:13" ht="12.75">
      <c r="M721" s="10"/>
    </row>
    <row r="722" spans="13:13" ht="12.75">
      <c r="M722" s="10"/>
    </row>
    <row r="723" spans="13:13" ht="12.75">
      <c r="M723" s="10"/>
    </row>
    <row r="724" spans="13:13" ht="12.75">
      <c r="M724" s="10"/>
    </row>
    <row r="725" spans="13:13" ht="12.75">
      <c r="M725" s="10"/>
    </row>
    <row r="726" spans="13:13" ht="12.75">
      <c r="M726" s="10"/>
    </row>
    <row r="727" spans="13:13" ht="12.75">
      <c r="M727" s="10"/>
    </row>
    <row r="728" spans="13:13" ht="12.75">
      <c r="M728" s="10"/>
    </row>
    <row r="729" spans="13:13" ht="12.75">
      <c r="M729" s="10"/>
    </row>
    <row r="730" spans="13:13" ht="12.75">
      <c r="M730" s="10"/>
    </row>
    <row r="731" spans="13:13" ht="12.75">
      <c r="M731" s="10"/>
    </row>
    <row r="732" spans="13:13" ht="12.75">
      <c r="M732" s="10"/>
    </row>
    <row r="733" spans="13:13" ht="12.75">
      <c r="M733" s="10"/>
    </row>
    <row r="734" spans="13:13" ht="12.75">
      <c r="M734" s="10"/>
    </row>
    <row r="735" spans="13:13" ht="12.75">
      <c r="M735" s="10"/>
    </row>
    <row r="736" spans="13:13" ht="12.75">
      <c r="M736" s="10"/>
    </row>
    <row r="737" spans="13:13" ht="12.75">
      <c r="M737" s="10"/>
    </row>
    <row r="738" spans="13:13" ht="12.75">
      <c r="M738" s="10"/>
    </row>
    <row r="739" spans="13:13" ht="12.75">
      <c r="M739" s="10"/>
    </row>
    <row r="740" spans="13:13" ht="12.75">
      <c r="M740" s="10"/>
    </row>
    <row r="741" spans="13:13" ht="12.75">
      <c r="M741" s="10"/>
    </row>
    <row r="742" spans="13:13" ht="12.75">
      <c r="M742" s="10"/>
    </row>
    <row r="743" spans="13:13" ht="12.75">
      <c r="M743" s="10"/>
    </row>
    <row r="744" spans="13:13" ht="12.75">
      <c r="M744" s="10"/>
    </row>
    <row r="745" spans="13:13" ht="12.75">
      <c r="M745" s="10"/>
    </row>
    <row r="746" spans="13:13" ht="12.75">
      <c r="M746" s="10"/>
    </row>
    <row r="747" spans="13:13" ht="12.75">
      <c r="M747" s="10"/>
    </row>
    <row r="748" spans="13:13" ht="12.75">
      <c r="M748" s="10"/>
    </row>
    <row r="749" spans="13:13" ht="12.75">
      <c r="M749" s="10"/>
    </row>
    <row r="750" spans="13:13" ht="12.75">
      <c r="M750" s="10"/>
    </row>
    <row r="751" spans="13:13" ht="12.75">
      <c r="M751" s="10"/>
    </row>
    <row r="752" spans="13:13" ht="12.75">
      <c r="M752" s="10"/>
    </row>
    <row r="753" spans="13:13" ht="12.75">
      <c r="M753" s="10"/>
    </row>
    <row r="754" spans="13:13" ht="12.75">
      <c r="M754" s="10"/>
    </row>
    <row r="755" spans="13:13" ht="12.75">
      <c r="M755" s="10"/>
    </row>
    <row r="756" spans="13:13" ht="12.75">
      <c r="M756" s="10"/>
    </row>
    <row r="757" spans="13:13" ht="12.75">
      <c r="M757" s="10"/>
    </row>
    <row r="758" spans="13:13" ht="12.75">
      <c r="M758" s="10"/>
    </row>
    <row r="759" spans="13:13" ht="12.75">
      <c r="M759" s="10"/>
    </row>
    <row r="760" spans="13:13" ht="12.75">
      <c r="M760" s="10"/>
    </row>
    <row r="761" spans="13:13" ht="12.75">
      <c r="M761" s="10"/>
    </row>
    <row r="762" spans="13:13" ht="12.75">
      <c r="M762" s="10"/>
    </row>
    <row r="763" spans="13:13" ht="12.75">
      <c r="M763" s="10"/>
    </row>
    <row r="764" spans="13:13" ht="12.75">
      <c r="M764" s="10"/>
    </row>
    <row r="765" spans="13:13" ht="12.75">
      <c r="M765" s="10"/>
    </row>
    <row r="766" spans="13:13" ht="12.75">
      <c r="M766" s="10"/>
    </row>
    <row r="767" spans="13:13" ht="12.75">
      <c r="M767" s="10"/>
    </row>
    <row r="768" spans="13:13" ht="12.75">
      <c r="M768" s="10"/>
    </row>
    <row r="769" spans="13:13" ht="12.75">
      <c r="M769" s="10"/>
    </row>
    <row r="770" spans="13:13" ht="12.75">
      <c r="M770" s="10"/>
    </row>
    <row r="771" spans="13:13" ht="12.75">
      <c r="M771" s="10"/>
    </row>
    <row r="772" spans="13:13" ht="12.75">
      <c r="M772" s="10"/>
    </row>
    <row r="773" spans="13:13" ht="12.75">
      <c r="M773" s="10"/>
    </row>
    <row r="774" spans="13:13" ht="12.75">
      <c r="M774" s="10"/>
    </row>
    <row r="775" spans="13:13" ht="12.75">
      <c r="M775" s="10"/>
    </row>
    <row r="776" spans="13:13" ht="12.75">
      <c r="M776" s="10"/>
    </row>
    <row r="777" spans="13:13" ht="12.75">
      <c r="M777" s="10"/>
    </row>
    <row r="778" spans="13:13" ht="12.75">
      <c r="M778" s="10"/>
    </row>
    <row r="779" spans="13:13" ht="12.75">
      <c r="M779" s="10"/>
    </row>
    <row r="780" spans="13:13" ht="12.75">
      <c r="M780" s="10"/>
    </row>
    <row r="781" spans="13:13" ht="12.75">
      <c r="M781" s="10"/>
    </row>
    <row r="782" spans="13:13" ht="12.75">
      <c r="M782" s="10"/>
    </row>
    <row r="783" spans="13:13" ht="12.75">
      <c r="M783" s="10"/>
    </row>
    <row r="784" spans="13:13" ht="12.75">
      <c r="M784" s="10"/>
    </row>
    <row r="785" spans="13:13" ht="12.75">
      <c r="M785" s="10"/>
    </row>
    <row r="786" spans="13:13" ht="12.75">
      <c r="M786" s="10"/>
    </row>
    <row r="787" spans="13:13" ht="12.75">
      <c r="M787" s="10"/>
    </row>
    <row r="788" spans="13:13" ht="12.75">
      <c r="M788" s="10"/>
    </row>
    <row r="789" spans="13:13" ht="12.75">
      <c r="M789" s="10"/>
    </row>
    <row r="790" spans="13:13" ht="12.75">
      <c r="M790" s="10"/>
    </row>
    <row r="791" spans="13:13" ht="12.75">
      <c r="M791" s="10"/>
    </row>
    <row r="792" spans="13:13" ht="12.75">
      <c r="M792" s="10"/>
    </row>
    <row r="793" spans="13:13" ht="12.75">
      <c r="M793" s="10"/>
    </row>
    <row r="794" spans="13:13" ht="12.75">
      <c r="M794" s="10"/>
    </row>
    <row r="795" spans="13:13" ht="12.75">
      <c r="M795" s="10"/>
    </row>
    <row r="796" spans="13:13" ht="12.75">
      <c r="M796" s="10"/>
    </row>
    <row r="797" spans="13:13" ht="12.75">
      <c r="M797" s="10"/>
    </row>
    <row r="798" spans="13:13" ht="12.75">
      <c r="M798" s="10"/>
    </row>
    <row r="799" spans="13:13" ht="12.75">
      <c r="M799" s="10"/>
    </row>
    <row r="800" spans="13:13" ht="12.75">
      <c r="M800" s="10"/>
    </row>
    <row r="801" spans="13:13" ht="12.75">
      <c r="M801" s="10"/>
    </row>
    <row r="802" spans="13:13" ht="12.75">
      <c r="M802" s="10"/>
    </row>
    <row r="803" spans="13:13" ht="12.75">
      <c r="M803" s="10"/>
    </row>
    <row r="804" spans="13:13" ht="12.75">
      <c r="M804" s="10"/>
    </row>
    <row r="805" spans="13:13" ht="12.75">
      <c r="M805" s="10"/>
    </row>
    <row r="806" spans="13:13" ht="12.75">
      <c r="M806" s="10"/>
    </row>
    <row r="807" spans="13:13" ht="12.75">
      <c r="M807" s="10"/>
    </row>
    <row r="808" spans="13:13" ht="12.75">
      <c r="M808" s="10"/>
    </row>
    <row r="809" spans="13:13" ht="12.75">
      <c r="M809" s="10"/>
    </row>
    <row r="810" spans="13:13" ht="12.75">
      <c r="M810" s="10"/>
    </row>
    <row r="811" spans="13:13" ht="12.75">
      <c r="M811" s="10"/>
    </row>
    <row r="812" spans="13:13" ht="12.75">
      <c r="M812" s="10"/>
    </row>
    <row r="813" spans="13:13" ht="12.75">
      <c r="M813" s="10"/>
    </row>
    <row r="814" spans="13:13" ht="12.75">
      <c r="M814" s="10"/>
    </row>
    <row r="815" spans="13:13" ht="12.75">
      <c r="M815" s="10"/>
    </row>
    <row r="816" spans="13:13" ht="12.75">
      <c r="M816" s="10"/>
    </row>
    <row r="817" spans="13:13" ht="12.75">
      <c r="M817" s="10"/>
    </row>
    <row r="818" spans="13:13" ht="12.75">
      <c r="M818" s="10"/>
    </row>
    <row r="819" spans="13:13" ht="12.75">
      <c r="M819" s="10"/>
    </row>
    <row r="820" spans="13:13" ht="12.75">
      <c r="M820" s="10"/>
    </row>
    <row r="821" spans="13:13" ht="12.75">
      <c r="M821" s="10"/>
    </row>
    <row r="822" spans="13:13" ht="12.75">
      <c r="M822" s="10"/>
    </row>
    <row r="823" spans="13:13" ht="12.75">
      <c r="M823" s="10"/>
    </row>
    <row r="824" spans="13:13" ht="12.75">
      <c r="M824" s="10"/>
    </row>
    <row r="825" spans="13:13" ht="12.75">
      <c r="M825" s="10"/>
    </row>
    <row r="826" spans="13:13" ht="12.75">
      <c r="M826" s="10"/>
    </row>
    <row r="827" spans="13:13" ht="12.75">
      <c r="M827" s="10"/>
    </row>
    <row r="828" spans="13:13" ht="12.75">
      <c r="M828" s="10"/>
    </row>
    <row r="829" spans="13:13" ht="12.75">
      <c r="M829" s="10"/>
    </row>
    <row r="830" spans="13:13" ht="12.75">
      <c r="M830" s="10"/>
    </row>
    <row r="831" spans="13:13" ht="12.75">
      <c r="M831" s="10"/>
    </row>
    <row r="832" spans="13:13" ht="12.75">
      <c r="M832" s="10"/>
    </row>
    <row r="833" spans="13:13" ht="12.75">
      <c r="M833" s="10"/>
    </row>
    <row r="834" spans="13:13" ht="12.75">
      <c r="M834" s="10"/>
    </row>
    <row r="835" spans="13:13" ht="12.75">
      <c r="M835" s="10"/>
    </row>
    <row r="836" spans="13:13" ht="12.75">
      <c r="M836" s="10"/>
    </row>
    <row r="837" spans="13:13" ht="12.75">
      <c r="M837" s="10"/>
    </row>
    <row r="838" spans="13:13" ht="12.75">
      <c r="M838" s="10"/>
    </row>
    <row r="839" spans="13:13" ht="12.75">
      <c r="M839" s="10"/>
    </row>
    <row r="840" spans="13:13" ht="12.75">
      <c r="M840" s="10"/>
    </row>
    <row r="841" spans="13:13" ht="12.75">
      <c r="M841" s="10"/>
    </row>
    <row r="842" spans="13:13" ht="12.75">
      <c r="M842" s="10"/>
    </row>
    <row r="843" spans="13:13" ht="12.75">
      <c r="M843" s="10"/>
    </row>
    <row r="844" spans="13:13" ht="12.75">
      <c r="M844" s="10"/>
    </row>
    <row r="845" spans="13:13" ht="12.75">
      <c r="M845" s="10"/>
    </row>
    <row r="846" spans="13:13" ht="12.75">
      <c r="M846" s="10"/>
    </row>
    <row r="847" spans="13:13" ht="12.75">
      <c r="M847" s="10"/>
    </row>
    <row r="848" spans="13:13" ht="12.75">
      <c r="M848" s="10"/>
    </row>
    <row r="849" spans="13:13" ht="12.75">
      <c r="M849" s="10"/>
    </row>
    <row r="850" spans="13:13" ht="12.75">
      <c r="M850" s="10"/>
    </row>
    <row r="851" spans="13:13" ht="12.75">
      <c r="M851" s="10"/>
    </row>
    <row r="852" spans="13:13" ht="12.75">
      <c r="M852" s="10"/>
    </row>
    <row r="853" spans="13:13" ht="12.75">
      <c r="M853" s="10"/>
    </row>
    <row r="854" spans="13:13" ht="12.75">
      <c r="M854" s="10"/>
    </row>
    <row r="855" spans="13:13" ht="12.75">
      <c r="M855" s="10"/>
    </row>
    <row r="856" spans="13:13" ht="12.75">
      <c r="M856" s="10"/>
    </row>
    <row r="857" spans="13:13" ht="12.75">
      <c r="M857" s="10"/>
    </row>
    <row r="858" spans="13:13" ht="12.75">
      <c r="M858" s="10"/>
    </row>
    <row r="859" spans="13:13" ht="12.75">
      <c r="M859" s="10"/>
    </row>
    <row r="860" spans="13:13" ht="12.75">
      <c r="M860" s="10"/>
    </row>
    <row r="861" spans="13:13" ht="12.75">
      <c r="M861" s="10"/>
    </row>
    <row r="862" spans="13:13" ht="12.75">
      <c r="M862" s="10"/>
    </row>
    <row r="863" spans="13:13" ht="12.75">
      <c r="M863" s="10"/>
    </row>
    <row r="864" spans="13:13" ht="12.75">
      <c r="M864" s="10"/>
    </row>
    <row r="865" spans="13:13" ht="12.75">
      <c r="M865" s="10"/>
    </row>
    <row r="866" spans="13:13" ht="12.75">
      <c r="M866" s="10"/>
    </row>
    <row r="867" spans="13:13" ht="12.75">
      <c r="M867" s="10"/>
    </row>
    <row r="868" spans="13:13" ht="12.75">
      <c r="M868" s="10"/>
    </row>
    <row r="869" spans="13:13" ht="12.75">
      <c r="M869" s="10"/>
    </row>
    <row r="870" spans="13:13" ht="12.75">
      <c r="M870" s="10"/>
    </row>
    <row r="871" spans="13:13" ht="12.75">
      <c r="M871" s="10"/>
    </row>
    <row r="872" spans="13:13" ht="12.75">
      <c r="M872" s="10"/>
    </row>
    <row r="873" spans="13:13" ht="12.75">
      <c r="M873" s="10"/>
    </row>
    <row r="874" spans="13:13" ht="12.75">
      <c r="M874" s="10"/>
    </row>
    <row r="875" spans="13:13" ht="12.75">
      <c r="M875" s="10"/>
    </row>
    <row r="876" spans="13:13" ht="12.75">
      <c r="M876" s="10"/>
    </row>
    <row r="877" spans="13:13" ht="12.75">
      <c r="M877" s="10"/>
    </row>
    <row r="878" spans="13:13" ht="12.75">
      <c r="M878" s="10"/>
    </row>
    <row r="879" spans="13:13" ht="12.75">
      <c r="M879" s="10"/>
    </row>
    <row r="880" spans="13:13" ht="12.75">
      <c r="M880" s="10"/>
    </row>
    <row r="881" spans="13:13" ht="12.75">
      <c r="M881" s="10"/>
    </row>
    <row r="882" spans="13:13" ht="12.75">
      <c r="M882" s="10"/>
    </row>
    <row r="883" spans="13:13" ht="12.75">
      <c r="M883" s="10"/>
    </row>
    <row r="884" spans="13:13" ht="12.75">
      <c r="M884" s="10"/>
    </row>
    <row r="885" spans="13:13" ht="12.75">
      <c r="M885" s="10"/>
    </row>
    <row r="886" spans="13:13" ht="12.75">
      <c r="M886" s="10"/>
    </row>
    <row r="887" spans="13:13" ht="12.75">
      <c r="M887" s="10"/>
    </row>
    <row r="888" spans="13:13" ht="12.75">
      <c r="M888" s="10"/>
    </row>
    <row r="889" spans="13:13" ht="12.75">
      <c r="M889" s="10"/>
    </row>
    <row r="890" spans="13:13" ht="12.75">
      <c r="M890" s="10"/>
    </row>
    <row r="891" spans="13:13" ht="12.75">
      <c r="M891" s="10"/>
    </row>
    <row r="892" spans="13:13" ht="12.75">
      <c r="M892" s="10"/>
    </row>
    <row r="893" spans="13:13" ht="12.75">
      <c r="M893" s="10"/>
    </row>
    <row r="894" spans="13:13" ht="12.75">
      <c r="M894" s="10"/>
    </row>
    <row r="895" spans="13:13" ht="12.75">
      <c r="M895" s="10"/>
    </row>
    <row r="896" spans="13:13" ht="12.75">
      <c r="M896" s="10"/>
    </row>
    <row r="897" spans="13:13" ht="12.75">
      <c r="M897" s="10"/>
    </row>
    <row r="898" spans="13:13" ht="12.75">
      <c r="M898" s="10"/>
    </row>
    <row r="899" spans="13:13" ht="12.75">
      <c r="M899" s="10"/>
    </row>
    <row r="900" spans="13:13" ht="12.75">
      <c r="M900" s="10"/>
    </row>
    <row r="901" spans="13:13" ht="12.75">
      <c r="M901" s="10"/>
    </row>
    <row r="902" spans="13:13" ht="12.75">
      <c r="M902" s="10"/>
    </row>
    <row r="903" spans="13:13" ht="12.75">
      <c r="M903" s="10"/>
    </row>
    <row r="904" spans="13:13" ht="12.75">
      <c r="M904" s="10"/>
    </row>
    <row r="905" spans="13:13" ht="12.75">
      <c r="M905" s="10"/>
    </row>
    <row r="906" spans="13:13" ht="12.75">
      <c r="M906" s="10"/>
    </row>
    <row r="907" spans="13:13" ht="12.75">
      <c r="M907" s="10"/>
    </row>
    <row r="908" spans="13:13" ht="12.75">
      <c r="M908" s="10"/>
    </row>
    <row r="909" spans="13:13" ht="12.75">
      <c r="M909" s="10"/>
    </row>
    <row r="910" spans="13:13" ht="12.75">
      <c r="M910" s="10"/>
    </row>
    <row r="911" spans="13:13" ht="12.75">
      <c r="M911" s="10"/>
    </row>
    <row r="912" spans="13:13" ht="12.75">
      <c r="M912" s="10"/>
    </row>
    <row r="913" spans="13:13" ht="12.75">
      <c r="M913" s="10"/>
    </row>
    <row r="914" spans="13:13" ht="12.75">
      <c r="M914" s="10"/>
    </row>
    <row r="915" spans="13:13" ht="12.75">
      <c r="M915" s="10"/>
    </row>
    <row r="916" spans="13:13" ht="12.75">
      <c r="M916" s="10"/>
    </row>
    <row r="917" spans="13:13" ht="12.75">
      <c r="M917" s="10"/>
    </row>
    <row r="918" spans="13:13" ht="12.75">
      <c r="M918" s="10"/>
    </row>
    <row r="919" spans="13:13" ht="12.75">
      <c r="M919" s="10"/>
    </row>
    <row r="920" spans="13:13" ht="12.75">
      <c r="M920" s="10"/>
    </row>
    <row r="921" spans="13:13" ht="12.75">
      <c r="M921" s="10"/>
    </row>
    <row r="922" spans="13:13" ht="12.75">
      <c r="M922" s="10"/>
    </row>
    <row r="923" spans="13:13" ht="12.75">
      <c r="M923" s="10"/>
    </row>
    <row r="924" spans="13:13" ht="12.75">
      <c r="M924" s="10"/>
    </row>
    <row r="925" spans="13:13" ht="12.75">
      <c r="M925" s="10"/>
    </row>
    <row r="926" spans="13:13" ht="12.75">
      <c r="M926" s="10"/>
    </row>
    <row r="927" spans="13:13" ht="12.75">
      <c r="M927" s="10"/>
    </row>
    <row r="928" spans="13:13" ht="12.75">
      <c r="M928" s="10"/>
    </row>
    <row r="929" spans="13:13" ht="12.75">
      <c r="M929" s="10"/>
    </row>
    <row r="930" spans="13:13" ht="12.75">
      <c r="M930" s="10"/>
    </row>
    <row r="931" spans="13:13" ht="12.75">
      <c r="M931" s="10"/>
    </row>
    <row r="932" spans="13:13" ht="12.75">
      <c r="M932" s="10"/>
    </row>
    <row r="933" spans="13:13" ht="12.75">
      <c r="M933" s="10"/>
    </row>
    <row r="934" spans="13:13" ht="12.75">
      <c r="M934" s="10"/>
    </row>
    <row r="935" spans="13:13" ht="12.75">
      <c r="M935" s="10"/>
    </row>
    <row r="936" spans="13:13" ht="12.75">
      <c r="M936" s="10"/>
    </row>
    <row r="937" spans="13:13" ht="12.75">
      <c r="M937" s="10"/>
    </row>
    <row r="938" spans="13:13" ht="12.75">
      <c r="M938" s="10"/>
    </row>
    <row r="939" spans="13:13" ht="12.75">
      <c r="M939" s="10"/>
    </row>
    <row r="940" spans="13:13" ht="12.75">
      <c r="M940" s="10"/>
    </row>
    <row r="941" spans="13:13" ht="12.75">
      <c r="M941" s="10"/>
    </row>
    <row r="942" spans="13:13" ht="12.75">
      <c r="M942" s="10"/>
    </row>
    <row r="943" spans="13:13" ht="12.75">
      <c r="M943" s="10"/>
    </row>
    <row r="944" spans="13:13" ht="12.75">
      <c r="M944" s="10"/>
    </row>
    <row r="945" spans="13:13" ht="12.75">
      <c r="M945" s="10"/>
    </row>
    <row r="946" spans="13:13" ht="12.75">
      <c r="M946" s="10"/>
    </row>
    <row r="947" spans="13:13" ht="12.75">
      <c r="M947" s="10"/>
    </row>
    <row r="948" spans="13:13" ht="12.75">
      <c r="M948" s="10"/>
    </row>
    <row r="949" spans="13:13" ht="12.75">
      <c r="M949" s="10"/>
    </row>
    <row r="950" spans="13:13" ht="12.75">
      <c r="M950" s="10"/>
    </row>
    <row r="951" spans="13:13" ht="12.75">
      <c r="M951" s="10"/>
    </row>
    <row r="952" spans="13:13" ht="12.75">
      <c r="M952" s="10"/>
    </row>
    <row r="953" spans="13:13" ht="12.75">
      <c r="M953" s="10"/>
    </row>
    <row r="954" spans="13:13" ht="12.75">
      <c r="M954" s="10"/>
    </row>
    <row r="955" spans="13:13" ht="12.75">
      <c r="M955" s="10"/>
    </row>
    <row r="956" spans="13:13" ht="12.75">
      <c r="M956" s="10"/>
    </row>
    <row r="957" spans="13:13" ht="12.75">
      <c r="M957" s="10"/>
    </row>
    <row r="958" spans="13:13" ht="12.75">
      <c r="M958" s="10"/>
    </row>
    <row r="959" spans="13:13" ht="12.75">
      <c r="M959" s="10"/>
    </row>
    <row r="960" spans="13:13" ht="12.75">
      <c r="M960" s="10"/>
    </row>
    <row r="961" spans="13:13" ht="12.75">
      <c r="M961" s="10"/>
    </row>
    <row r="962" spans="13:13" ht="12.75">
      <c r="M962" s="10"/>
    </row>
    <row r="963" spans="13:13" ht="12.75">
      <c r="M963" s="10"/>
    </row>
    <row r="964" spans="13:13" ht="12.75">
      <c r="M964" s="10"/>
    </row>
    <row r="965" spans="13:13" ht="12.75">
      <c r="M965" s="10"/>
    </row>
    <row r="966" spans="13:13" ht="12.75">
      <c r="M966" s="10"/>
    </row>
    <row r="967" spans="13:13" ht="12.75">
      <c r="M967" s="10"/>
    </row>
    <row r="968" spans="13:13" ht="12.75">
      <c r="M968" s="10"/>
    </row>
    <row r="969" spans="13:13" ht="12.75">
      <c r="M969" s="10"/>
    </row>
    <row r="970" spans="13:13" ht="12.75">
      <c r="M970" s="10"/>
    </row>
    <row r="971" spans="13:13" ht="12.75">
      <c r="M971" s="10"/>
    </row>
    <row r="972" spans="13:13" ht="12.75">
      <c r="M972" s="10"/>
    </row>
    <row r="973" spans="13:13" ht="12.75">
      <c r="M973" s="10"/>
    </row>
    <row r="974" spans="13:13" ht="12.75">
      <c r="M974" s="10"/>
    </row>
    <row r="975" spans="13:13" ht="12.75">
      <c r="M975" s="10"/>
    </row>
    <row r="976" spans="13:13" ht="12.75">
      <c r="M976" s="10"/>
    </row>
    <row r="977" spans="13:13" ht="12.75">
      <c r="M977" s="10"/>
    </row>
    <row r="978" spans="13:13" ht="12.75">
      <c r="M978" s="10"/>
    </row>
    <row r="979" spans="13:13" ht="12.75">
      <c r="M979" s="10"/>
    </row>
    <row r="980" spans="13:13" ht="12.75">
      <c r="M980" s="10"/>
    </row>
    <row r="981" spans="13:13" ht="12.75">
      <c r="M981" s="10"/>
    </row>
    <row r="982" spans="13:13" ht="12.75">
      <c r="M982" s="10"/>
    </row>
    <row r="983" spans="13:13" ht="12.75">
      <c r="M983" s="10"/>
    </row>
    <row r="984" spans="13:13" ht="12.75">
      <c r="M984" s="10"/>
    </row>
    <row r="985" spans="13:13" ht="12.75">
      <c r="M985" s="10"/>
    </row>
    <row r="986" spans="13:13" ht="12.75">
      <c r="M986" s="10"/>
    </row>
    <row r="987" spans="13:13" ht="12.75">
      <c r="M987" s="10"/>
    </row>
    <row r="988" spans="13:13" ht="12.75">
      <c r="M988" s="10"/>
    </row>
    <row r="989" spans="13:13" ht="12.75">
      <c r="M989" s="10"/>
    </row>
    <row r="990" spans="13:13" ht="12.75">
      <c r="M990" s="10"/>
    </row>
    <row r="991" spans="13:13" ht="12.75">
      <c r="M991" s="10"/>
    </row>
    <row r="992" spans="13:13" ht="12.75">
      <c r="M992" s="10"/>
    </row>
    <row r="993" spans="13:13" ht="12.75">
      <c r="M993" s="10"/>
    </row>
    <row r="994" spans="13:13" ht="12.75">
      <c r="M994" s="10"/>
    </row>
    <row r="995" spans="13:13" ht="12.75">
      <c r="M995" s="10"/>
    </row>
    <row r="996" spans="13:13" ht="12.75">
      <c r="M996" s="10"/>
    </row>
    <row r="997" spans="13:13" ht="12.75">
      <c r="M997" s="10"/>
    </row>
    <row r="998" spans="13:13" ht="12.75">
      <c r="M998" s="10"/>
    </row>
    <row r="999" spans="13:13" ht="12.75">
      <c r="M999" s="10"/>
    </row>
    <row r="1000" spans="13:13" ht="12.75">
      <c r="M1000" s="10"/>
    </row>
    <row r="1001" spans="13:13" ht="12.75">
      <c r="M1001" s="10"/>
    </row>
    <row r="1002" spans="13:13" ht="12.75">
      <c r="M1002" s="10"/>
    </row>
    <row r="1003" spans="13:13" ht="12.75">
      <c r="M1003" s="10"/>
    </row>
    <row r="1004" spans="13:13" ht="12.75">
      <c r="M1004" s="10"/>
    </row>
    <row r="1005" spans="13:13" ht="12.75">
      <c r="M1005" s="10"/>
    </row>
    <row r="1006" spans="13:13" ht="12.75">
      <c r="M1006" s="10"/>
    </row>
    <row r="1007" spans="13:13" ht="12.75">
      <c r="M1007" s="10"/>
    </row>
    <row r="1008" spans="13:13" ht="12.75">
      <c r="M1008" s="10"/>
    </row>
    <row r="1009" spans="13:13" ht="12.75">
      <c r="M1009" s="10"/>
    </row>
    <row r="1010" spans="13:13" ht="12.75">
      <c r="M1010" s="10"/>
    </row>
    <row r="1011" spans="13:13" ht="12.75">
      <c r="M1011" s="10"/>
    </row>
    <row r="1012" spans="13:13" ht="12.75">
      <c r="M1012" s="10"/>
    </row>
    <row r="1013" spans="13:13" ht="12.75">
      <c r="M1013" s="10"/>
    </row>
    <row r="1014" spans="13:13" ht="12.75">
      <c r="M1014" s="10"/>
    </row>
    <row r="1015" spans="13:13" ht="12.75">
      <c r="M1015" s="10"/>
    </row>
    <row r="1016" spans="13:13" ht="12.75">
      <c r="M1016" s="10"/>
    </row>
    <row r="1017" spans="13:13" ht="12.75">
      <c r="M1017" s="10"/>
    </row>
    <row r="1018" spans="13:13" ht="12.75">
      <c r="M1018" s="10"/>
    </row>
    <row r="1019" spans="13:13" ht="12.75">
      <c r="M1019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K6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3" max="3" width="14" customWidth="1"/>
    <col min="4" max="4" width="24.85546875" customWidth="1"/>
    <col min="10" max="10" width="20.85546875" customWidth="1"/>
    <col min="11" max="11" width="31" customWidth="1"/>
  </cols>
  <sheetData>
    <row r="1" spans="1:11">
      <c r="A1" s="2" t="s">
        <v>2022</v>
      </c>
      <c r="B1" s="2" t="s">
        <v>2023</v>
      </c>
      <c r="C1" s="2" t="s">
        <v>2024</v>
      </c>
      <c r="D1" s="2" t="s">
        <v>2025</v>
      </c>
      <c r="E1" s="2" t="s">
        <v>2026</v>
      </c>
      <c r="F1" s="2" t="s">
        <v>2027</v>
      </c>
      <c r="G1" s="2" t="s">
        <v>1967</v>
      </c>
      <c r="H1" s="7" t="s">
        <v>2028</v>
      </c>
      <c r="I1" s="7" t="s">
        <v>2029</v>
      </c>
      <c r="K1" s="126" t="s">
        <v>2030</v>
      </c>
    </row>
    <row r="2" spans="1:11">
      <c r="A2" s="7" t="s">
        <v>2031</v>
      </c>
      <c r="B2" s="7">
        <v>10</v>
      </c>
      <c r="C2" s="7">
        <v>33</v>
      </c>
      <c r="D2" s="7">
        <v>0.3</v>
      </c>
      <c r="E2" s="7" t="s">
        <v>2032</v>
      </c>
      <c r="F2" s="7" t="s">
        <v>2033</v>
      </c>
    </row>
    <row r="3" spans="1:11">
      <c r="A3" s="7" t="s">
        <v>2034</v>
      </c>
      <c r="B3" s="7">
        <v>15</v>
      </c>
      <c r="C3" s="7">
        <v>33</v>
      </c>
      <c r="D3" s="7">
        <v>0.45</v>
      </c>
      <c r="E3" s="7" t="s">
        <v>2035</v>
      </c>
      <c r="F3" s="7" t="s">
        <v>2033</v>
      </c>
      <c r="G3" s="7">
        <v>92958833</v>
      </c>
      <c r="H3" s="7" t="s">
        <v>2036</v>
      </c>
      <c r="J3" s="9" t="s">
        <v>2037</v>
      </c>
      <c r="K3" s="3"/>
    </row>
    <row r="4" spans="1:11">
      <c r="A4" s="7" t="s">
        <v>2038</v>
      </c>
      <c r="B4" s="7">
        <v>30</v>
      </c>
      <c r="C4" s="7">
        <v>33</v>
      </c>
      <c r="D4" s="7">
        <v>0.9</v>
      </c>
      <c r="E4" s="7" t="s">
        <v>2039</v>
      </c>
      <c r="F4" s="7" t="s">
        <v>2033</v>
      </c>
      <c r="G4" s="7">
        <v>92926537</v>
      </c>
      <c r="H4" s="7" t="s">
        <v>2036</v>
      </c>
      <c r="J4" s="3" t="s">
        <v>2040</v>
      </c>
      <c r="K4" s="3">
        <v>1632</v>
      </c>
    </row>
    <row r="5" spans="1:11">
      <c r="A5" s="7" t="s">
        <v>2041</v>
      </c>
      <c r="B5" s="7">
        <v>50</v>
      </c>
      <c r="C5" s="7">
        <v>28</v>
      </c>
      <c r="D5" s="7">
        <v>1.8</v>
      </c>
      <c r="E5" s="7" t="s">
        <v>2042</v>
      </c>
      <c r="F5" s="7" t="s">
        <v>2033</v>
      </c>
      <c r="G5" s="7">
        <v>92926485</v>
      </c>
      <c r="H5" s="7" t="s">
        <v>2036</v>
      </c>
      <c r="J5" s="3" t="s">
        <v>2043</v>
      </c>
      <c r="K5" s="3">
        <v>6</v>
      </c>
    </row>
    <row r="6" spans="1:11">
      <c r="A6" s="7" t="s">
        <v>2044</v>
      </c>
      <c r="B6" s="7">
        <v>75</v>
      </c>
      <c r="C6" s="7">
        <v>25</v>
      </c>
      <c r="D6" s="7">
        <v>3</v>
      </c>
      <c r="E6" s="7" t="s">
        <v>2045</v>
      </c>
      <c r="F6" s="7" t="s">
        <v>2033</v>
      </c>
      <c r="G6" s="7">
        <v>92958789</v>
      </c>
      <c r="H6" s="7" t="s">
        <v>2036</v>
      </c>
      <c r="J6" s="3" t="s">
        <v>2024</v>
      </c>
      <c r="K6" s="127" t="s">
        <v>2046</v>
      </c>
    </row>
    <row r="7" spans="1:11">
      <c r="A7" s="7" t="s">
        <v>2047</v>
      </c>
      <c r="B7" s="7">
        <v>125</v>
      </c>
      <c r="C7" s="7">
        <v>25</v>
      </c>
      <c r="D7" s="7">
        <v>5</v>
      </c>
      <c r="E7" s="7" t="s">
        <v>2048</v>
      </c>
      <c r="F7" s="7" t="s">
        <v>2033</v>
      </c>
      <c r="G7" s="7">
        <v>92932672</v>
      </c>
      <c r="H7" s="7" t="s">
        <v>2036</v>
      </c>
      <c r="J7" s="3" t="s">
        <v>2049</v>
      </c>
      <c r="K7" s="128">
        <f>K4/K5</f>
        <v>272</v>
      </c>
    </row>
    <row r="8" spans="1:11">
      <c r="A8" s="7" t="s">
        <v>741</v>
      </c>
      <c r="B8" s="7">
        <v>175</v>
      </c>
      <c r="C8" s="7">
        <v>20</v>
      </c>
      <c r="D8" s="7">
        <v>8.8000000000000007</v>
      </c>
      <c r="E8" s="7" t="s">
        <v>2050</v>
      </c>
      <c r="F8" s="7" t="s">
        <v>2033</v>
      </c>
      <c r="G8" s="7">
        <v>92932673</v>
      </c>
      <c r="H8" s="7" t="s">
        <v>2036</v>
      </c>
    </row>
    <row r="9" spans="1:11">
      <c r="A9" s="7" t="s">
        <v>744</v>
      </c>
      <c r="B9" s="7">
        <v>200</v>
      </c>
      <c r="C9" s="7">
        <v>15</v>
      </c>
      <c r="D9" s="7">
        <v>13.3</v>
      </c>
      <c r="E9" s="7" t="s">
        <v>2051</v>
      </c>
      <c r="F9" s="7" t="s">
        <v>2033</v>
      </c>
      <c r="G9" s="7">
        <v>91338157</v>
      </c>
      <c r="H9" s="7" t="s">
        <v>2036</v>
      </c>
    </row>
    <row r="10" spans="1:11">
      <c r="A10" s="7" t="s">
        <v>2052</v>
      </c>
      <c r="B10" s="7">
        <v>10</v>
      </c>
      <c r="C10" s="7">
        <v>40</v>
      </c>
      <c r="D10" s="7">
        <v>0.3</v>
      </c>
      <c r="E10" s="7" t="s">
        <v>2053</v>
      </c>
      <c r="F10" s="7" t="s">
        <v>2033</v>
      </c>
    </row>
    <row r="11" spans="1:11">
      <c r="A11" s="7" t="s">
        <v>2054</v>
      </c>
      <c r="B11" s="7">
        <v>20</v>
      </c>
      <c r="C11" s="7">
        <v>38</v>
      </c>
      <c r="D11" s="7">
        <v>0.5</v>
      </c>
      <c r="E11" s="7" t="s">
        <v>2055</v>
      </c>
      <c r="F11" s="7" t="s">
        <v>2033</v>
      </c>
    </row>
    <row r="12" spans="1:11">
      <c r="A12" s="7" t="s">
        <v>2056</v>
      </c>
      <c r="B12" s="7">
        <v>35</v>
      </c>
      <c r="C12" s="7">
        <v>35</v>
      </c>
      <c r="D12" s="7">
        <v>1</v>
      </c>
      <c r="E12" s="7" t="s">
        <v>2055</v>
      </c>
      <c r="F12" s="7" t="s">
        <v>2042</v>
      </c>
    </row>
    <row r="13" spans="1:11">
      <c r="A13" s="7" t="s">
        <v>2057</v>
      </c>
      <c r="B13" s="7">
        <v>50</v>
      </c>
      <c r="C13" s="7">
        <v>33</v>
      </c>
      <c r="D13" s="7">
        <v>1.5</v>
      </c>
      <c r="E13" s="7" t="s">
        <v>2032</v>
      </c>
      <c r="F13" s="7" t="s">
        <v>2033</v>
      </c>
      <c r="G13" s="7">
        <v>91338013</v>
      </c>
      <c r="H13" s="7" t="s">
        <v>2058</v>
      </c>
    </row>
    <row r="14" spans="1:11">
      <c r="A14" s="7" t="s">
        <v>2059</v>
      </c>
      <c r="B14" s="7">
        <v>100</v>
      </c>
      <c r="C14" s="7">
        <v>33</v>
      </c>
      <c r="D14" s="7">
        <v>3</v>
      </c>
      <c r="E14" s="7" t="s">
        <v>2035</v>
      </c>
      <c r="F14" s="7" t="s">
        <v>2033</v>
      </c>
      <c r="G14" s="7">
        <v>91338014</v>
      </c>
      <c r="H14" s="7" t="s">
        <v>2058</v>
      </c>
    </row>
    <row r="15" spans="1:11">
      <c r="A15" s="7" t="s">
        <v>2060</v>
      </c>
      <c r="B15" s="7">
        <v>150</v>
      </c>
      <c r="C15" s="7">
        <v>30</v>
      </c>
      <c r="D15" s="7">
        <v>5</v>
      </c>
      <c r="E15" s="7" t="s">
        <v>2039</v>
      </c>
      <c r="F15" s="7" t="s">
        <v>2033</v>
      </c>
      <c r="G15" s="7">
        <v>91338015</v>
      </c>
      <c r="H15" s="7" t="s">
        <v>2058</v>
      </c>
    </row>
    <row r="16" spans="1:11">
      <c r="A16" s="7" t="s">
        <v>2061</v>
      </c>
      <c r="B16" s="7">
        <v>200</v>
      </c>
      <c r="C16" s="7">
        <v>30</v>
      </c>
      <c r="D16" s="7">
        <v>6.7</v>
      </c>
      <c r="E16" s="7" t="s">
        <v>2042</v>
      </c>
      <c r="F16" s="7" t="s">
        <v>2033</v>
      </c>
      <c r="G16" s="7">
        <v>91338016</v>
      </c>
      <c r="H16" s="7" t="s">
        <v>2058</v>
      </c>
      <c r="I16" s="7">
        <v>134.13999999999999</v>
      </c>
    </row>
    <row r="17" spans="1:9">
      <c r="A17" s="7" t="s">
        <v>746</v>
      </c>
      <c r="B17" s="7">
        <v>250</v>
      </c>
      <c r="C17" s="7">
        <v>28</v>
      </c>
      <c r="D17" s="7">
        <v>8.9</v>
      </c>
      <c r="E17" s="7" t="s">
        <v>2045</v>
      </c>
      <c r="F17" s="7" t="s">
        <v>2033</v>
      </c>
      <c r="G17" s="7">
        <v>91338017</v>
      </c>
      <c r="H17" s="7" t="s">
        <v>2058</v>
      </c>
    </row>
    <row r="18" spans="1:9">
      <c r="A18" s="7" t="s">
        <v>735</v>
      </c>
      <c r="B18" s="7">
        <v>300</v>
      </c>
      <c r="C18" s="7">
        <v>28</v>
      </c>
      <c r="D18" s="7">
        <v>10.7</v>
      </c>
      <c r="E18" s="7" t="s">
        <v>2048</v>
      </c>
      <c r="F18" s="7" t="s">
        <v>2033</v>
      </c>
      <c r="G18" s="7">
        <v>91338018</v>
      </c>
      <c r="H18" s="7" t="s">
        <v>2062</v>
      </c>
      <c r="I18" s="7">
        <v>152.03</v>
      </c>
    </row>
    <row r="19" spans="1:9">
      <c r="A19" s="7" t="s">
        <v>733</v>
      </c>
      <c r="B19" s="7">
        <v>400</v>
      </c>
      <c r="C19" s="7">
        <v>25</v>
      </c>
      <c r="D19" s="7">
        <v>16</v>
      </c>
      <c r="E19" s="7" t="s">
        <v>2050</v>
      </c>
      <c r="F19" s="7" t="s">
        <v>2033</v>
      </c>
      <c r="G19" s="7">
        <v>91338019</v>
      </c>
      <c r="H19" s="7" t="s">
        <v>2062</v>
      </c>
    </row>
    <row r="20" spans="1:9">
      <c r="A20" s="7" t="s">
        <v>737</v>
      </c>
      <c r="B20" s="7">
        <v>550</v>
      </c>
      <c r="C20" s="7">
        <v>23</v>
      </c>
      <c r="D20" s="7">
        <v>23.9</v>
      </c>
      <c r="E20" s="7" t="s">
        <v>2051</v>
      </c>
      <c r="F20" s="7" t="s">
        <v>2033</v>
      </c>
      <c r="G20" s="7">
        <v>91338020</v>
      </c>
      <c r="H20" s="7" t="s">
        <v>2062</v>
      </c>
    </row>
    <row r="21" spans="1:9">
      <c r="A21" s="7" t="s">
        <v>718</v>
      </c>
      <c r="B21" s="7">
        <v>650</v>
      </c>
      <c r="C21" s="7">
        <v>20</v>
      </c>
      <c r="D21" s="7">
        <v>32.5</v>
      </c>
      <c r="E21" s="7" t="s">
        <v>2051</v>
      </c>
      <c r="F21" s="7" t="s">
        <v>2042</v>
      </c>
      <c r="G21" s="7">
        <v>91338021</v>
      </c>
      <c r="H21" s="7" t="s">
        <v>2062</v>
      </c>
      <c r="I21" s="7">
        <f>H21/0.85*4</f>
        <v>830.40000000000009</v>
      </c>
    </row>
    <row r="22" spans="1:9">
      <c r="E22" s="4" t="s">
        <v>2063</v>
      </c>
      <c r="F22" s="4" t="s">
        <v>2064</v>
      </c>
    </row>
    <row r="23" spans="1:9">
      <c r="A23" s="7" t="s">
        <v>2065</v>
      </c>
      <c r="B23" s="7">
        <v>300</v>
      </c>
      <c r="C23" s="7">
        <v>33</v>
      </c>
      <c r="D23" s="7">
        <v>9.1</v>
      </c>
      <c r="E23" s="7" t="s">
        <v>2042</v>
      </c>
      <c r="F23" s="7" t="s">
        <v>2032</v>
      </c>
    </row>
    <row r="24" spans="1:9">
      <c r="A24" s="7" t="s">
        <v>2066</v>
      </c>
      <c r="B24" s="7">
        <v>380</v>
      </c>
      <c r="C24" s="7">
        <v>30</v>
      </c>
      <c r="D24" s="7">
        <v>12.7</v>
      </c>
      <c r="E24" s="7" t="s">
        <v>2042</v>
      </c>
      <c r="F24" s="7" t="s">
        <v>2045</v>
      </c>
    </row>
    <row r="25" spans="1:9">
      <c r="A25" s="7" t="s">
        <v>2067</v>
      </c>
      <c r="B25" s="7">
        <v>450</v>
      </c>
      <c r="C25" s="7">
        <v>25</v>
      </c>
      <c r="D25" s="7">
        <v>18</v>
      </c>
      <c r="E25" s="7" t="s">
        <v>2048</v>
      </c>
      <c r="F25" s="7" t="s">
        <v>2033</v>
      </c>
    </row>
    <row r="26" spans="1:9">
      <c r="A26" s="7" t="s">
        <v>2068</v>
      </c>
      <c r="B26" s="7">
        <v>480</v>
      </c>
      <c r="C26" s="7">
        <v>25</v>
      </c>
      <c r="D26" s="7">
        <v>19.2</v>
      </c>
      <c r="E26" s="7" t="s">
        <v>2048</v>
      </c>
      <c r="F26" s="7" t="s">
        <v>2042</v>
      </c>
    </row>
    <row r="27" spans="1:9">
      <c r="A27" s="7" t="s">
        <v>2069</v>
      </c>
      <c r="B27" s="7">
        <v>510</v>
      </c>
      <c r="C27" s="7">
        <v>25</v>
      </c>
      <c r="D27" s="7">
        <v>20.399999999999999</v>
      </c>
      <c r="E27" s="7" t="s">
        <v>2048</v>
      </c>
      <c r="F27" s="7" t="s">
        <v>2032</v>
      </c>
    </row>
    <row r="28" spans="1:9">
      <c r="A28" s="7" t="s">
        <v>2070</v>
      </c>
      <c r="B28" s="7">
        <v>550</v>
      </c>
      <c r="C28" s="7">
        <v>25</v>
      </c>
      <c r="D28" s="7">
        <v>22</v>
      </c>
      <c r="E28" s="7" t="s">
        <v>2048</v>
      </c>
      <c r="F28" s="7" t="s">
        <v>2048</v>
      </c>
    </row>
    <row r="29" spans="1:9">
      <c r="A29" s="7" t="s">
        <v>2071</v>
      </c>
      <c r="B29" s="7">
        <v>580</v>
      </c>
      <c r="C29" s="7">
        <v>25</v>
      </c>
      <c r="D29" s="7">
        <v>23.2</v>
      </c>
      <c r="E29" s="7" t="s">
        <v>2048</v>
      </c>
      <c r="F29" s="7" t="s">
        <v>2045</v>
      </c>
    </row>
    <row r="30" spans="1:9">
      <c r="A30" s="7" t="s">
        <v>2072</v>
      </c>
      <c r="B30" s="7">
        <v>690</v>
      </c>
      <c r="C30" s="7">
        <v>25</v>
      </c>
      <c r="D30" s="7">
        <v>27.6</v>
      </c>
      <c r="E30" s="7" t="s">
        <v>2048</v>
      </c>
      <c r="F30" s="7" t="s">
        <v>2053</v>
      </c>
    </row>
    <row r="31" spans="1:9">
      <c r="A31" s="7" t="s">
        <v>2073</v>
      </c>
      <c r="B31" s="7">
        <v>775</v>
      </c>
      <c r="C31" s="7">
        <v>25</v>
      </c>
      <c r="D31" s="7">
        <v>31</v>
      </c>
      <c r="E31" s="7" t="s">
        <v>2050</v>
      </c>
      <c r="F31" s="7" t="s">
        <v>2033</v>
      </c>
    </row>
    <row r="32" spans="1:9">
      <c r="A32" s="7" t="s">
        <v>2074</v>
      </c>
      <c r="B32" s="7">
        <v>820</v>
      </c>
      <c r="C32" s="7">
        <v>25</v>
      </c>
      <c r="D32" s="7">
        <v>32.799999999999997</v>
      </c>
      <c r="E32" s="7" t="s">
        <v>2050</v>
      </c>
      <c r="F32" s="7" t="s">
        <v>2039</v>
      </c>
    </row>
    <row r="33" spans="1:11">
      <c r="A33" s="7" t="s">
        <v>2075</v>
      </c>
      <c r="B33" s="7">
        <v>875</v>
      </c>
      <c r="C33" s="7">
        <v>25</v>
      </c>
      <c r="D33" s="7">
        <v>35</v>
      </c>
      <c r="E33" s="7" t="s">
        <v>2050</v>
      </c>
      <c r="F33" s="7" t="s">
        <v>2048</v>
      </c>
    </row>
    <row r="34" spans="1:11">
      <c r="A34" s="7" t="s">
        <v>2076</v>
      </c>
      <c r="B34" s="8">
        <v>1000</v>
      </c>
      <c r="C34" s="7">
        <v>25</v>
      </c>
      <c r="D34" s="7">
        <v>40</v>
      </c>
      <c r="E34" s="7" t="s">
        <v>2050</v>
      </c>
      <c r="F34" s="7" t="s">
        <v>2053</v>
      </c>
    </row>
    <row r="35" spans="1:11">
      <c r="A35" s="7" t="s">
        <v>2077</v>
      </c>
      <c r="B35" s="8">
        <v>1100</v>
      </c>
      <c r="C35" s="7">
        <v>25</v>
      </c>
      <c r="D35" s="7">
        <v>44</v>
      </c>
      <c r="E35" s="7" t="s">
        <v>2050</v>
      </c>
      <c r="F35" s="7" t="s">
        <v>2051</v>
      </c>
    </row>
    <row r="36" spans="1:11">
      <c r="A36" s="7" t="s">
        <v>2078</v>
      </c>
      <c r="B36" s="8">
        <v>1150</v>
      </c>
      <c r="C36" s="7">
        <v>24</v>
      </c>
      <c r="D36" s="7">
        <v>47.9</v>
      </c>
      <c r="E36" s="7" t="s">
        <v>2050</v>
      </c>
      <c r="F36" s="7" t="s">
        <v>2050</v>
      </c>
    </row>
    <row r="37" spans="1:11">
      <c r="A37" s="7" t="s">
        <v>2079</v>
      </c>
      <c r="B37" s="8">
        <v>1275</v>
      </c>
      <c r="C37" s="7">
        <v>20</v>
      </c>
      <c r="D37" s="7">
        <v>63.8</v>
      </c>
      <c r="E37" s="7" t="s">
        <v>2051</v>
      </c>
      <c r="F37" s="7" t="s">
        <v>2080</v>
      </c>
    </row>
    <row r="39" spans="1:11">
      <c r="A39" s="7" t="s">
        <v>2081</v>
      </c>
      <c r="B39" s="7">
        <v>50</v>
      </c>
      <c r="C39" s="7">
        <v>50</v>
      </c>
      <c r="D39" s="7">
        <v>1</v>
      </c>
      <c r="E39" s="7" t="s">
        <v>2053</v>
      </c>
      <c r="G39" s="7">
        <v>93176730</v>
      </c>
      <c r="H39" s="7" t="s">
        <v>2082</v>
      </c>
      <c r="K39" s="126" t="s">
        <v>2083</v>
      </c>
    </row>
    <row r="40" spans="1:11">
      <c r="A40" s="7" t="s">
        <v>2084</v>
      </c>
      <c r="B40" s="7">
        <v>75</v>
      </c>
      <c r="C40" s="7">
        <v>50</v>
      </c>
      <c r="D40" s="7">
        <v>1.5</v>
      </c>
      <c r="E40" s="7" t="s">
        <v>2055</v>
      </c>
      <c r="G40" s="7">
        <v>93176746</v>
      </c>
      <c r="H40" s="7" t="s">
        <v>2082</v>
      </c>
    </row>
    <row r="41" spans="1:11">
      <c r="A41" s="7" t="s">
        <v>2085</v>
      </c>
      <c r="B41" s="7">
        <v>110</v>
      </c>
      <c r="C41" s="7">
        <v>50</v>
      </c>
      <c r="D41" s="7">
        <v>2.2000000000000002</v>
      </c>
      <c r="E41" s="7" t="s">
        <v>2032</v>
      </c>
      <c r="G41" s="7">
        <v>93176748</v>
      </c>
      <c r="H41" s="7" t="s">
        <v>2082</v>
      </c>
    </row>
    <row r="42" spans="1:11">
      <c r="A42" s="7" t="s">
        <v>2086</v>
      </c>
      <c r="B42" s="7">
        <v>150</v>
      </c>
      <c r="C42" s="7">
        <v>50</v>
      </c>
      <c r="D42" s="7">
        <v>3</v>
      </c>
      <c r="E42" s="7" t="s">
        <v>2035</v>
      </c>
      <c r="G42" s="7">
        <v>93176749</v>
      </c>
      <c r="H42" s="7" t="s">
        <v>2082</v>
      </c>
    </row>
    <row r="43" spans="1:11">
      <c r="A43" s="7" t="s">
        <v>2087</v>
      </c>
      <c r="B43" s="7">
        <v>200</v>
      </c>
      <c r="C43" s="7">
        <v>50</v>
      </c>
      <c r="D43" s="7">
        <v>4</v>
      </c>
      <c r="E43" s="7" t="s">
        <v>2051</v>
      </c>
      <c r="G43" s="7">
        <v>93176761</v>
      </c>
      <c r="H43" s="7" t="s">
        <v>2082</v>
      </c>
    </row>
    <row r="44" spans="1:11">
      <c r="A44" s="7" t="s">
        <v>2088</v>
      </c>
      <c r="B44" s="7">
        <v>250</v>
      </c>
      <c r="C44" s="7">
        <v>50</v>
      </c>
      <c r="D44" s="7">
        <v>5</v>
      </c>
      <c r="E44" s="7" t="s">
        <v>2051</v>
      </c>
      <c r="F44" s="7" t="s">
        <v>2042</v>
      </c>
      <c r="G44" s="7">
        <v>93176760</v>
      </c>
      <c r="H44" s="7" t="s">
        <v>2082</v>
      </c>
    </row>
    <row r="45" spans="1:11">
      <c r="A45" s="7" t="s">
        <v>2089</v>
      </c>
      <c r="B45" s="7">
        <v>350</v>
      </c>
      <c r="C45" s="7">
        <v>40</v>
      </c>
      <c r="D45" s="7">
        <v>8.8000000000000007</v>
      </c>
      <c r="E45" s="7" t="s">
        <v>2051</v>
      </c>
      <c r="F45" s="7" t="s">
        <v>2048</v>
      </c>
      <c r="G45" s="7">
        <v>93176762</v>
      </c>
      <c r="H45" s="7" t="s">
        <v>2082</v>
      </c>
    </row>
    <row r="46" spans="1:11">
      <c r="E46" s="4" t="s">
        <v>2090</v>
      </c>
      <c r="F46" s="4" t="s">
        <v>2064</v>
      </c>
    </row>
    <row r="47" spans="1:11">
      <c r="A47" s="7" t="s">
        <v>2091</v>
      </c>
      <c r="B47" s="7">
        <v>65</v>
      </c>
      <c r="C47" s="7">
        <v>50</v>
      </c>
      <c r="D47" s="7">
        <v>1.3</v>
      </c>
      <c r="E47" s="7" t="s">
        <v>2039</v>
      </c>
    </row>
    <row r="48" spans="1:11">
      <c r="A48" s="7" t="s">
        <v>2092</v>
      </c>
      <c r="B48" s="7">
        <v>125</v>
      </c>
      <c r="C48" s="7">
        <v>50</v>
      </c>
      <c r="D48" s="7">
        <v>2.5</v>
      </c>
      <c r="E48" s="7" t="s">
        <v>2042</v>
      </c>
    </row>
    <row r="49" spans="1:6">
      <c r="A49" s="7" t="s">
        <v>2093</v>
      </c>
      <c r="B49" s="7">
        <v>195</v>
      </c>
      <c r="C49" s="7">
        <v>50</v>
      </c>
      <c r="D49" s="7">
        <v>3.9</v>
      </c>
      <c r="E49" s="7" t="s">
        <v>2042</v>
      </c>
      <c r="F49" s="7" t="s">
        <v>2039</v>
      </c>
    </row>
    <row r="50" spans="1:6">
      <c r="A50" s="7" t="s">
        <v>2094</v>
      </c>
      <c r="B50" s="7">
        <v>225</v>
      </c>
      <c r="C50" s="7">
        <v>50</v>
      </c>
      <c r="D50" s="7">
        <v>4.5</v>
      </c>
      <c r="E50" s="7" t="s">
        <v>2045</v>
      </c>
    </row>
    <row r="51" spans="1:6">
      <c r="A51" s="7" t="s">
        <v>2095</v>
      </c>
      <c r="B51" s="7">
        <v>295</v>
      </c>
      <c r="C51" s="7">
        <v>50</v>
      </c>
      <c r="D51" s="7">
        <v>5.9</v>
      </c>
      <c r="E51" s="7" t="s">
        <v>2045</v>
      </c>
      <c r="F51" s="7" t="s">
        <v>2039</v>
      </c>
    </row>
    <row r="52" spans="1:6">
      <c r="A52" s="7" t="s">
        <v>2096</v>
      </c>
      <c r="B52" s="7">
        <v>350</v>
      </c>
      <c r="C52" s="7">
        <v>50</v>
      </c>
      <c r="D52" s="7">
        <v>7</v>
      </c>
      <c r="E52" s="7" t="s">
        <v>2045</v>
      </c>
      <c r="F52" s="7" t="s">
        <v>2042</v>
      </c>
    </row>
    <row r="53" spans="1:6">
      <c r="A53" s="7" t="s">
        <v>2097</v>
      </c>
      <c r="B53" s="7">
        <v>450</v>
      </c>
      <c r="C53" s="7">
        <v>50</v>
      </c>
      <c r="D53" s="7">
        <v>9</v>
      </c>
      <c r="E53" s="7" t="s">
        <v>2048</v>
      </c>
    </row>
    <row r="54" spans="1:6">
      <c r="A54" s="7" t="s">
        <v>2098</v>
      </c>
      <c r="B54" s="7">
        <v>520</v>
      </c>
      <c r="C54" s="7">
        <v>50</v>
      </c>
      <c r="D54" s="7">
        <v>10.4</v>
      </c>
      <c r="E54" s="7" t="s">
        <v>2048</v>
      </c>
      <c r="F54" s="7" t="s">
        <v>2039</v>
      </c>
    </row>
    <row r="55" spans="1:6">
      <c r="A55" s="7" t="s">
        <v>2099</v>
      </c>
      <c r="B55" s="7">
        <v>575</v>
      </c>
      <c r="C55" s="7">
        <v>50</v>
      </c>
      <c r="D55" s="7">
        <v>11.5</v>
      </c>
      <c r="E55" s="7" t="s">
        <v>2048</v>
      </c>
      <c r="F55" s="7" t="s">
        <v>2042</v>
      </c>
    </row>
    <row r="56" spans="1:6">
      <c r="A56" s="7" t="s">
        <v>2100</v>
      </c>
      <c r="B56" s="7">
        <v>700</v>
      </c>
      <c r="C56" s="7">
        <v>50</v>
      </c>
      <c r="D56" s="7">
        <v>14</v>
      </c>
      <c r="E56" s="7" t="s">
        <v>2048</v>
      </c>
      <c r="F56" s="7" t="s">
        <v>2045</v>
      </c>
    </row>
    <row r="57" spans="1:6">
      <c r="A57" s="7" t="s">
        <v>2101</v>
      </c>
      <c r="B57" s="7">
        <v>650</v>
      </c>
      <c r="C57" s="7">
        <v>50</v>
      </c>
      <c r="D57" s="7">
        <v>13</v>
      </c>
      <c r="E57" s="7" t="s">
        <v>2050</v>
      </c>
    </row>
    <row r="58" spans="1:6">
      <c r="A58" s="7" t="s">
        <v>764</v>
      </c>
      <c r="B58" s="7">
        <v>775</v>
      </c>
      <c r="C58" s="7">
        <v>50</v>
      </c>
      <c r="D58" s="7">
        <v>15.5</v>
      </c>
      <c r="E58" s="7" t="s">
        <v>2050</v>
      </c>
      <c r="F58" s="7" t="s">
        <v>2042</v>
      </c>
    </row>
    <row r="59" spans="1:6">
      <c r="A59" s="7" t="s">
        <v>2102</v>
      </c>
      <c r="B59" s="7">
        <v>900</v>
      </c>
      <c r="C59" s="7">
        <v>50</v>
      </c>
      <c r="D59" s="7">
        <v>18</v>
      </c>
      <c r="E59" s="7" t="s">
        <v>2050</v>
      </c>
      <c r="F59" s="7" t="s">
        <v>2045</v>
      </c>
    </row>
    <row r="60" spans="1:6">
      <c r="A60" s="7" t="s">
        <v>758</v>
      </c>
      <c r="B60" s="8">
        <v>1000</v>
      </c>
      <c r="C60" s="7">
        <v>50</v>
      </c>
      <c r="D60" s="7">
        <v>20</v>
      </c>
      <c r="E60" s="7" t="s">
        <v>2050</v>
      </c>
      <c r="F60" s="7" t="s">
        <v>2048</v>
      </c>
    </row>
    <row r="61" spans="1:6">
      <c r="A61" s="7" t="s">
        <v>758</v>
      </c>
      <c r="B61" s="8">
        <v>1000</v>
      </c>
      <c r="C61" s="7">
        <v>50</v>
      </c>
      <c r="D61" s="7">
        <v>20</v>
      </c>
      <c r="E61" s="7" t="s">
        <v>2050</v>
      </c>
      <c r="F61" s="7" t="s">
        <v>2048</v>
      </c>
    </row>
  </sheetData>
  <dataValidations count="2">
    <dataValidation type="list" allowBlank="1" showErrorMessage="1" sqref="K6" xr:uid="{00000000-0002-0000-1E00-000000000000}">
      <formula1>"25mm,50mm"</formula1>
    </dataValidation>
    <dataValidation type="list" allowBlank="1" showErrorMessage="1" sqref="K5" xr:uid="{00000000-0002-0000-1E00-000001000000}">
      <formula1>"4,6"</formula1>
    </dataValidation>
  </dataValidations>
  <hyperlinks>
    <hyperlink ref="K1" r:id="rId1" xr:uid="{00000000-0004-0000-1E00-000000000000}"/>
    <hyperlink ref="K39" r:id="rId2" xr:uid="{00000000-0004-0000-1E00-00000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256"/>
  <sheetViews>
    <sheetView workbookViewId="0"/>
  </sheetViews>
  <sheetFormatPr defaultColWidth="12.5703125" defaultRowHeight="15.75" customHeight="1"/>
  <cols>
    <col min="1" max="2" width="12.7109375" customWidth="1"/>
    <col min="3" max="3" width="15" customWidth="1"/>
    <col min="4" max="4" width="21" customWidth="1"/>
    <col min="5" max="5" width="16.140625" customWidth="1"/>
    <col min="6" max="7" width="9.5703125" customWidth="1"/>
    <col min="8" max="9" width="12.7109375" customWidth="1"/>
    <col min="10" max="10" width="15" customWidth="1"/>
    <col min="11" max="11" width="31.85546875" customWidth="1"/>
    <col min="12" max="12" width="17.5703125" customWidth="1"/>
    <col min="13" max="26" width="12.7109375" customWidth="1"/>
  </cols>
  <sheetData>
    <row r="1" spans="1:26">
      <c r="A1" s="1" t="s">
        <v>1967</v>
      </c>
      <c r="B1" s="1" t="s">
        <v>2021</v>
      </c>
      <c r="C1" s="1" t="s">
        <v>2103</v>
      </c>
      <c r="D1" s="1" t="s">
        <v>2104</v>
      </c>
      <c r="E1" s="1" t="s">
        <v>2105</v>
      </c>
      <c r="F1" s="1" t="s">
        <v>2026</v>
      </c>
      <c r="G1" s="1" t="s">
        <v>2027</v>
      </c>
      <c r="H1" s="1" t="s">
        <v>2106</v>
      </c>
      <c r="I1" s="1" t="s">
        <v>1970</v>
      </c>
      <c r="J1" s="1" t="s">
        <v>2107</v>
      </c>
      <c r="K1" s="126" t="s">
        <v>2030</v>
      </c>
    </row>
    <row r="2" spans="1:26" ht="15.75" customHeight="1">
      <c r="A2" s="1"/>
      <c r="B2" s="1" t="s">
        <v>2031</v>
      </c>
      <c r="C2" s="1">
        <v>10</v>
      </c>
      <c r="D2" s="1">
        <v>33</v>
      </c>
      <c r="E2" s="1">
        <v>0.3</v>
      </c>
      <c r="F2" s="1" t="s">
        <v>2032</v>
      </c>
      <c r="G2" s="1" t="s">
        <v>2033</v>
      </c>
      <c r="H2" s="1"/>
      <c r="I2" s="1"/>
      <c r="J2" s="1"/>
      <c r="K2" s="129"/>
      <c r="L2" s="37" t="s">
        <v>2108</v>
      </c>
      <c r="M2" s="24" t="s">
        <v>1967</v>
      </c>
      <c r="N2" s="24" t="s">
        <v>2021</v>
      </c>
      <c r="O2" s="24" t="s">
        <v>2103</v>
      </c>
      <c r="P2" s="24" t="s">
        <v>2104</v>
      </c>
      <c r="Q2" s="24" t="s">
        <v>2105</v>
      </c>
      <c r="R2" s="24" t="s">
        <v>2026</v>
      </c>
      <c r="S2" s="24" t="s">
        <v>2027</v>
      </c>
      <c r="T2" s="24" t="s">
        <v>1975</v>
      </c>
      <c r="U2" s="24" t="s">
        <v>2107</v>
      </c>
      <c r="V2" s="24"/>
      <c r="W2" s="24"/>
      <c r="X2" s="24"/>
      <c r="Y2" s="24"/>
      <c r="Z2" s="24"/>
    </row>
    <row r="3" spans="1:26">
      <c r="A3" s="1">
        <v>92958833</v>
      </c>
      <c r="B3" s="1" t="s">
        <v>2034</v>
      </c>
      <c r="C3" s="1">
        <v>15</v>
      </c>
      <c r="D3" s="1">
        <v>33</v>
      </c>
      <c r="E3" s="1">
        <v>0.45</v>
      </c>
      <c r="F3" s="1" t="s">
        <v>2035</v>
      </c>
      <c r="G3" s="1" t="s">
        <v>2033</v>
      </c>
      <c r="H3" s="130">
        <v>102</v>
      </c>
      <c r="I3" s="1">
        <f t="shared" ref="I3:I9" si="0">H3*0.65</f>
        <v>66.3</v>
      </c>
      <c r="J3" s="1">
        <f t="shared" ref="J3:J9" si="1">I3*4</f>
        <v>265.2</v>
      </c>
      <c r="K3" s="129"/>
      <c r="L3" s="20" t="s">
        <v>79</v>
      </c>
      <c r="M3" s="131">
        <v>92932672</v>
      </c>
      <c r="N3" s="20" t="s">
        <v>2047</v>
      </c>
      <c r="O3" s="131">
        <v>125</v>
      </c>
      <c r="P3" s="131">
        <v>25</v>
      </c>
      <c r="Q3" s="131">
        <v>5</v>
      </c>
      <c r="R3" s="20" t="s">
        <v>2048</v>
      </c>
      <c r="S3" s="20" t="s">
        <v>2033</v>
      </c>
      <c r="T3" s="131">
        <v>59.52</v>
      </c>
      <c r="U3" s="131">
        <v>238.08</v>
      </c>
      <c r="V3" s="131"/>
      <c r="W3" s="131"/>
      <c r="X3" s="131"/>
      <c r="Y3" s="131"/>
      <c r="Z3" s="131"/>
    </row>
    <row r="4" spans="1:26">
      <c r="A4" s="1">
        <v>92926537</v>
      </c>
      <c r="B4" s="1" t="s">
        <v>2038</v>
      </c>
      <c r="C4" s="1">
        <v>30</v>
      </c>
      <c r="D4" s="1">
        <v>33</v>
      </c>
      <c r="E4" s="1">
        <v>0.9</v>
      </c>
      <c r="F4" s="1" t="s">
        <v>2039</v>
      </c>
      <c r="G4" s="1" t="s">
        <v>2033</v>
      </c>
      <c r="H4" s="130">
        <v>102</v>
      </c>
      <c r="I4" s="1">
        <f t="shared" si="0"/>
        <v>66.3</v>
      </c>
      <c r="J4" s="1">
        <f t="shared" si="1"/>
        <v>265.2</v>
      </c>
      <c r="K4" s="129"/>
      <c r="L4" s="20" t="s">
        <v>110</v>
      </c>
      <c r="M4" s="131">
        <v>92932673</v>
      </c>
      <c r="N4" s="20" t="s">
        <v>741</v>
      </c>
      <c r="O4" s="131">
        <v>175</v>
      </c>
      <c r="P4" s="131">
        <v>20</v>
      </c>
      <c r="Q4" s="131">
        <v>8.8000000000000007</v>
      </c>
      <c r="R4" s="20" t="s">
        <v>2050</v>
      </c>
      <c r="S4" s="20" t="s">
        <v>2033</v>
      </c>
      <c r="T4" s="131">
        <v>59.52</v>
      </c>
      <c r="U4" s="131">
        <v>238.08</v>
      </c>
      <c r="V4" s="131"/>
      <c r="W4" s="131"/>
      <c r="X4" s="131"/>
      <c r="Y4" s="131"/>
      <c r="Z4" s="131"/>
    </row>
    <row r="5" spans="1:26">
      <c r="A5" s="1">
        <v>92926485</v>
      </c>
      <c r="B5" s="1" t="s">
        <v>2041</v>
      </c>
      <c r="C5" s="1">
        <v>50</v>
      </c>
      <c r="D5" s="1">
        <v>28</v>
      </c>
      <c r="E5" s="1">
        <v>1.8</v>
      </c>
      <c r="F5" s="1" t="s">
        <v>2042</v>
      </c>
      <c r="G5" s="1" t="s">
        <v>2033</v>
      </c>
      <c r="H5" s="130">
        <v>102</v>
      </c>
      <c r="I5" s="1">
        <f t="shared" si="0"/>
        <v>66.3</v>
      </c>
      <c r="J5" s="1">
        <f t="shared" si="1"/>
        <v>265.2</v>
      </c>
      <c r="K5" s="129"/>
      <c r="L5" s="20" t="s">
        <v>123</v>
      </c>
      <c r="M5" s="131">
        <v>91338157</v>
      </c>
      <c r="N5" s="20" t="s">
        <v>744</v>
      </c>
      <c r="O5" s="131">
        <v>200</v>
      </c>
      <c r="P5" s="131">
        <v>15</v>
      </c>
      <c r="Q5" s="131">
        <v>13.3</v>
      </c>
      <c r="R5" s="20" t="s">
        <v>2051</v>
      </c>
      <c r="S5" s="20" t="s">
        <v>2033</v>
      </c>
      <c r="T5" s="131">
        <v>59.52</v>
      </c>
      <c r="U5" s="131">
        <v>238.08</v>
      </c>
      <c r="V5" s="131"/>
      <c r="W5" s="131"/>
      <c r="X5" s="131"/>
      <c r="Y5" s="131"/>
      <c r="Z5" s="131"/>
    </row>
    <row r="6" spans="1:26">
      <c r="A6" s="1">
        <v>92958789</v>
      </c>
      <c r="B6" s="1" t="s">
        <v>2044</v>
      </c>
      <c r="C6" s="1">
        <v>75</v>
      </c>
      <c r="D6" s="1">
        <v>25</v>
      </c>
      <c r="E6" s="1">
        <v>3</v>
      </c>
      <c r="F6" s="1" t="s">
        <v>2045</v>
      </c>
      <c r="G6" s="1" t="s">
        <v>2033</v>
      </c>
      <c r="H6" s="130">
        <v>102</v>
      </c>
      <c r="I6" s="1">
        <f t="shared" si="0"/>
        <v>66.3</v>
      </c>
      <c r="J6" s="1">
        <f t="shared" si="1"/>
        <v>265.2</v>
      </c>
      <c r="K6" s="129"/>
      <c r="L6" s="20" t="s">
        <v>140</v>
      </c>
      <c r="M6" s="131">
        <v>91338016</v>
      </c>
      <c r="N6" s="20" t="s">
        <v>746</v>
      </c>
      <c r="O6" s="131">
        <v>250</v>
      </c>
      <c r="P6" s="131">
        <v>28</v>
      </c>
      <c r="Q6" s="131">
        <v>8.9</v>
      </c>
      <c r="R6" s="20" t="s">
        <v>2045</v>
      </c>
      <c r="S6" s="20" t="s">
        <v>2033</v>
      </c>
      <c r="T6" s="131">
        <v>135.26</v>
      </c>
      <c r="U6" s="131">
        <v>541.04</v>
      </c>
      <c r="V6" s="131"/>
      <c r="W6" s="131"/>
      <c r="X6" s="131"/>
      <c r="Y6" s="131"/>
      <c r="Z6" s="131"/>
    </row>
    <row r="7" spans="1:26">
      <c r="A7" s="1">
        <v>92932672</v>
      </c>
      <c r="B7" s="1" t="s">
        <v>2047</v>
      </c>
      <c r="C7" s="1">
        <v>125</v>
      </c>
      <c r="D7" s="1">
        <v>25</v>
      </c>
      <c r="E7" s="1">
        <v>5</v>
      </c>
      <c r="F7" s="1" t="s">
        <v>2048</v>
      </c>
      <c r="G7" s="1" t="s">
        <v>2033</v>
      </c>
      <c r="H7" s="130">
        <v>102</v>
      </c>
      <c r="I7" s="1">
        <f t="shared" si="0"/>
        <v>66.3</v>
      </c>
      <c r="J7" s="1">
        <f t="shared" si="1"/>
        <v>265.2</v>
      </c>
      <c r="K7" s="129"/>
      <c r="L7" s="20" t="s">
        <v>166</v>
      </c>
      <c r="M7" s="131">
        <v>91338018</v>
      </c>
      <c r="N7" s="20" t="s">
        <v>735</v>
      </c>
      <c r="O7" s="131">
        <v>300</v>
      </c>
      <c r="P7" s="131">
        <v>28</v>
      </c>
      <c r="Q7" s="131">
        <v>10.7</v>
      </c>
      <c r="R7" s="20" t="s">
        <v>2048</v>
      </c>
      <c r="S7" s="20" t="s">
        <v>2033</v>
      </c>
      <c r="T7" s="131">
        <v>170.3</v>
      </c>
      <c r="U7" s="131">
        <v>613.20000000000005</v>
      </c>
      <c r="V7" s="131"/>
      <c r="W7" s="131"/>
      <c r="X7" s="131"/>
      <c r="Y7" s="131"/>
      <c r="Z7" s="131"/>
    </row>
    <row r="8" spans="1:26">
      <c r="A8" s="1">
        <v>92932673</v>
      </c>
      <c r="B8" s="1" t="s">
        <v>741</v>
      </c>
      <c r="C8" s="1">
        <v>175</v>
      </c>
      <c r="D8" s="1">
        <v>20</v>
      </c>
      <c r="E8" s="1">
        <v>8.8000000000000007</v>
      </c>
      <c r="F8" s="1" t="s">
        <v>2050</v>
      </c>
      <c r="G8" s="1" t="s">
        <v>2033</v>
      </c>
      <c r="H8" s="130">
        <v>102</v>
      </c>
      <c r="I8" s="1">
        <f t="shared" si="0"/>
        <v>66.3</v>
      </c>
      <c r="J8" s="1">
        <f t="shared" si="1"/>
        <v>265.2</v>
      </c>
      <c r="K8" s="129"/>
      <c r="L8" s="20" t="s">
        <v>196</v>
      </c>
      <c r="M8" s="131">
        <v>91338019</v>
      </c>
      <c r="N8" s="20" t="s">
        <v>733</v>
      </c>
      <c r="O8" s="131">
        <v>400</v>
      </c>
      <c r="P8" s="131">
        <v>25</v>
      </c>
      <c r="Q8" s="131">
        <v>16</v>
      </c>
      <c r="R8" s="20" t="s">
        <v>2050</v>
      </c>
      <c r="S8" s="20" t="s">
        <v>2033</v>
      </c>
      <c r="T8" s="131">
        <v>170.3</v>
      </c>
      <c r="U8" s="131">
        <v>613.20000000000005</v>
      </c>
      <c r="V8" s="131"/>
      <c r="W8" s="131"/>
      <c r="X8" s="131"/>
      <c r="Y8" s="131"/>
      <c r="Z8" s="131"/>
    </row>
    <row r="9" spans="1:26">
      <c r="A9" s="1">
        <v>91338157</v>
      </c>
      <c r="B9" s="1" t="s">
        <v>744</v>
      </c>
      <c r="C9" s="1">
        <v>200</v>
      </c>
      <c r="D9" s="1">
        <v>15</v>
      </c>
      <c r="E9" s="1">
        <v>13.3</v>
      </c>
      <c r="F9" s="1" t="s">
        <v>2051</v>
      </c>
      <c r="G9" s="1" t="s">
        <v>2033</v>
      </c>
      <c r="H9" s="130">
        <v>102</v>
      </c>
      <c r="I9" s="1">
        <f t="shared" si="0"/>
        <v>66.3</v>
      </c>
      <c r="J9" s="1">
        <f t="shared" si="1"/>
        <v>265.2</v>
      </c>
      <c r="K9" s="129"/>
      <c r="L9" s="20" t="s">
        <v>236</v>
      </c>
      <c r="M9" s="131">
        <v>91338020</v>
      </c>
      <c r="N9" s="20" t="s">
        <v>737</v>
      </c>
      <c r="O9" s="131">
        <v>550</v>
      </c>
      <c r="P9" s="131">
        <v>23</v>
      </c>
      <c r="Q9" s="131">
        <v>23.9</v>
      </c>
      <c r="R9" s="20" t="s">
        <v>2051</v>
      </c>
      <c r="S9" s="20" t="s">
        <v>2033</v>
      </c>
      <c r="T9" s="131">
        <v>170.3</v>
      </c>
      <c r="U9" s="131">
        <v>613.20000000000005</v>
      </c>
      <c r="V9" s="131"/>
      <c r="W9" s="131"/>
      <c r="X9" s="131"/>
      <c r="Y9" s="131"/>
      <c r="Z9" s="131"/>
    </row>
    <row r="10" spans="1:26">
      <c r="A10" s="1"/>
      <c r="B10" s="1" t="s">
        <v>2052</v>
      </c>
      <c r="C10" s="1">
        <v>10</v>
      </c>
      <c r="D10" s="1">
        <v>40</v>
      </c>
      <c r="E10" s="1">
        <v>0.3</v>
      </c>
      <c r="F10" s="1" t="s">
        <v>2053</v>
      </c>
      <c r="G10" s="1" t="s">
        <v>2033</v>
      </c>
      <c r="H10" s="1"/>
      <c r="I10" s="1"/>
      <c r="J10" s="1"/>
      <c r="K10" s="129"/>
      <c r="L10" s="20" t="s">
        <v>247</v>
      </c>
      <c r="M10" s="131">
        <v>91338021</v>
      </c>
      <c r="N10" s="20" t="s">
        <v>718</v>
      </c>
      <c r="O10" s="131">
        <v>650</v>
      </c>
      <c r="P10" s="131">
        <v>20</v>
      </c>
      <c r="Q10" s="131">
        <v>32.5</v>
      </c>
      <c r="R10" s="20" t="s">
        <v>2051</v>
      </c>
      <c r="S10" s="20" t="s">
        <v>2042</v>
      </c>
      <c r="T10" s="131">
        <v>170.3</v>
      </c>
      <c r="U10" s="131">
        <v>613.20000000000005</v>
      </c>
      <c r="V10" s="131"/>
      <c r="W10" s="131"/>
      <c r="X10" s="131"/>
      <c r="Y10" s="131"/>
      <c r="Z10" s="131"/>
    </row>
    <row r="11" spans="1:26">
      <c r="A11" s="1"/>
      <c r="B11" s="1" t="s">
        <v>2054</v>
      </c>
      <c r="C11" s="1">
        <v>20</v>
      </c>
      <c r="D11" s="1">
        <v>38</v>
      </c>
      <c r="E11" s="1">
        <v>0.5</v>
      </c>
      <c r="F11" s="1" t="s">
        <v>2055</v>
      </c>
      <c r="G11" s="1" t="s">
        <v>2033</v>
      </c>
      <c r="H11" s="1"/>
      <c r="I11" s="1"/>
      <c r="J11" s="1"/>
      <c r="K11" s="129"/>
      <c r="L11" s="130"/>
      <c r="M11" s="130"/>
      <c r="N11" s="130"/>
      <c r="O11" s="130"/>
      <c r="P11" s="130"/>
    </row>
    <row r="12" spans="1:26">
      <c r="A12" s="1"/>
      <c r="B12" s="1" t="s">
        <v>2056</v>
      </c>
      <c r="C12" s="1">
        <v>35</v>
      </c>
      <c r="D12" s="1">
        <v>35</v>
      </c>
      <c r="E12" s="1">
        <v>1</v>
      </c>
      <c r="F12" s="1" t="s">
        <v>2055</v>
      </c>
      <c r="G12" s="1" t="s">
        <v>2042</v>
      </c>
      <c r="H12" s="1"/>
      <c r="I12" s="1"/>
      <c r="J12" s="1"/>
      <c r="K12" s="129"/>
      <c r="L12" s="130"/>
      <c r="M12" s="130"/>
      <c r="N12" s="130"/>
      <c r="O12" s="130"/>
      <c r="P12" s="130"/>
    </row>
    <row r="13" spans="1:26">
      <c r="A13" s="1">
        <v>91338013</v>
      </c>
      <c r="B13" s="1" t="s">
        <v>2057</v>
      </c>
      <c r="C13" s="1">
        <v>50</v>
      </c>
      <c r="D13" s="1">
        <v>33</v>
      </c>
      <c r="E13" s="1">
        <v>1.5</v>
      </c>
      <c r="F13" s="1" t="s">
        <v>2032</v>
      </c>
      <c r="G13" s="1" t="s">
        <v>2033</v>
      </c>
      <c r="H13" s="130">
        <v>205.94</v>
      </c>
      <c r="I13" s="1"/>
      <c r="J13" s="1"/>
      <c r="K13" s="129"/>
      <c r="L13" s="130"/>
      <c r="M13" s="130"/>
      <c r="N13" s="130"/>
      <c r="O13" s="130"/>
      <c r="P13" s="130"/>
    </row>
    <row r="14" spans="1:26">
      <c r="A14" s="1">
        <v>91338014</v>
      </c>
      <c r="B14" s="1" t="s">
        <v>2059</v>
      </c>
      <c r="C14" s="1">
        <v>100</v>
      </c>
      <c r="D14" s="1">
        <v>33</v>
      </c>
      <c r="E14" s="1">
        <v>3</v>
      </c>
      <c r="F14" s="1" t="s">
        <v>2035</v>
      </c>
      <c r="G14" s="1" t="s">
        <v>2033</v>
      </c>
      <c r="H14" s="130">
        <v>205.94</v>
      </c>
      <c r="I14" s="1">
        <v>135.26</v>
      </c>
      <c r="J14" s="1">
        <f t="shared" ref="J14:J21" si="2">I14*4</f>
        <v>541.04</v>
      </c>
      <c r="K14" s="129">
        <f>206*0.6</f>
        <v>123.6</v>
      </c>
      <c r="L14" s="130"/>
      <c r="M14" s="130"/>
      <c r="N14" s="130"/>
      <c r="O14" s="130"/>
      <c r="P14" s="130"/>
    </row>
    <row r="15" spans="1:26">
      <c r="A15" s="1">
        <v>91338015</v>
      </c>
      <c r="B15" s="1" t="s">
        <v>2060</v>
      </c>
      <c r="C15" s="1">
        <v>150</v>
      </c>
      <c r="D15" s="1">
        <v>30</v>
      </c>
      <c r="E15" s="1">
        <v>5</v>
      </c>
      <c r="F15" s="1" t="s">
        <v>2039</v>
      </c>
      <c r="G15" s="1" t="s">
        <v>2033</v>
      </c>
      <c r="H15" s="130">
        <v>205.94</v>
      </c>
      <c r="I15" s="1">
        <v>135.26</v>
      </c>
      <c r="J15" s="1">
        <f t="shared" si="2"/>
        <v>541.04</v>
      </c>
      <c r="K15" s="129">
        <f>K14*4</f>
        <v>494.4</v>
      </c>
    </row>
    <row r="16" spans="1:26">
      <c r="A16" s="1">
        <v>91338016</v>
      </c>
      <c r="B16" s="1" t="s">
        <v>2061</v>
      </c>
      <c r="C16" s="1">
        <v>200</v>
      </c>
      <c r="D16" s="1">
        <v>30</v>
      </c>
      <c r="E16" s="1">
        <v>6.7</v>
      </c>
      <c r="F16" s="1" t="s">
        <v>2042</v>
      </c>
      <c r="G16" s="1" t="s">
        <v>2033</v>
      </c>
      <c r="H16" s="130">
        <v>205.94</v>
      </c>
      <c r="I16" s="1">
        <v>135.26</v>
      </c>
      <c r="J16" s="1">
        <f t="shared" si="2"/>
        <v>541.04</v>
      </c>
      <c r="K16" s="129"/>
    </row>
    <row r="17" spans="1:26">
      <c r="A17" s="1">
        <v>91338017</v>
      </c>
      <c r="B17" s="1" t="s">
        <v>746</v>
      </c>
      <c r="C17" s="1">
        <v>250</v>
      </c>
      <c r="D17" s="1">
        <v>28</v>
      </c>
      <c r="E17" s="1">
        <v>8.9</v>
      </c>
      <c r="F17" s="1" t="s">
        <v>2045</v>
      </c>
      <c r="G17" s="1" t="s">
        <v>2033</v>
      </c>
      <c r="I17" s="1">
        <v>135.26</v>
      </c>
      <c r="J17" s="1">
        <f t="shared" si="2"/>
        <v>541.04</v>
      </c>
      <c r="K17" s="129"/>
      <c r="M17" s="9" t="s">
        <v>2037</v>
      </c>
      <c r="N17" s="3"/>
    </row>
    <row r="18" spans="1:26">
      <c r="A18" s="1">
        <v>91338018</v>
      </c>
      <c r="B18" s="1" t="s">
        <v>735</v>
      </c>
      <c r="C18" s="1">
        <v>300</v>
      </c>
      <c r="D18" s="1">
        <v>28</v>
      </c>
      <c r="E18" s="1">
        <v>10.7</v>
      </c>
      <c r="F18" s="1" t="s">
        <v>2048</v>
      </c>
      <c r="G18" s="1" t="s">
        <v>2033</v>
      </c>
      <c r="I18" s="1">
        <v>170.3</v>
      </c>
      <c r="J18" s="1">
        <f t="shared" si="2"/>
        <v>681.2</v>
      </c>
      <c r="K18" s="129"/>
      <c r="M18" s="3" t="s">
        <v>2040</v>
      </c>
      <c r="N18" s="3">
        <v>1632</v>
      </c>
    </row>
    <row r="19" spans="1:26">
      <c r="A19" s="1">
        <v>91338019</v>
      </c>
      <c r="B19" s="1" t="s">
        <v>733</v>
      </c>
      <c r="C19" s="1">
        <v>400</v>
      </c>
      <c r="D19" s="1">
        <v>25</v>
      </c>
      <c r="E19" s="1">
        <v>16</v>
      </c>
      <c r="F19" s="1" t="s">
        <v>2050</v>
      </c>
      <c r="G19" s="1" t="s">
        <v>2033</v>
      </c>
      <c r="H19" s="130"/>
      <c r="I19" s="1">
        <v>170.3</v>
      </c>
      <c r="J19" s="1">
        <f t="shared" si="2"/>
        <v>681.2</v>
      </c>
      <c r="K19" s="129"/>
      <c r="M19" s="3" t="s">
        <v>2043</v>
      </c>
      <c r="N19" s="3">
        <v>6</v>
      </c>
    </row>
    <row r="20" spans="1:26">
      <c r="A20" s="1">
        <v>91338020</v>
      </c>
      <c r="B20" s="1" t="s">
        <v>737</v>
      </c>
      <c r="C20" s="1">
        <v>550</v>
      </c>
      <c r="D20" s="1">
        <v>23</v>
      </c>
      <c r="E20" s="1">
        <v>23.9</v>
      </c>
      <c r="F20" s="1" t="s">
        <v>2051</v>
      </c>
      <c r="G20" s="1" t="s">
        <v>2033</v>
      </c>
      <c r="H20" s="130">
        <v>233.4</v>
      </c>
      <c r="I20" s="1">
        <v>170.3</v>
      </c>
      <c r="J20" s="1">
        <f t="shared" si="2"/>
        <v>681.2</v>
      </c>
      <c r="K20" s="129"/>
      <c r="M20" s="3" t="s">
        <v>2024</v>
      </c>
      <c r="N20" s="127" t="s">
        <v>2046</v>
      </c>
    </row>
    <row r="21" spans="1:26">
      <c r="A21" s="1">
        <v>91338021</v>
      </c>
      <c r="B21" s="1" t="s">
        <v>718</v>
      </c>
      <c r="C21" s="1">
        <v>650</v>
      </c>
      <c r="D21" s="1">
        <v>20</v>
      </c>
      <c r="E21" s="1">
        <v>32.5</v>
      </c>
      <c r="F21" s="1" t="s">
        <v>2051</v>
      </c>
      <c r="G21" s="1" t="s">
        <v>2042</v>
      </c>
      <c r="H21" s="130">
        <v>233.4</v>
      </c>
      <c r="I21" s="1">
        <v>170.3</v>
      </c>
      <c r="J21" s="1">
        <f t="shared" si="2"/>
        <v>681.2</v>
      </c>
      <c r="K21" s="129">
        <f>6112+2826</f>
        <v>8938</v>
      </c>
      <c r="M21" s="3" t="s">
        <v>2049</v>
      </c>
      <c r="N21" s="128">
        <f>N18/N19</f>
        <v>272</v>
      </c>
    </row>
    <row r="22" spans="1:26">
      <c r="A22" s="1"/>
      <c r="B22" s="1"/>
      <c r="C22" s="1"/>
      <c r="D22" s="1"/>
      <c r="E22" s="1"/>
      <c r="F22" s="2" t="s">
        <v>2063</v>
      </c>
      <c r="G22" s="2" t="s">
        <v>2064</v>
      </c>
      <c r="H22" s="1"/>
      <c r="I22" s="1"/>
      <c r="J22" s="1"/>
      <c r="K22" s="129"/>
    </row>
    <row r="23" spans="1:26">
      <c r="A23" s="1"/>
      <c r="B23" s="1" t="s">
        <v>2065</v>
      </c>
      <c r="C23" s="1">
        <v>300</v>
      </c>
      <c r="D23" s="1">
        <v>33</v>
      </c>
      <c r="E23" s="1">
        <v>9.1</v>
      </c>
      <c r="F23" s="1" t="s">
        <v>2042</v>
      </c>
      <c r="G23" s="1" t="s">
        <v>2032</v>
      </c>
      <c r="H23" s="1"/>
      <c r="I23" s="1"/>
      <c r="J23" s="1"/>
      <c r="K23" s="129">
        <f>2627*2</f>
        <v>5254</v>
      </c>
    </row>
    <row r="24" spans="1:26">
      <c r="A24" s="1"/>
      <c r="B24" s="1" t="s">
        <v>2066</v>
      </c>
      <c r="C24" s="1">
        <v>380</v>
      </c>
      <c r="D24" s="1">
        <v>30</v>
      </c>
      <c r="E24" s="1">
        <v>12.7</v>
      </c>
      <c r="F24" s="1" t="s">
        <v>2042</v>
      </c>
      <c r="G24" s="1" t="s">
        <v>2045</v>
      </c>
      <c r="H24" s="1"/>
      <c r="I24" s="1"/>
      <c r="J24" s="1"/>
      <c r="K24" s="129"/>
    </row>
    <row r="25" spans="1:26">
      <c r="A25" s="1"/>
      <c r="B25" s="1" t="s">
        <v>2067</v>
      </c>
      <c r="C25" s="1">
        <v>450</v>
      </c>
      <c r="D25" s="1">
        <v>25</v>
      </c>
      <c r="E25" s="1">
        <v>18</v>
      </c>
      <c r="F25" s="1" t="s">
        <v>2048</v>
      </c>
      <c r="G25" s="1" t="s">
        <v>2033</v>
      </c>
      <c r="H25" s="1"/>
      <c r="I25" s="1"/>
      <c r="J25" s="1"/>
      <c r="K25" s="129">
        <f>K21-K23</f>
        <v>3684</v>
      </c>
    </row>
    <row r="26" spans="1:26">
      <c r="A26" s="1"/>
      <c r="B26" s="1" t="s">
        <v>2068</v>
      </c>
      <c r="C26" s="1">
        <v>480</v>
      </c>
      <c r="D26" s="1">
        <v>25</v>
      </c>
      <c r="E26" s="1">
        <v>19.2</v>
      </c>
      <c r="F26" s="1" t="s">
        <v>2048</v>
      </c>
      <c r="G26" s="1" t="s">
        <v>2042</v>
      </c>
      <c r="H26" s="1"/>
      <c r="I26" s="1"/>
      <c r="J26" s="1"/>
      <c r="K26" s="129"/>
    </row>
    <row r="27" spans="1:26">
      <c r="A27" s="1"/>
      <c r="B27" s="1" t="s">
        <v>2069</v>
      </c>
      <c r="C27" s="1">
        <v>510</v>
      </c>
      <c r="D27" s="1">
        <v>25</v>
      </c>
      <c r="E27" s="1">
        <v>20.399999999999999</v>
      </c>
      <c r="F27" s="1" t="s">
        <v>2048</v>
      </c>
      <c r="G27" s="1" t="s">
        <v>2032</v>
      </c>
      <c r="H27" s="1"/>
      <c r="I27" s="1"/>
      <c r="J27" s="1"/>
      <c r="K27" s="129"/>
    </row>
    <row r="28" spans="1:26">
      <c r="A28" s="1"/>
      <c r="B28" s="1" t="s">
        <v>2070</v>
      </c>
      <c r="C28" s="1">
        <v>550</v>
      </c>
      <c r="D28" s="1">
        <v>25</v>
      </c>
      <c r="E28" s="1">
        <v>22</v>
      </c>
      <c r="F28" s="1" t="s">
        <v>2048</v>
      </c>
      <c r="G28" s="1" t="s">
        <v>2048</v>
      </c>
      <c r="H28" s="1"/>
      <c r="I28" s="1"/>
      <c r="J28" s="1"/>
      <c r="K28" s="129"/>
      <c r="P28" s="7" t="s">
        <v>2047</v>
      </c>
      <c r="Q28" s="131">
        <v>125</v>
      </c>
      <c r="R28" s="131">
        <v>93176749</v>
      </c>
      <c r="S28" s="1" t="s">
        <v>2086</v>
      </c>
      <c r="T28" s="1">
        <v>150</v>
      </c>
      <c r="U28" s="1">
        <v>50</v>
      </c>
      <c r="V28" s="1" t="s">
        <v>2082</v>
      </c>
      <c r="W28" s="1"/>
      <c r="X28" s="1"/>
      <c r="Y28" s="1"/>
      <c r="Z28" s="1"/>
    </row>
    <row r="29" spans="1:26">
      <c r="A29" s="1"/>
      <c r="B29" s="1" t="s">
        <v>2071</v>
      </c>
      <c r="C29" s="1">
        <v>580</v>
      </c>
      <c r="D29" s="1">
        <v>25</v>
      </c>
      <c r="E29" s="1">
        <v>23.2</v>
      </c>
      <c r="F29" s="1" t="s">
        <v>2048</v>
      </c>
      <c r="G29" s="1" t="s">
        <v>2045</v>
      </c>
      <c r="H29" s="1"/>
      <c r="I29" s="1"/>
      <c r="J29" s="1"/>
      <c r="K29" s="129"/>
      <c r="P29" s="7" t="s">
        <v>741</v>
      </c>
      <c r="Q29" s="131">
        <v>175</v>
      </c>
      <c r="R29" s="131">
        <v>93176761</v>
      </c>
      <c r="S29" s="1" t="s">
        <v>2087</v>
      </c>
      <c r="T29" s="1">
        <v>200</v>
      </c>
      <c r="U29" s="1">
        <v>50</v>
      </c>
      <c r="V29" s="1" t="s">
        <v>2109</v>
      </c>
      <c r="W29" s="1"/>
      <c r="X29" s="1"/>
      <c r="Y29" s="1"/>
      <c r="Z29" s="1"/>
    </row>
    <row r="30" spans="1:26">
      <c r="A30" s="1"/>
      <c r="B30" s="1" t="s">
        <v>2072</v>
      </c>
      <c r="C30" s="1">
        <v>690</v>
      </c>
      <c r="D30" s="1">
        <v>25</v>
      </c>
      <c r="E30" s="1">
        <v>27.6</v>
      </c>
      <c r="F30" s="1" t="s">
        <v>2048</v>
      </c>
      <c r="G30" s="1" t="s">
        <v>2053</v>
      </c>
      <c r="H30" s="1"/>
      <c r="I30" s="1"/>
      <c r="J30" s="1"/>
      <c r="K30" s="129"/>
      <c r="P30" s="7" t="s">
        <v>744</v>
      </c>
      <c r="Q30" s="131">
        <v>200</v>
      </c>
      <c r="R30" s="131">
        <v>93176761</v>
      </c>
      <c r="S30" s="1" t="s">
        <v>2087</v>
      </c>
      <c r="T30" s="1">
        <v>200</v>
      </c>
      <c r="U30" s="1">
        <v>50</v>
      </c>
      <c r="V30" s="1" t="s">
        <v>2110</v>
      </c>
      <c r="W30" s="1"/>
      <c r="X30" s="1"/>
      <c r="Y30" s="1"/>
      <c r="Z30" s="1"/>
    </row>
    <row r="31" spans="1:26">
      <c r="A31" s="1"/>
      <c r="B31" s="1" t="s">
        <v>2073</v>
      </c>
      <c r="C31" s="1">
        <v>775</v>
      </c>
      <c r="D31" s="1">
        <v>25</v>
      </c>
      <c r="E31" s="1">
        <v>31</v>
      </c>
      <c r="F31" s="1" t="s">
        <v>2050</v>
      </c>
      <c r="G31" s="1" t="s">
        <v>2033</v>
      </c>
      <c r="H31" s="1"/>
      <c r="I31" s="1"/>
      <c r="J31" s="1"/>
      <c r="K31" s="129"/>
      <c r="P31" s="7" t="s">
        <v>746</v>
      </c>
      <c r="Q31" s="131">
        <v>250</v>
      </c>
      <c r="R31" s="131">
        <v>93176760</v>
      </c>
      <c r="S31" s="1" t="s">
        <v>2088</v>
      </c>
      <c r="T31" s="1">
        <v>250</v>
      </c>
      <c r="U31" s="1">
        <v>50</v>
      </c>
      <c r="V31" s="1" t="s">
        <v>2111</v>
      </c>
      <c r="W31" s="1"/>
      <c r="X31" s="1"/>
      <c r="Y31" s="1"/>
      <c r="Z31" s="1"/>
    </row>
    <row r="32" spans="1:26">
      <c r="A32" s="1"/>
      <c r="B32" s="1" t="s">
        <v>2074</v>
      </c>
      <c r="C32" s="1">
        <v>820</v>
      </c>
      <c r="D32" s="1">
        <v>25</v>
      </c>
      <c r="E32" s="1">
        <v>32.799999999999997</v>
      </c>
      <c r="F32" s="1" t="s">
        <v>2050</v>
      </c>
      <c r="G32" s="1" t="s">
        <v>2039</v>
      </c>
      <c r="H32" s="1"/>
      <c r="I32" s="1">
        <v>693.55</v>
      </c>
      <c r="J32" s="1">
        <f>I32*4</f>
        <v>2774.2</v>
      </c>
      <c r="K32" s="129"/>
      <c r="P32" s="7" t="s">
        <v>735</v>
      </c>
      <c r="Q32" s="131">
        <v>300</v>
      </c>
      <c r="R32" s="131">
        <v>93176762</v>
      </c>
      <c r="S32" s="1" t="s">
        <v>2096</v>
      </c>
      <c r="T32" s="1">
        <v>350</v>
      </c>
      <c r="U32" s="1">
        <v>50</v>
      </c>
      <c r="V32" s="132">
        <v>668.94</v>
      </c>
      <c r="W32" s="1"/>
      <c r="X32" s="1"/>
      <c r="Y32" s="1"/>
      <c r="Z32" s="1"/>
    </row>
    <row r="33" spans="1:26">
      <c r="A33" s="1"/>
      <c r="B33" s="1" t="s">
        <v>2075</v>
      </c>
      <c r="C33" s="1">
        <v>875</v>
      </c>
      <c r="D33" s="1">
        <v>25</v>
      </c>
      <c r="E33" s="1">
        <v>35</v>
      </c>
      <c r="F33" s="1" t="s">
        <v>2050</v>
      </c>
      <c r="G33" s="1" t="s">
        <v>2048</v>
      </c>
      <c r="H33" s="1"/>
      <c r="I33" s="1"/>
      <c r="J33" s="1"/>
      <c r="K33" s="129"/>
      <c r="P33" s="7" t="s">
        <v>733</v>
      </c>
      <c r="Q33" s="131">
        <v>400</v>
      </c>
      <c r="R33" s="131"/>
      <c r="S33" s="1" t="s">
        <v>2097</v>
      </c>
      <c r="T33" s="1">
        <v>450</v>
      </c>
      <c r="U33" s="1">
        <v>50</v>
      </c>
      <c r="V33" s="132">
        <v>668.94</v>
      </c>
      <c r="W33" s="132"/>
      <c r="X33" s="132"/>
      <c r="Y33" s="132"/>
      <c r="Z33" s="132"/>
    </row>
    <row r="34" spans="1:26">
      <c r="A34" s="1"/>
      <c r="B34" s="1" t="s">
        <v>2076</v>
      </c>
      <c r="C34" s="14">
        <v>1000</v>
      </c>
      <c r="D34" s="1">
        <v>25</v>
      </c>
      <c r="E34" s="1">
        <v>40</v>
      </c>
      <c r="F34" s="1" t="s">
        <v>2050</v>
      </c>
      <c r="G34" s="1" t="s">
        <v>2053</v>
      </c>
      <c r="H34" s="1"/>
      <c r="I34" s="1"/>
      <c r="J34" s="1"/>
      <c r="K34" s="129"/>
      <c r="P34" s="7" t="s">
        <v>737</v>
      </c>
      <c r="Q34" s="131">
        <v>550</v>
      </c>
      <c r="S34" s="1" t="s">
        <v>2099</v>
      </c>
      <c r="T34" s="1">
        <v>575</v>
      </c>
      <c r="U34" s="1">
        <v>50</v>
      </c>
      <c r="V34" s="132">
        <v>717.41</v>
      </c>
      <c r="W34" s="132"/>
      <c r="X34" s="132"/>
      <c r="Y34" s="132"/>
      <c r="Z34" s="132"/>
    </row>
    <row r="35" spans="1:26">
      <c r="A35" s="1"/>
      <c r="B35" s="1" t="s">
        <v>2077</v>
      </c>
      <c r="C35" s="14">
        <v>1100</v>
      </c>
      <c r="D35" s="1">
        <v>25</v>
      </c>
      <c r="E35" s="1">
        <v>44</v>
      </c>
      <c r="F35" s="1" t="s">
        <v>2050</v>
      </c>
      <c r="G35" s="1" t="s">
        <v>2051</v>
      </c>
      <c r="H35" s="1"/>
      <c r="I35" s="1"/>
      <c r="J35" s="1"/>
      <c r="K35" s="129"/>
      <c r="P35" s="7" t="s">
        <v>718</v>
      </c>
      <c r="Q35" s="131">
        <v>650</v>
      </c>
      <c r="R35" s="1"/>
      <c r="S35" s="1" t="s">
        <v>2101</v>
      </c>
      <c r="T35" s="1">
        <v>650</v>
      </c>
      <c r="U35" s="1">
        <v>50</v>
      </c>
      <c r="V35" s="132">
        <v>717.41</v>
      </c>
      <c r="W35" s="132"/>
      <c r="X35" s="132"/>
      <c r="Y35" s="132"/>
      <c r="Z35" s="132"/>
    </row>
    <row r="36" spans="1:26">
      <c r="A36" s="1"/>
      <c r="B36" s="1" t="s">
        <v>2078</v>
      </c>
      <c r="C36" s="14">
        <v>1150</v>
      </c>
      <c r="D36" s="1">
        <v>24</v>
      </c>
      <c r="E36" s="1">
        <v>47.9</v>
      </c>
      <c r="F36" s="1" t="s">
        <v>2050</v>
      </c>
      <c r="G36" s="1" t="s">
        <v>2050</v>
      </c>
      <c r="H36" s="1"/>
      <c r="I36" s="1"/>
      <c r="J36" s="1"/>
      <c r="K36" s="129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1"/>
      <c r="B37" s="1" t="s">
        <v>2079</v>
      </c>
      <c r="C37" s="14">
        <v>1275</v>
      </c>
      <c r="D37" s="1">
        <v>20</v>
      </c>
      <c r="E37" s="1">
        <v>63.8</v>
      </c>
      <c r="F37" s="1" t="s">
        <v>2051</v>
      </c>
      <c r="G37" s="1" t="s">
        <v>2080</v>
      </c>
      <c r="H37" s="1"/>
      <c r="I37" s="1"/>
      <c r="J37" s="1"/>
      <c r="K37" s="129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20"/>
      <c r="B38" s="1"/>
      <c r="C38" s="1"/>
      <c r="D38" s="1"/>
      <c r="E38" s="1"/>
      <c r="F38" s="1"/>
      <c r="G38" s="1"/>
      <c r="H38" s="1"/>
      <c r="I38" s="1"/>
      <c r="J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131">
        <v>93176730</v>
      </c>
      <c r="B39" s="1" t="s">
        <v>2081</v>
      </c>
      <c r="C39" s="1">
        <v>50</v>
      </c>
      <c r="D39" s="1">
        <v>50</v>
      </c>
      <c r="E39" s="1">
        <v>1</v>
      </c>
      <c r="F39" s="1" t="s">
        <v>2053</v>
      </c>
      <c r="G39" s="1"/>
      <c r="H39" s="7"/>
      <c r="I39" s="7" t="s">
        <v>2082</v>
      </c>
      <c r="J39" s="1">
        <f t="shared" ref="J39:J45" si="3">I39*4</f>
        <v>1154.32</v>
      </c>
      <c r="K39" s="126" t="s">
        <v>2083</v>
      </c>
      <c r="R39" s="1"/>
      <c r="S39" s="1"/>
      <c r="T39" s="1"/>
      <c r="U39" s="1"/>
      <c r="V39" s="1"/>
      <c r="W39" s="1"/>
      <c r="X39" s="1"/>
      <c r="Y39" s="1"/>
      <c r="Z39" s="132"/>
    </row>
    <row r="40" spans="1:26" ht="12.75">
      <c r="A40" s="131">
        <v>93176746</v>
      </c>
      <c r="B40" s="1" t="s">
        <v>2084</v>
      </c>
      <c r="C40" s="1">
        <v>75</v>
      </c>
      <c r="D40" s="1">
        <v>50</v>
      </c>
      <c r="E40" s="1">
        <v>1.5</v>
      </c>
      <c r="F40" s="1" t="s">
        <v>2055</v>
      </c>
      <c r="G40" s="1"/>
      <c r="H40" s="7"/>
      <c r="I40" s="7" t="s">
        <v>2082</v>
      </c>
      <c r="J40" s="1">
        <f t="shared" si="3"/>
        <v>1154.32</v>
      </c>
      <c r="R40" s="1"/>
      <c r="S40" s="1"/>
      <c r="T40" s="1"/>
      <c r="U40" s="1"/>
      <c r="V40" s="1"/>
      <c r="W40" s="1"/>
      <c r="X40" s="1"/>
      <c r="Y40" s="1"/>
      <c r="Z40" s="132"/>
    </row>
    <row r="41" spans="1:26" ht="12.75">
      <c r="A41" s="131">
        <v>93176748</v>
      </c>
      <c r="B41" s="1" t="s">
        <v>2085</v>
      </c>
      <c r="C41" s="1">
        <v>110</v>
      </c>
      <c r="D41" s="1">
        <v>50</v>
      </c>
      <c r="E41" s="1">
        <v>2.2000000000000002</v>
      </c>
      <c r="F41" s="1" t="s">
        <v>2032</v>
      </c>
      <c r="G41" s="1"/>
      <c r="H41" s="7"/>
      <c r="I41" s="7" t="s">
        <v>2082</v>
      </c>
      <c r="J41" s="1">
        <f t="shared" si="3"/>
        <v>1154.32</v>
      </c>
      <c r="R41" s="1"/>
      <c r="S41" s="1"/>
      <c r="T41" s="1"/>
      <c r="U41" s="1"/>
      <c r="V41" s="1"/>
      <c r="W41" s="1"/>
      <c r="X41" s="1"/>
      <c r="Y41" s="1"/>
      <c r="Z41" s="132"/>
    </row>
    <row r="42" spans="1:26" ht="12.75">
      <c r="A42" s="131">
        <v>93176749</v>
      </c>
      <c r="B42" s="1" t="s">
        <v>2086</v>
      </c>
      <c r="C42" s="1">
        <v>150</v>
      </c>
      <c r="D42" s="1">
        <v>50</v>
      </c>
      <c r="E42" s="1">
        <v>3</v>
      </c>
      <c r="F42" s="1" t="s">
        <v>2035</v>
      </c>
      <c r="G42" s="1"/>
      <c r="H42" s="7"/>
      <c r="I42" s="7" t="s">
        <v>2082</v>
      </c>
      <c r="J42" s="1">
        <f t="shared" si="3"/>
        <v>1154.32</v>
      </c>
      <c r="R42" s="1"/>
    </row>
    <row r="43" spans="1:26" ht="12.75">
      <c r="A43" s="131">
        <v>93176761</v>
      </c>
      <c r="B43" s="1" t="s">
        <v>2087</v>
      </c>
      <c r="C43" s="1">
        <v>200</v>
      </c>
      <c r="D43" s="1">
        <v>50</v>
      </c>
      <c r="E43" s="1">
        <v>4</v>
      </c>
      <c r="F43" s="1" t="s">
        <v>2051</v>
      </c>
      <c r="G43" s="1"/>
      <c r="H43" s="7"/>
      <c r="I43" s="7" t="s">
        <v>2082</v>
      </c>
      <c r="J43" s="1">
        <f t="shared" si="3"/>
        <v>1154.32</v>
      </c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131">
        <v>93176760</v>
      </c>
      <c r="B44" s="1" t="s">
        <v>2088</v>
      </c>
      <c r="C44" s="1">
        <v>250</v>
      </c>
      <c r="D44" s="1">
        <v>50</v>
      </c>
      <c r="E44" s="1">
        <v>5</v>
      </c>
      <c r="F44" s="1" t="s">
        <v>2051</v>
      </c>
      <c r="G44" s="1" t="s">
        <v>2042</v>
      </c>
      <c r="H44" s="7"/>
      <c r="I44" s="7" t="s">
        <v>2082</v>
      </c>
      <c r="J44" s="1">
        <f t="shared" si="3"/>
        <v>1154.32</v>
      </c>
      <c r="R44" s="1"/>
    </row>
    <row r="45" spans="1:26" ht="12.75">
      <c r="A45" s="131">
        <v>93176762</v>
      </c>
      <c r="B45" s="1" t="s">
        <v>2089</v>
      </c>
      <c r="C45" s="1">
        <v>350</v>
      </c>
      <c r="D45" s="1">
        <v>40</v>
      </c>
      <c r="E45" s="1">
        <v>8.8000000000000007</v>
      </c>
      <c r="F45" s="1" t="s">
        <v>2051</v>
      </c>
      <c r="G45" s="1" t="s">
        <v>2048</v>
      </c>
      <c r="H45" s="7"/>
      <c r="I45" s="7" t="s">
        <v>2082</v>
      </c>
      <c r="J45" s="1">
        <f t="shared" si="3"/>
        <v>1154.32</v>
      </c>
      <c r="R45" s="1"/>
    </row>
    <row r="46" spans="1:26" ht="12.75">
      <c r="A46" s="1"/>
      <c r="B46" s="1"/>
      <c r="C46" s="1"/>
      <c r="D46" s="1"/>
      <c r="E46" s="1"/>
      <c r="F46" s="2" t="s">
        <v>2090</v>
      </c>
      <c r="G46" s="2" t="s">
        <v>2064</v>
      </c>
      <c r="H46" s="1"/>
      <c r="I46" s="1"/>
      <c r="J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1" t="s">
        <v>2091</v>
      </c>
      <c r="C47" s="1">
        <v>65</v>
      </c>
      <c r="D47" s="1">
        <v>50</v>
      </c>
      <c r="E47" s="1">
        <v>1.3</v>
      </c>
      <c r="F47" s="1" t="s">
        <v>2039</v>
      </c>
      <c r="G47" s="1"/>
      <c r="H47" s="1"/>
      <c r="I47" s="1"/>
      <c r="J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1" t="s">
        <v>2092</v>
      </c>
      <c r="C48" s="1">
        <v>125</v>
      </c>
      <c r="D48" s="1">
        <v>50</v>
      </c>
      <c r="E48" s="1">
        <v>2.5</v>
      </c>
      <c r="F48" s="1" t="s">
        <v>2042</v>
      </c>
      <c r="G48" s="1"/>
      <c r="H48" s="1"/>
      <c r="I48" s="1"/>
      <c r="J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1" t="s">
        <v>2093</v>
      </c>
      <c r="C49" s="1">
        <v>195</v>
      </c>
      <c r="D49" s="1">
        <v>50</v>
      </c>
      <c r="E49" s="1">
        <v>3.9</v>
      </c>
      <c r="F49" s="1" t="s">
        <v>2042</v>
      </c>
      <c r="G49" s="1" t="s">
        <v>2039</v>
      </c>
      <c r="H49" s="1"/>
      <c r="I49" s="1"/>
      <c r="J49" s="1"/>
      <c r="R49" s="1"/>
      <c r="S49" s="1"/>
      <c r="T49" s="14"/>
      <c r="U49" s="1"/>
      <c r="V49" s="1"/>
      <c r="W49" s="1"/>
      <c r="X49" s="1"/>
      <c r="Y49" s="1"/>
      <c r="Z49" s="1"/>
    </row>
    <row r="50" spans="1:26" ht="12.75">
      <c r="A50" s="1"/>
      <c r="B50" s="1" t="s">
        <v>2094</v>
      </c>
      <c r="C50" s="1">
        <v>225</v>
      </c>
      <c r="D50" s="1">
        <v>50</v>
      </c>
      <c r="E50" s="1">
        <v>4.5</v>
      </c>
      <c r="F50" s="1" t="s">
        <v>2045</v>
      </c>
      <c r="G50" s="1"/>
      <c r="H50" s="1"/>
      <c r="I50" s="1"/>
      <c r="J50" s="1"/>
    </row>
    <row r="51" spans="1:26" ht="12.75">
      <c r="A51" s="1"/>
      <c r="B51" s="1" t="s">
        <v>2095</v>
      </c>
      <c r="C51" s="1">
        <v>295</v>
      </c>
      <c r="D51" s="1">
        <v>50</v>
      </c>
      <c r="E51" s="1">
        <v>5.9</v>
      </c>
      <c r="F51" s="1" t="s">
        <v>2045</v>
      </c>
      <c r="G51" s="1" t="s">
        <v>2039</v>
      </c>
      <c r="H51" s="1"/>
      <c r="I51" s="1"/>
      <c r="J51" s="1"/>
    </row>
    <row r="52" spans="1:26" ht="12.75">
      <c r="A52" s="1"/>
      <c r="E52" s="1">
        <v>7</v>
      </c>
      <c r="F52" s="1" t="s">
        <v>2045</v>
      </c>
      <c r="G52" s="1" t="s">
        <v>2042</v>
      </c>
      <c r="H52" s="1"/>
      <c r="I52" s="1"/>
      <c r="J52" s="1"/>
    </row>
    <row r="53" spans="1:26" ht="12.75">
      <c r="A53" s="1"/>
      <c r="B53" s="1" t="s">
        <v>2097</v>
      </c>
      <c r="C53" s="1">
        <v>450</v>
      </c>
      <c r="D53" s="1">
        <v>50</v>
      </c>
      <c r="E53" s="1">
        <v>9</v>
      </c>
      <c r="F53" s="1" t="s">
        <v>2048</v>
      </c>
      <c r="G53" s="1"/>
      <c r="H53" s="1"/>
      <c r="I53" s="132">
        <v>668.94</v>
      </c>
      <c r="J53" s="132">
        <f t="shared" ref="J53:J55" si="4">I53*4</f>
        <v>2675.76</v>
      </c>
    </row>
    <row r="54" spans="1:26" ht="12.75">
      <c r="A54" s="1">
        <v>99227705</v>
      </c>
      <c r="B54" s="1" t="s">
        <v>2098</v>
      </c>
      <c r="C54" s="1">
        <v>520</v>
      </c>
      <c r="D54" s="1">
        <v>50</v>
      </c>
      <c r="E54" s="1">
        <v>10.4</v>
      </c>
      <c r="F54" s="1" t="s">
        <v>2048</v>
      </c>
      <c r="G54" s="1" t="s">
        <v>2039</v>
      </c>
      <c r="H54" s="1"/>
      <c r="I54" s="132">
        <v>629</v>
      </c>
      <c r="J54" s="132">
        <f t="shared" si="4"/>
        <v>2516</v>
      </c>
    </row>
    <row r="55" spans="1:26" ht="12.75">
      <c r="A55" s="1"/>
      <c r="B55" s="1" t="s">
        <v>2099</v>
      </c>
      <c r="C55" s="1">
        <v>575</v>
      </c>
      <c r="D55" s="1">
        <v>50</v>
      </c>
      <c r="E55" s="1">
        <v>11.5</v>
      </c>
      <c r="F55" s="1" t="s">
        <v>2048</v>
      </c>
      <c r="G55" s="1" t="s">
        <v>2042</v>
      </c>
      <c r="H55" s="1"/>
      <c r="I55" s="132">
        <v>717.41</v>
      </c>
      <c r="J55" s="132">
        <f t="shared" si="4"/>
        <v>2869.64</v>
      </c>
    </row>
    <row r="56" spans="1:26" ht="12.75">
      <c r="A56" s="1"/>
      <c r="B56" s="1" t="s">
        <v>2101</v>
      </c>
      <c r="C56" s="1">
        <v>650</v>
      </c>
      <c r="D56" s="1">
        <v>50</v>
      </c>
      <c r="E56" s="1">
        <v>13</v>
      </c>
      <c r="F56" s="1" t="s">
        <v>2050</v>
      </c>
      <c r="G56" s="1"/>
      <c r="H56" s="1"/>
      <c r="I56" s="1"/>
      <c r="J56" s="1"/>
    </row>
    <row r="57" spans="1:26" ht="12.75">
      <c r="A57" s="1"/>
      <c r="B57" s="1" t="s">
        <v>2100</v>
      </c>
      <c r="C57" s="1">
        <v>700</v>
      </c>
      <c r="D57" s="1">
        <v>50</v>
      </c>
      <c r="E57" s="1">
        <v>14</v>
      </c>
      <c r="F57" s="1" t="s">
        <v>2048</v>
      </c>
      <c r="G57" s="1" t="s">
        <v>2045</v>
      </c>
      <c r="H57" s="1"/>
      <c r="I57" s="1"/>
      <c r="J57" s="1"/>
    </row>
    <row r="58" spans="1:26" ht="12.75">
      <c r="A58" s="1" t="s">
        <v>764</v>
      </c>
      <c r="B58" s="1" t="s">
        <v>764</v>
      </c>
      <c r="C58" s="1">
        <v>775</v>
      </c>
      <c r="D58" s="1">
        <v>50</v>
      </c>
      <c r="E58" s="1">
        <v>15.5</v>
      </c>
      <c r="F58" s="1" t="s">
        <v>2050</v>
      </c>
      <c r="G58" s="1" t="s">
        <v>2042</v>
      </c>
      <c r="H58" s="1"/>
      <c r="I58" s="1">
        <v>800</v>
      </c>
      <c r="J58" s="1"/>
    </row>
    <row r="59" spans="1:26" ht="12.75">
      <c r="A59" s="1"/>
      <c r="B59" s="1" t="s">
        <v>2102</v>
      </c>
      <c r="C59" s="1">
        <v>900</v>
      </c>
      <c r="D59" s="1">
        <v>50</v>
      </c>
      <c r="E59" s="1">
        <v>18</v>
      </c>
      <c r="F59" s="1" t="s">
        <v>2050</v>
      </c>
      <c r="G59" s="1" t="s">
        <v>2045</v>
      </c>
      <c r="H59" s="1"/>
      <c r="J59" s="1"/>
    </row>
    <row r="60" spans="1:26" ht="12.75">
      <c r="A60" s="1"/>
      <c r="B60" s="1" t="s">
        <v>758</v>
      </c>
      <c r="C60" s="14">
        <v>1000</v>
      </c>
      <c r="D60" s="1">
        <v>50</v>
      </c>
      <c r="E60" s="1">
        <v>20</v>
      </c>
      <c r="F60" s="1" t="s">
        <v>2050</v>
      </c>
      <c r="G60" s="1" t="s">
        <v>2048</v>
      </c>
      <c r="H60" s="1"/>
      <c r="I60" s="1"/>
      <c r="J60" s="1"/>
    </row>
    <row r="61" spans="1:26" ht="12.75">
      <c r="A61" s="1"/>
      <c r="B61" s="1"/>
      <c r="C61" s="14"/>
      <c r="D61" s="1"/>
      <c r="E61" s="1"/>
      <c r="F61" s="1"/>
      <c r="G61" s="1"/>
      <c r="H61" s="1"/>
      <c r="I61" s="1"/>
      <c r="J61" s="1"/>
    </row>
    <row r="250" spans="15:15" ht="12.75">
      <c r="O250" s="8"/>
    </row>
    <row r="252" spans="15:15" ht="12.75">
      <c r="O252" s="12"/>
    </row>
    <row r="254" spans="15:15" ht="12.75">
      <c r="O254" s="5"/>
    </row>
    <row r="255" spans="15:15" ht="12.75">
      <c r="O255" s="12"/>
    </row>
    <row r="256" spans="15:15" ht="12.75">
      <c r="O256" s="13"/>
    </row>
  </sheetData>
  <dataValidations count="2">
    <dataValidation type="list" allowBlank="1" showErrorMessage="1" sqref="N20" xr:uid="{00000000-0002-0000-1F00-000000000000}">
      <formula1>"25mm,50mm"</formula1>
    </dataValidation>
    <dataValidation type="list" allowBlank="1" showErrorMessage="1" sqref="N19" xr:uid="{00000000-0002-0000-1F00-000001000000}">
      <formula1>"4,6"</formula1>
    </dataValidation>
  </dataValidations>
  <hyperlinks>
    <hyperlink ref="K1" r:id="rId1" xr:uid="{00000000-0004-0000-1F00-000000000000}"/>
    <hyperlink ref="K39" r:id="rId2" xr:uid="{00000000-0004-0000-1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E14"/>
  <sheetViews>
    <sheetView workbookViewId="0">
      <selection activeCell="A11" sqref="A11:C14"/>
    </sheetView>
  </sheetViews>
  <sheetFormatPr defaultColWidth="12.5703125" defaultRowHeight="15.75" customHeight="1"/>
  <cols>
    <col min="1" max="1" width="18.28515625" customWidth="1"/>
    <col min="2" max="2" width="42.140625" customWidth="1"/>
    <col min="3" max="3" width="16.28515625" customWidth="1"/>
  </cols>
  <sheetData>
    <row r="1" spans="1:5">
      <c r="A1" s="133" t="s">
        <v>2112</v>
      </c>
      <c r="B1" s="133" t="s">
        <v>2113</v>
      </c>
      <c r="C1" s="133" t="s">
        <v>2024</v>
      </c>
      <c r="D1" s="133" t="s">
        <v>1970</v>
      </c>
    </row>
    <row r="2" spans="1:5">
      <c r="A2" s="133">
        <v>92859753</v>
      </c>
      <c r="B2" s="133" t="s">
        <v>2114</v>
      </c>
      <c r="C2" s="133" t="s">
        <v>2115</v>
      </c>
      <c r="D2" s="133">
        <v>11.83</v>
      </c>
      <c r="E2" s="126" t="s">
        <v>2116</v>
      </c>
    </row>
    <row r="3" spans="1:5">
      <c r="A3" s="133">
        <v>92907385</v>
      </c>
      <c r="B3" s="133" t="s">
        <v>2117</v>
      </c>
      <c r="C3" s="1" t="s">
        <v>2115</v>
      </c>
      <c r="D3" s="1">
        <v>11.83</v>
      </c>
    </row>
    <row r="4" spans="1:5">
      <c r="A4" s="133">
        <v>92996501</v>
      </c>
      <c r="B4" s="133" t="s">
        <v>2118</v>
      </c>
      <c r="C4" s="1" t="s">
        <v>2115</v>
      </c>
      <c r="D4" s="1">
        <v>11.83</v>
      </c>
    </row>
    <row r="5" spans="1:5">
      <c r="A5" s="133">
        <v>93035837</v>
      </c>
      <c r="B5" s="1" t="s">
        <v>2119</v>
      </c>
      <c r="C5" s="1"/>
      <c r="D5" s="1">
        <v>15.25</v>
      </c>
    </row>
    <row r="8" spans="1:5">
      <c r="A8" s="133"/>
      <c r="B8" s="133" t="s">
        <v>2120</v>
      </c>
      <c r="C8" s="1" t="s">
        <v>2115</v>
      </c>
      <c r="D8" s="1"/>
    </row>
    <row r="9" spans="1:5">
      <c r="A9" s="133"/>
      <c r="B9" s="133" t="s">
        <v>2121</v>
      </c>
      <c r="C9" s="1" t="s">
        <v>2115</v>
      </c>
      <c r="D9" s="1"/>
    </row>
    <row r="11" spans="1:5">
      <c r="D11" s="7">
        <f>Crossbars!C2*2</f>
        <v>284.76</v>
      </c>
    </row>
    <row r="12" spans="1:5"/>
    <row r="13" spans="1:5"/>
    <row r="14" spans="1:5"/>
  </sheetData>
  <autoFilter ref="A1:D5" xr:uid="{00000000-0009-0000-0000-000020000000}"/>
  <hyperlinks>
    <hyperlink ref="E2" r:id="rId1" xr:uid="{00000000-0004-0000-2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0222-A55B-484F-9882-3CCD27C8FB96}">
  <dimension ref="A1:C5"/>
  <sheetViews>
    <sheetView workbookViewId="0">
      <selection activeCell="B2" sqref="B2"/>
    </sheetView>
  </sheetViews>
  <sheetFormatPr defaultRowHeight="12.75"/>
  <sheetData>
    <row r="1" spans="1:3">
      <c r="A1" s="155" t="s">
        <v>1967</v>
      </c>
      <c r="B1" s="155" t="s">
        <v>2021</v>
      </c>
      <c r="C1" s="155" t="s">
        <v>1970</v>
      </c>
    </row>
    <row r="2" spans="1:3">
      <c r="A2" s="7">
        <v>93209230</v>
      </c>
      <c r="B2" s="7" t="s">
        <v>2122</v>
      </c>
      <c r="C2" s="7">
        <v>142.38</v>
      </c>
    </row>
    <row r="3" spans="1:3">
      <c r="A3" s="7">
        <v>93232240</v>
      </c>
      <c r="B3" s="7" t="s">
        <v>2123</v>
      </c>
      <c r="C3" s="7">
        <v>142.38</v>
      </c>
    </row>
    <row r="4" spans="1:3">
      <c r="A4" s="7">
        <v>92948830</v>
      </c>
      <c r="B4" s="7" t="s">
        <v>2124</v>
      </c>
      <c r="C4" s="7">
        <v>142.38</v>
      </c>
    </row>
    <row r="5" spans="1:3">
      <c r="A5" s="7">
        <v>93002398</v>
      </c>
      <c r="B5" s="7" t="s">
        <v>2125</v>
      </c>
      <c r="C5" s="7">
        <v>142.38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J9"/>
  <sheetViews>
    <sheetView workbookViewId="0"/>
  </sheetViews>
  <sheetFormatPr defaultColWidth="12.5703125" defaultRowHeight="15.75" customHeight="1"/>
  <cols>
    <col min="1" max="1" width="21.42578125" customWidth="1"/>
    <col min="10" max="10" width="14.42578125" customWidth="1"/>
  </cols>
  <sheetData>
    <row r="1" spans="1:10" ht="15.75" customHeight="1">
      <c r="A1" s="37"/>
      <c r="B1" s="22" t="s">
        <v>1967</v>
      </c>
      <c r="C1" s="44" t="s">
        <v>74</v>
      </c>
      <c r="D1" s="44" t="s">
        <v>75</v>
      </c>
      <c r="E1" s="44" t="s">
        <v>1968</v>
      </c>
      <c r="F1" s="44" t="s">
        <v>2128</v>
      </c>
      <c r="G1" s="22" t="s">
        <v>65</v>
      </c>
      <c r="H1" s="40" t="s">
        <v>7</v>
      </c>
      <c r="I1" s="7" t="s">
        <v>2129</v>
      </c>
    </row>
    <row r="2" spans="1:10" ht="15.75" customHeight="1">
      <c r="A2" s="37" t="s">
        <v>78</v>
      </c>
      <c r="B2" s="22">
        <v>98336369</v>
      </c>
      <c r="C2" s="36">
        <v>800</v>
      </c>
      <c r="D2" s="36">
        <v>630</v>
      </c>
      <c r="E2" s="36">
        <v>125</v>
      </c>
      <c r="F2" s="36">
        <v>75</v>
      </c>
      <c r="G2" s="22">
        <v>151</v>
      </c>
      <c r="H2" s="25">
        <v>565.52</v>
      </c>
      <c r="I2" s="23">
        <f t="shared" ref="I2:I6" si="0">H2/0.85</f>
        <v>665.31764705882358</v>
      </c>
      <c r="J2" s="7" t="s">
        <v>2130</v>
      </c>
    </row>
    <row r="3" spans="1:10" ht="15.75" customHeight="1">
      <c r="A3" s="37" t="s">
        <v>109</v>
      </c>
      <c r="B3" s="22">
        <v>92513065</v>
      </c>
      <c r="C3" s="36">
        <v>1100</v>
      </c>
      <c r="D3" s="36">
        <v>800</v>
      </c>
      <c r="E3" s="36">
        <v>150</v>
      </c>
      <c r="F3" s="36">
        <v>75</v>
      </c>
      <c r="G3" s="36">
        <v>317</v>
      </c>
      <c r="H3" s="25">
        <v>610.6</v>
      </c>
      <c r="I3" s="23">
        <f t="shared" si="0"/>
        <v>718.35294117647061</v>
      </c>
      <c r="J3" s="7" t="s">
        <v>742</v>
      </c>
    </row>
    <row r="4" spans="1:10" ht="15.75" customHeight="1">
      <c r="A4" s="37" t="s">
        <v>139</v>
      </c>
      <c r="B4" s="22">
        <v>98327389</v>
      </c>
      <c r="C4" s="36">
        <v>1200</v>
      </c>
      <c r="D4" s="36">
        <v>800</v>
      </c>
      <c r="E4" s="36">
        <v>200</v>
      </c>
      <c r="F4" s="36">
        <v>75</v>
      </c>
      <c r="G4" s="36">
        <v>461</v>
      </c>
      <c r="H4" s="25">
        <v>663.42</v>
      </c>
      <c r="I4" s="23">
        <f t="shared" si="0"/>
        <v>780.49411764705883</v>
      </c>
      <c r="J4" s="7" t="s">
        <v>2131</v>
      </c>
    </row>
    <row r="5" spans="1:10" ht="15.75" customHeight="1">
      <c r="A5" s="37" t="s">
        <v>195</v>
      </c>
      <c r="B5" s="22">
        <v>99051550</v>
      </c>
      <c r="C5" s="36">
        <v>1500</v>
      </c>
      <c r="D5" s="36">
        <v>800</v>
      </c>
      <c r="E5" s="36">
        <v>225</v>
      </c>
      <c r="F5" s="36">
        <v>75</v>
      </c>
      <c r="G5" s="36">
        <v>648</v>
      </c>
      <c r="H5" s="25">
        <v>741.99</v>
      </c>
      <c r="I5" s="23">
        <f t="shared" si="0"/>
        <v>872.92941176470595</v>
      </c>
      <c r="J5" s="7" t="s">
        <v>749</v>
      </c>
    </row>
    <row r="6" spans="1:10" ht="15.75" customHeight="1">
      <c r="A6" s="37" t="s">
        <v>235</v>
      </c>
      <c r="B6" s="22">
        <v>98299752</v>
      </c>
      <c r="C6" s="36">
        <v>1500</v>
      </c>
      <c r="D6" s="36">
        <v>900</v>
      </c>
      <c r="E6" s="36">
        <v>300</v>
      </c>
      <c r="F6" s="36">
        <v>75</v>
      </c>
      <c r="G6" s="36">
        <v>972</v>
      </c>
      <c r="H6" s="25">
        <v>824.44</v>
      </c>
      <c r="I6" s="23">
        <f t="shared" si="0"/>
        <v>969.92941176470595</v>
      </c>
      <c r="J6" s="7" t="s">
        <v>2132</v>
      </c>
    </row>
    <row r="7" spans="1:10" ht="15.75" customHeight="1">
      <c r="A7" s="54" t="s">
        <v>255</v>
      </c>
      <c r="B7" s="37" t="s">
        <v>720</v>
      </c>
      <c r="C7" s="36">
        <v>2100</v>
      </c>
      <c r="D7" s="36">
        <v>1000</v>
      </c>
      <c r="E7" s="36">
        <v>300</v>
      </c>
      <c r="F7" s="36">
        <v>75</v>
      </c>
      <c r="G7" s="36">
        <v>1512</v>
      </c>
      <c r="H7" s="37"/>
      <c r="I7" s="23"/>
      <c r="J7" s="7" t="s">
        <v>2133</v>
      </c>
    </row>
    <row r="8" spans="1:10" ht="15.75" customHeight="1">
      <c r="A8" s="54" t="s">
        <v>113</v>
      </c>
      <c r="B8" s="22">
        <v>98327382</v>
      </c>
      <c r="C8" s="36">
        <v>950</v>
      </c>
      <c r="D8" s="36">
        <v>720</v>
      </c>
      <c r="E8" s="36">
        <v>150</v>
      </c>
      <c r="F8" s="36">
        <v>75</v>
      </c>
      <c r="G8" s="36">
        <v>246</v>
      </c>
      <c r="H8" s="25">
        <v>532.03</v>
      </c>
      <c r="I8" s="23"/>
      <c r="J8" s="7" t="s">
        <v>2134</v>
      </c>
    </row>
    <row r="9" spans="1:10">
      <c r="I9" s="23">
        <f>AVERAGE(I2:I6)</f>
        <v>801.40470588235291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O1003"/>
  <sheetViews>
    <sheetView workbookViewId="0">
      <pane ySplit="1" topLeftCell="A2" activePane="bottomLeft" state="frozen"/>
      <selection pane="bottomLeft" activeCell="I5" sqref="I5"/>
    </sheetView>
  </sheetViews>
  <sheetFormatPr defaultColWidth="12.5703125" defaultRowHeight="15.75" customHeight="1"/>
  <cols>
    <col min="1" max="15" width="16.7109375" customWidth="1"/>
  </cols>
  <sheetData>
    <row r="1" spans="1:15">
      <c r="A1" s="135" t="s">
        <v>2126</v>
      </c>
      <c r="B1" s="1" t="s">
        <v>2137</v>
      </c>
      <c r="C1" s="1" t="s">
        <v>74</v>
      </c>
      <c r="D1" s="1" t="s">
        <v>75</v>
      </c>
      <c r="E1" s="1" t="s">
        <v>2135</v>
      </c>
      <c r="F1" s="1" t="s">
        <v>2136</v>
      </c>
      <c r="G1" s="1" t="s">
        <v>5</v>
      </c>
      <c r="H1" s="1" t="s">
        <v>2127</v>
      </c>
      <c r="I1" s="1"/>
      <c r="J1" s="1"/>
      <c r="K1" s="1"/>
      <c r="L1" s="1"/>
      <c r="M1" s="1"/>
      <c r="N1" s="1"/>
      <c r="O1" s="1"/>
    </row>
    <row r="2" spans="1:15">
      <c r="A2" s="135">
        <v>97758051</v>
      </c>
      <c r="B2" s="136">
        <v>194.39999999999998</v>
      </c>
      <c r="C2" s="1">
        <v>600</v>
      </c>
      <c r="D2" s="1">
        <v>600</v>
      </c>
      <c r="E2" s="1">
        <v>225</v>
      </c>
      <c r="F2" s="1">
        <v>90</v>
      </c>
      <c r="G2" s="1">
        <v>966.95</v>
      </c>
      <c r="H2" s="1">
        <v>635.08000000000004</v>
      </c>
    </row>
    <row r="3" spans="1:15">
      <c r="A3" s="135">
        <v>99102010</v>
      </c>
      <c r="B3" s="136">
        <v>285.99360000000001</v>
      </c>
      <c r="C3" s="1">
        <v>620</v>
      </c>
      <c r="D3" s="1">
        <v>620</v>
      </c>
      <c r="E3" s="1">
        <v>310</v>
      </c>
      <c r="F3" s="1">
        <v>75</v>
      </c>
      <c r="G3" s="1">
        <v>984.6</v>
      </c>
      <c r="H3" s="1">
        <v>646.66999999999996</v>
      </c>
    </row>
    <row r="4" spans="1:15">
      <c r="A4" s="135">
        <v>91338199</v>
      </c>
      <c r="B4" s="136">
        <v>105</v>
      </c>
      <c r="C4" s="1">
        <v>700</v>
      </c>
      <c r="D4" s="1">
        <v>500</v>
      </c>
      <c r="E4" s="1">
        <v>125</v>
      </c>
      <c r="F4" s="1">
        <v>75</v>
      </c>
      <c r="G4" s="1">
        <v>843.39</v>
      </c>
      <c r="H4" s="1">
        <v>553.91999999999996</v>
      </c>
    </row>
    <row r="5" spans="1:15">
      <c r="A5" s="135">
        <v>92526365</v>
      </c>
      <c r="B5" s="136">
        <v>126</v>
      </c>
      <c r="C5" s="1">
        <v>700</v>
      </c>
      <c r="D5" s="1">
        <v>500</v>
      </c>
      <c r="E5" s="1">
        <v>150</v>
      </c>
      <c r="F5" s="1">
        <v>75</v>
      </c>
      <c r="G5" s="1">
        <v>915.95</v>
      </c>
      <c r="H5" s="1">
        <v>601.58000000000004</v>
      </c>
    </row>
    <row r="6" spans="1:15">
      <c r="A6" s="135">
        <v>92584091</v>
      </c>
      <c r="B6" s="136">
        <v>268.8</v>
      </c>
      <c r="C6" s="1">
        <v>700</v>
      </c>
      <c r="D6" s="1">
        <v>800</v>
      </c>
      <c r="E6" s="1">
        <v>200</v>
      </c>
      <c r="F6" s="1">
        <v>100</v>
      </c>
      <c r="G6" s="1">
        <v>972.84</v>
      </c>
      <c r="H6" s="1">
        <v>638.94000000000005</v>
      </c>
    </row>
    <row r="7" spans="1:15">
      <c r="A7" s="135">
        <v>99551448</v>
      </c>
      <c r="B7" s="136">
        <v>132</v>
      </c>
      <c r="C7" s="1">
        <v>800</v>
      </c>
      <c r="D7" s="1">
        <v>550</v>
      </c>
      <c r="E7" s="1">
        <v>125</v>
      </c>
      <c r="F7" s="1">
        <v>75</v>
      </c>
      <c r="G7" s="26">
        <v>1641.68</v>
      </c>
      <c r="H7" s="26">
        <v>1078.22</v>
      </c>
    </row>
    <row r="8" spans="1:15">
      <c r="A8" s="135">
        <v>98336369</v>
      </c>
      <c r="B8" s="136">
        <v>151.19999999999999</v>
      </c>
      <c r="C8" s="1">
        <v>800</v>
      </c>
      <c r="D8" s="1">
        <v>630</v>
      </c>
      <c r="E8" s="1">
        <v>125</v>
      </c>
      <c r="F8" s="1">
        <v>75</v>
      </c>
      <c r="G8" s="1">
        <v>882.63</v>
      </c>
      <c r="H8" s="1">
        <v>565.52</v>
      </c>
    </row>
    <row r="9" spans="1:15">
      <c r="A9" s="135">
        <v>91338256</v>
      </c>
      <c r="B9" s="136">
        <v>162</v>
      </c>
      <c r="C9" s="1">
        <v>900</v>
      </c>
      <c r="D9" s="1">
        <v>600</v>
      </c>
      <c r="E9" s="1">
        <v>125</v>
      </c>
      <c r="F9" s="1">
        <v>75</v>
      </c>
      <c r="G9" s="1">
        <v>1019.92</v>
      </c>
      <c r="H9" s="1">
        <v>579.70000000000005</v>
      </c>
    </row>
    <row r="10" spans="1:15">
      <c r="A10" s="135">
        <v>91334365</v>
      </c>
      <c r="B10" s="136">
        <v>162</v>
      </c>
      <c r="C10" s="1">
        <v>900</v>
      </c>
      <c r="D10" s="1">
        <v>600</v>
      </c>
      <c r="E10" s="1">
        <v>125</v>
      </c>
      <c r="F10" s="1">
        <v>75</v>
      </c>
      <c r="G10" s="1">
        <v>861.04</v>
      </c>
      <c r="H10" s="1">
        <v>669.87</v>
      </c>
    </row>
    <row r="11" spans="1:15">
      <c r="A11" s="135">
        <v>98442977</v>
      </c>
      <c r="B11" s="136">
        <v>217.08</v>
      </c>
      <c r="C11" s="1">
        <v>900</v>
      </c>
      <c r="D11" s="1">
        <v>670</v>
      </c>
      <c r="E11" s="1">
        <v>150</v>
      </c>
      <c r="F11" s="1">
        <v>75</v>
      </c>
      <c r="G11" s="1">
        <v>996.38</v>
      </c>
      <c r="H11" s="1">
        <v>654.41</v>
      </c>
    </row>
    <row r="12" spans="1:15">
      <c r="A12" s="135">
        <v>98327382</v>
      </c>
      <c r="B12" s="136">
        <v>246.23999999999995</v>
      </c>
      <c r="C12" s="1">
        <v>950</v>
      </c>
      <c r="D12" s="1">
        <v>720</v>
      </c>
      <c r="E12" s="1">
        <v>150</v>
      </c>
      <c r="F12" s="1">
        <v>75</v>
      </c>
      <c r="G12" s="1">
        <v>810.05</v>
      </c>
      <c r="H12" s="1">
        <v>532.03</v>
      </c>
    </row>
    <row r="13" spans="1:15">
      <c r="A13" s="135">
        <v>98140864</v>
      </c>
      <c r="B13" s="136">
        <v>328.32</v>
      </c>
      <c r="C13" s="1">
        <v>950</v>
      </c>
      <c r="D13" s="1">
        <v>720</v>
      </c>
      <c r="E13" s="1">
        <v>200</v>
      </c>
      <c r="F13" s="1">
        <v>75</v>
      </c>
      <c r="G13" s="1">
        <v>1092.48</v>
      </c>
      <c r="H13" s="1">
        <v>717.52</v>
      </c>
    </row>
    <row r="14" spans="1:15">
      <c r="A14" s="135">
        <v>93047735</v>
      </c>
      <c r="B14" s="136">
        <v>180</v>
      </c>
      <c r="C14" s="1">
        <v>1000</v>
      </c>
      <c r="D14" s="1">
        <v>600</v>
      </c>
      <c r="E14" s="1">
        <v>125</v>
      </c>
      <c r="F14" s="1">
        <v>75</v>
      </c>
      <c r="G14" s="1">
        <v>925.78</v>
      </c>
      <c r="H14" s="1">
        <v>608.04</v>
      </c>
    </row>
    <row r="15" spans="1:15">
      <c r="A15" s="135">
        <v>92630348</v>
      </c>
      <c r="B15" s="136">
        <v>576</v>
      </c>
      <c r="C15" s="1">
        <v>1000</v>
      </c>
      <c r="D15" s="1">
        <v>800</v>
      </c>
      <c r="E15" s="1">
        <v>300</v>
      </c>
      <c r="F15" s="1">
        <v>100</v>
      </c>
      <c r="G15" s="1">
        <v>1084.6300000000001</v>
      </c>
      <c r="H15" s="1">
        <v>712.37</v>
      </c>
    </row>
    <row r="16" spans="1:15">
      <c r="A16" s="135">
        <v>99630573</v>
      </c>
      <c r="B16" s="136">
        <v>264</v>
      </c>
      <c r="C16" s="1">
        <v>1100</v>
      </c>
      <c r="D16" s="1">
        <v>800</v>
      </c>
      <c r="E16" s="1">
        <v>125</v>
      </c>
      <c r="F16" s="1">
        <v>75</v>
      </c>
      <c r="G16" s="1">
        <v>978.73</v>
      </c>
      <c r="H16" s="1">
        <v>642.80999999999995</v>
      </c>
    </row>
    <row r="17" spans="1:8">
      <c r="A17" s="135">
        <v>92513065</v>
      </c>
      <c r="B17" s="136">
        <v>316.8</v>
      </c>
      <c r="C17" s="1">
        <v>1100</v>
      </c>
      <c r="D17" s="1">
        <v>800</v>
      </c>
      <c r="E17" s="1">
        <v>150</v>
      </c>
      <c r="F17" s="1">
        <v>75</v>
      </c>
      <c r="G17" s="1">
        <v>929.69</v>
      </c>
      <c r="H17" s="1">
        <v>610.6</v>
      </c>
    </row>
    <row r="18" spans="1:8">
      <c r="A18" s="135">
        <v>92909412</v>
      </c>
      <c r="B18" s="136">
        <v>528</v>
      </c>
      <c r="C18" s="1">
        <v>1100</v>
      </c>
      <c r="D18" s="1">
        <v>800</v>
      </c>
      <c r="E18" s="1">
        <v>250</v>
      </c>
      <c r="F18" s="1">
        <v>75</v>
      </c>
      <c r="G18" s="1">
        <v>1098.3699999999999</v>
      </c>
      <c r="H18" s="1">
        <v>721.39</v>
      </c>
    </row>
    <row r="19" spans="1:8">
      <c r="A19" s="135">
        <v>98099213</v>
      </c>
      <c r="B19" s="136">
        <v>234</v>
      </c>
      <c r="C19" s="1">
        <v>1200</v>
      </c>
      <c r="D19" s="1">
        <v>650</v>
      </c>
      <c r="E19" s="1">
        <v>125</v>
      </c>
      <c r="F19" s="1">
        <v>75</v>
      </c>
      <c r="G19" s="1">
        <v>1449.45</v>
      </c>
      <c r="H19" s="1">
        <v>951.97</v>
      </c>
    </row>
    <row r="20" spans="1:8">
      <c r="A20" s="135">
        <v>91338257</v>
      </c>
      <c r="B20" s="136">
        <v>280.8</v>
      </c>
      <c r="C20" s="1">
        <v>1200</v>
      </c>
      <c r="D20" s="1">
        <v>650</v>
      </c>
      <c r="E20" s="1">
        <v>150</v>
      </c>
      <c r="F20" s="1">
        <v>75</v>
      </c>
      <c r="G20" s="1">
        <v>994.42</v>
      </c>
      <c r="H20" s="1">
        <v>653.11</v>
      </c>
    </row>
    <row r="21" spans="1:8">
      <c r="A21" s="135">
        <v>99051528</v>
      </c>
      <c r="B21" s="136">
        <v>302.39999999999998</v>
      </c>
      <c r="C21" s="1">
        <v>1200</v>
      </c>
      <c r="D21" s="1">
        <v>700</v>
      </c>
      <c r="E21" s="1">
        <v>150</v>
      </c>
      <c r="F21" s="1">
        <v>75</v>
      </c>
      <c r="G21" s="1">
        <v>1019.92</v>
      </c>
      <c r="H21" s="1">
        <v>669.87</v>
      </c>
    </row>
    <row r="22" spans="1:8">
      <c r="A22" s="135">
        <v>98322098</v>
      </c>
      <c r="B22" s="136">
        <v>345.59999999999997</v>
      </c>
      <c r="C22" s="1">
        <v>1200</v>
      </c>
      <c r="D22" s="1">
        <v>800</v>
      </c>
      <c r="E22" s="1">
        <v>150</v>
      </c>
      <c r="F22" s="1">
        <v>75</v>
      </c>
      <c r="G22" s="1">
        <v>998.34</v>
      </c>
      <c r="H22" s="1">
        <v>655.69</v>
      </c>
    </row>
    <row r="23" spans="1:8">
      <c r="A23" s="135">
        <v>92909349</v>
      </c>
      <c r="B23" s="136">
        <v>374.40000000000009</v>
      </c>
      <c r="C23" s="1">
        <v>1200</v>
      </c>
      <c r="D23" s="1">
        <v>650</v>
      </c>
      <c r="E23" s="1">
        <v>200</v>
      </c>
      <c r="F23" s="1">
        <v>75</v>
      </c>
      <c r="G23" s="1">
        <v>986.58</v>
      </c>
      <c r="H23" s="1">
        <v>647.97</v>
      </c>
    </row>
    <row r="24" spans="1:8">
      <c r="A24" s="135">
        <v>98327389</v>
      </c>
      <c r="B24" s="136">
        <v>460.8</v>
      </c>
      <c r="C24" s="1">
        <v>1200</v>
      </c>
      <c r="D24" s="1">
        <v>800</v>
      </c>
      <c r="E24" s="1">
        <v>200</v>
      </c>
      <c r="F24" s="1">
        <v>75</v>
      </c>
      <c r="G24" s="1">
        <v>1010.1</v>
      </c>
      <c r="H24" s="1">
        <v>663.42</v>
      </c>
    </row>
    <row r="25" spans="1:8">
      <c r="A25" s="135">
        <v>98412914</v>
      </c>
      <c r="B25" s="136">
        <v>691.19999999999993</v>
      </c>
      <c r="C25" s="1">
        <v>1200</v>
      </c>
      <c r="D25" s="1">
        <v>800</v>
      </c>
      <c r="E25" s="1">
        <v>300</v>
      </c>
      <c r="F25" s="1">
        <v>75</v>
      </c>
      <c r="G25" s="1">
        <v>1196.43</v>
      </c>
      <c r="H25" s="1">
        <v>778.07</v>
      </c>
    </row>
    <row r="26" spans="1:8">
      <c r="A26" s="135">
        <v>99051551</v>
      </c>
      <c r="B26" s="136">
        <v>360</v>
      </c>
      <c r="C26" s="1">
        <v>1250</v>
      </c>
      <c r="D26" s="1">
        <v>800</v>
      </c>
      <c r="E26" s="1">
        <v>150</v>
      </c>
      <c r="F26" s="1">
        <v>75</v>
      </c>
      <c r="G26" s="1">
        <v>1117.98</v>
      </c>
      <c r="H26" s="1">
        <v>734.28</v>
      </c>
    </row>
    <row r="27" spans="1:8">
      <c r="A27" s="135">
        <v>93000767</v>
      </c>
      <c r="B27" s="136">
        <v>499.20000000000005</v>
      </c>
      <c r="C27" s="1">
        <v>1300</v>
      </c>
      <c r="D27" s="1">
        <v>800</v>
      </c>
      <c r="E27" s="1">
        <v>200</v>
      </c>
      <c r="F27" s="1">
        <v>75</v>
      </c>
      <c r="G27" s="1">
        <v>1019.92</v>
      </c>
      <c r="H27" s="1">
        <v>669.87</v>
      </c>
    </row>
    <row r="28" spans="1:8">
      <c r="A28" s="135">
        <v>92512396</v>
      </c>
      <c r="B28" s="136">
        <v>561.60000000000014</v>
      </c>
      <c r="C28" s="1">
        <v>1300</v>
      </c>
      <c r="D28" s="1">
        <v>900</v>
      </c>
      <c r="E28" s="1">
        <v>200</v>
      </c>
      <c r="F28" s="1">
        <v>100</v>
      </c>
      <c r="G28" s="1">
        <v>1508.3</v>
      </c>
      <c r="H28" s="1">
        <v>990.62</v>
      </c>
    </row>
    <row r="29" spans="1:8">
      <c r="A29" s="135">
        <v>93026537</v>
      </c>
      <c r="B29" s="136">
        <v>795.59999999999991</v>
      </c>
      <c r="C29" s="1">
        <v>1300</v>
      </c>
      <c r="D29" s="1">
        <v>850</v>
      </c>
      <c r="E29" s="1">
        <v>300</v>
      </c>
      <c r="F29" s="1">
        <v>100</v>
      </c>
      <c r="G29" s="1">
        <v>1225.8599999999999</v>
      </c>
      <c r="H29" s="1">
        <v>805.13</v>
      </c>
    </row>
    <row r="30" spans="1:8">
      <c r="A30" s="135">
        <v>93000796</v>
      </c>
      <c r="B30" s="136">
        <v>998.40000000000009</v>
      </c>
      <c r="C30" s="1">
        <v>1300</v>
      </c>
      <c r="D30" s="1">
        <v>800</v>
      </c>
      <c r="E30" s="1">
        <v>400</v>
      </c>
      <c r="F30" s="1"/>
      <c r="G30" s="26">
        <v>1602.44</v>
      </c>
      <c r="H30" s="26">
        <v>1052.46</v>
      </c>
    </row>
    <row r="31" spans="1:8">
      <c r="A31" s="135">
        <v>91338087</v>
      </c>
      <c r="B31" s="136">
        <v>293.03999999999996</v>
      </c>
      <c r="C31" s="1">
        <v>1320</v>
      </c>
      <c r="D31" s="1">
        <v>740</v>
      </c>
      <c r="E31" s="1">
        <v>125</v>
      </c>
      <c r="F31" s="1">
        <v>75</v>
      </c>
      <c r="G31" s="1">
        <v>823.78</v>
      </c>
      <c r="H31" s="1">
        <v>541.04</v>
      </c>
    </row>
    <row r="32" spans="1:8">
      <c r="A32" s="135">
        <v>99051564</v>
      </c>
      <c r="B32" s="136">
        <v>453.6</v>
      </c>
      <c r="C32" s="1">
        <v>1350</v>
      </c>
      <c r="D32" s="1">
        <v>800</v>
      </c>
      <c r="E32" s="1">
        <v>175</v>
      </c>
      <c r="F32" s="1">
        <v>75</v>
      </c>
      <c r="G32" s="1">
        <v>1100.33</v>
      </c>
      <c r="H32" s="1">
        <v>722.67</v>
      </c>
    </row>
    <row r="33" spans="1:8">
      <c r="A33" s="135">
        <v>99067490</v>
      </c>
      <c r="B33" s="136">
        <v>1166.4000000000001</v>
      </c>
      <c r="C33" s="1">
        <v>1350</v>
      </c>
      <c r="D33" s="1">
        <v>900</v>
      </c>
      <c r="E33" s="1">
        <v>400</v>
      </c>
      <c r="F33" s="1">
        <v>80</v>
      </c>
      <c r="G33" s="26">
        <v>1602.44</v>
      </c>
      <c r="H33" s="26">
        <v>1052.46</v>
      </c>
    </row>
    <row r="34" spans="1:8">
      <c r="A34" s="135">
        <v>98301913</v>
      </c>
      <c r="B34" s="136">
        <v>302.39999999999998</v>
      </c>
      <c r="C34" s="1">
        <v>1400</v>
      </c>
      <c r="D34" s="1">
        <v>720</v>
      </c>
      <c r="E34" s="1">
        <v>125</v>
      </c>
      <c r="F34" s="1">
        <v>75</v>
      </c>
      <c r="G34" s="1">
        <v>1004.23</v>
      </c>
      <c r="H34" s="1">
        <v>659.56</v>
      </c>
    </row>
    <row r="35" spans="1:8">
      <c r="A35" s="135">
        <v>93047546</v>
      </c>
      <c r="B35" s="136">
        <v>411.59999999999991</v>
      </c>
      <c r="C35" s="1">
        <v>1400</v>
      </c>
      <c r="D35" s="1">
        <v>700</v>
      </c>
      <c r="E35" s="1">
        <v>175</v>
      </c>
      <c r="F35" s="1">
        <v>75</v>
      </c>
      <c r="G35" s="1">
        <v>1110.1300000000001</v>
      </c>
      <c r="H35" s="1">
        <v>729.11</v>
      </c>
    </row>
    <row r="36" spans="1:8">
      <c r="A36" s="135">
        <v>92513002</v>
      </c>
      <c r="B36" s="136">
        <v>646.79999999999995</v>
      </c>
      <c r="C36" s="1">
        <v>1400</v>
      </c>
      <c r="D36" s="1">
        <v>1100</v>
      </c>
      <c r="E36" s="1">
        <v>175</v>
      </c>
      <c r="F36" s="1">
        <v>100</v>
      </c>
      <c r="G36" s="26">
        <v>1655.39</v>
      </c>
      <c r="H36" s="26">
        <v>1087.05</v>
      </c>
    </row>
    <row r="37" spans="1:8">
      <c r="A37" s="135">
        <v>99051548</v>
      </c>
      <c r="B37" s="136">
        <v>487.2</v>
      </c>
      <c r="C37" s="1">
        <v>1450</v>
      </c>
      <c r="D37" s="1">
        <v>800</v>
      </c>
      <c r="E37" s="1">
        <v>175</v>
      </c>
      <c r="F37" s="1">
        <v>75</v>
      </c>
      <c r="G37" s="1">
        <v>1151.32</v>
      </c>
      <c r="H37" s="1">
        <v>756.17</v>
      </c>
    </row>
    <row r="38" spans="1:8">
      <c r="A38" s="135">
        <v>99051549</v>
      </c>
      <c r="B38" s="136">
        <v>556.79999999999995</v>
      </c>
      <c r="C38" s="1">
        <v>1450</v>
      </c>
      <c r="D38" s="1">
        <v>800</v>
      </c>
      <c r="E38" s="1">
        <v>200</v>
      </c>
      <c r="F38" s="1">
        <v>75</v>
      </c>
      <c r="G38" s="1">
        <v>800.24</v>
      </c>
      <c r="H38" s="1">
        <v>525.59</v>
      </c>
    </row>
    <row r="39" spans="1:8">
      <c r="A39" s="135">
        <v>99051550</v>
      </c>
      <c r="B39" s="136">
        <v>648.00000000000011</v>
      </c>
      <c r="C39" s="1">
        <v>1500</v>
      </c>
      <c r="D39" s="1">
        <v>800</v>
      </c>
      <c r="E39" s="1">
        <v>225</v>
      </c>
      <c r="F39" s="1">
        <v>75</v>
      </c>
      <c r="G39" s="1">
        <v>1129.74</v>
      </c>
      <c r="H39" s="1">
        <v>741.99</v>
      </c>
    </row>
    <row r="40" spans="1:8">
      <c r="A40" s="135">
        <v>98565389</v>
      </c>
      <c r="B40" s="136">
        <v>712.80000000000007</v>
      </c>
      <c r="C40" s="1">
        <v>1500</v>
      </c>
      <c r="D40" s="1">
        <v>900</v>
      </c>
      <c r="E40" s="1">
        <v>220</v>
      </c>
      <c r="F40" s="1">
        <v>75</v>
      </c>
      <c r="G40" s="1">
        <v>1196.43</v>
      </c>
      <c r="H40" s="1">
        <v>785.8</v>
      </c>
    </row>
    <row r="41" spans="1:8">
      <c r="A41" s="135">
        <v>98299752</v>
      </c>
      <c r="B41" s="136">
        <v>972</v>
      </c>
      <c r="C41" s="1">
        <v>1500</v>
      </c>
      <c r="D41" s="1">
        <v>900</v>
      </c>
      <c r="E41" s="1">
        <v>300</v>
      </c>
      <c r="F41" s="1">
        <v>75</v>
      </c>
      <c r="G41" s="1">
        <v>1255.27</v>
      </c>
      <c r="H41" s="1">
        <v>824.44</v>
      </c>
    </row>
    <row r="42" spans="1:8">
      <c r="A42" s="135">
        <v>98565406</v>
      </c>
      <c r="B42" s="136">
        <v>1296</v>
      </c>
      <c r="C42" s="1">
        <v>1500</v>
      </c>
      <c r="D42" s="1">
        <v>900</v>
      </c>
      <c r="E42" s="1">
        <v>400</v>
      </c>
      <c r="F42" s="1">
        <v>80</v>
      </c>
      <c r="G42" s="1"/>
      <c r="H42" s="26">
        <v>1249.3</v>
      </c>
    </row>
    <row r="43" spans="1:8">
      <c r="A43" s="135">
        <v>98100247</v>
      </c>
      <c r="B43" s="136">
        <v>412.92</v>
      </c>
      <c r="C43" s="1">
        <v>1550</v>
      </c>
      <c r="D43" s="1">
        <v>740</v>
      </c>
      <c r="E43" s="1">
        <v>150</v>
      </c>
      <c r="F43" s="1">
        <v>75</v>
      </c>
      <c r="G43" s="26">
        <v>1614.2</v>
      </c>
      <c r="H43" s="26">
        <v>1060.18</v>
      </c>
    </row>
    <row r="44" spans="1:8">
      <c r="A44" s="135">
        <v>93047624</v>
      </c>
      <c r="B44" s="136">
        <v>691.20000000000016</v>
      </c>
      <c r="C44" s="1">
        <v>1600</v>
      </c>
      <c r="D44" s="1">
        <v>800</v>
      </c>
      <c r="E44" s="1">
        <v>225</v>
      </c>
      <c r="F44" s="1">
        <v>75</v>
      </c>
      <c r="G44" s="1">
        <v>1184.67</v>
      </c>
      <c r="H44" s="1">
        <v>785.8</v>
      </c>
    </row>
    <row r="45" spans="1:8">
      <c r="A45" s="135">
        <v>99629821</v>
      </c>
      <c r="B45" s="136">
        <v>642.59999999999991</v>
      </c>
      <c r="C45" s="1">
        <v>1700</v>
      </c>
      <c r="D45" s="1">
        <v>900</v>
      </c>
      <c r="E45" s="1">
        <v>175</v>
      </c>
      <c r="F45" s="1">
        <v>75</v>
      </c>
      <c r="G45" s="1">
        <v>1480.84</v>
      </c>
      <c r="H45" s="1">
        <v>972.6</v>
      </c>
    </row>
    <row r="46" spans="1:8">
      <c r="A46" s="135">
        <v>93369540</v>
      </c>
      <c r="B46" s="136">
        <v>780.3</v>
      </c>
      <c r="C46" s="1">
        <v>1700</v>
      </c>
      <c r="D46" s="1">
        <v>850</v>
      </c>
      <c r="E46" s="1">
        <v>225</v>
      </c>
      <c r="F46" s="1">
        <v>75</v>
      </c>
      <c r="G46" s="1"/>
      <c r="H46" s="1">
        <v>859.95</v>
      </c>
    </row>
    <row r="47" spans="1:8">
      <c r="A47" s="135">
        <v>91338088</v>
      </c>
      <c r="B47" s="136">
        <v>660.96000000000015</v>
      </c>
      <c r="C47" s="1">
        <v>1700</v>
      </c>
      <c r="D47" s="1">
        <v>810</v>
      </c>
      <c r="E47" s="1">
        <v>200</v>
      </c>
      <c r="F47" s="1">
        <v>80</v>
      </c>
      <c r="G47" s="1">
        <v>833.59</v>
      </c>
      <c r="H47" s="1">
        <v>547.49</v>
      </c>
    </row>
    <row r="48" spans="1:8">
      <c r="A48" s="135">
        <v>92792038</v>
      </c>
      <c r="B48" s="136">
        <v>734.40000000000009</v>
      </c>
      <c r="C48" s="1">
        <v>1700</v>
      </c>
      <c r="D48" s="1">
        <v>900</v>
      </c>
      <c r="E48" s="1">
        <v>200</v>
      </c>
      <c r="F48" s="1">
        <v>75</v>
      </c>
      <c r="G48" s="1">
        <v>1188.58</v>
      </c>
      <c r="H48" s="1">
        <v>780.65</v>
      </c>
    </row>
    <row r="49" spans="1:8">
      <c r="A49" s="1" t="s">
        <v>751</v>
      </c>
      <c r="B49" s="156">
        <v>979.2</v>
      </c>
      <c r="C49" s="1">
        <v>1700</v>
      </c>
      <c r="D49" s="1">
        <v>1200</v>
      </c>
      <c r="E49" s="1">
        <v>200</v>
      </c>
      <c r="G49" s="134"/>
      <c r="H49" s="132">
        <v>1550</v>
      </c>
    </row>
    <row r="50" spans="1:8">
      <c r="A50" s="1" t="s">
        <v>738</v>
      </c>
      <c r="B50" s="156">
        <v>864.00000000000011</v>
      </c>
      <c r="C50" s="1">
        <v>1800</v>
      </c>
      <c r="D50" s="1">
        <v>800</v>
      </c>
      <c r="E50" s="1">
        <v>250</v>
      </c>
      <c r="F50" s="1"/>
      <c r="G50" s="1"/>
      <c r="H50" s="132">
        <v>1550</v>
      </c>
    </row>
    <row r="51" spans="1:8">
      <c r="A51" s="1" t="s">
        <v>2138</v>
      </c>
      <c r="B51" s="156">
        <v>2188.7999999999997</v>
      </c>
      <c r="C51" s="1">
        <v>1900</v>
      </c>
      <c r="D51" s="1">
        <v>1200</v>
      </c>
      <c r="E51" s="1">
        <v>400</v>
      </c>
      <c r="H51" s="132">
        <v>1550</v>
      </c>
    </row>
    <row r="52" spans="1:8">
      <c r="A52" s="1" t="s">
        <v>738</v>
      </c>
      <c r="B52" s="156">
        <v>1367.9999999999998</v>
      </c>
      <c r="C52" s="1">
        <v>1900</v>
      </c>
      <c r="D52" s="1">
        <v>1200</v>
      </c>
      <c r="E52" s="1">
        <v>250</v>
      </c>
      <c r="F52" s="1"/>
      <c r="G52" s="1"/>
      <c r="H52" s="132">
        <v>1550</v>
      </c>
    </row>
    <row r="53" spans="1:8">
      <c r="A53" s="1" t="s">
        <v>2139</v>
      </c>
      <c r="B53" s="156">
        <v>911.99999999999989</v>
      </c>
      <c r="C53" s="1">
        <v>1900</v>
      </c>
      <c r="D53" s="1">
        <v>800</v>
      </c>
      <c r="E53" s="1">
        <v>250</v>
      </c>
      <c r="G53" s="134"/>
      <c r="H53" s="132">
        <v>1550</v>
      </c>
    </row>
    <row r="54" spans="1:8">
      <c r="A54" s="1" t="s">
        <v>759</v>
      </c>
      <c r="B54" s="156">
        <v>1764</v>
      </c>
      <c r="C54" s="1">
        <v>2100</v>
      </c>
      <c r="D54" s="1">
        <v>1400</v>
      </c>
      <c r="E54" s="1">
        <v>250</v>
      </c>
      <c r="G54" s="134"/>
      <c r="H54" s="132">
        <v>1550</v>
      </c>
    </row>
    <row r="55" spans="1:8">
      <c r="A55" s="1" t="s">
        <v>762</v>
      </c>
      <c r="B55" s="156">
        <v>2217.5999999999995</v>
      </c>
      <c r="C55" s="1">
        <v>2200</v>
      </c>
      <c r="D55" s="1">
        <v>1400</v>
      </c>
      <c r="E55" s="1">
        <v>300</v>
      </c>
      <c r="H55" s="132">
        <v>1550</v>
      </c>
    </row>
    <row r="56" spans="1:8">
      <c r="A56" s="1" t="s">
        <v>769</v>
      </c>
      <c r="B56" s="156">
        <v>2073.6</v>
      </c>
      <c r="C56" s="1">
        <v>2400</v>
      </c>
      <c r="D56" s="1">
        <v>1200</v>
      </c>
      <c r="E56" s="1">
        <v>300</v>
      </c>
      <c r="H56" s="132">
        <v>1550</v>
      </c>
    </row>
    <row r="57" spans="1:8">
      <c r="A57" s="1" t="s">
        <v>765</v>
      </c>
      <c r="B57" s="156">
        <v>1080</v>
      </c>
      <c r="C57" s="1">
        <v>1800</v>
      </c>
      <c r="D57" s="1">
        <v>1000</v>
      </c>
      <c r="E57" s="1">
        <v>250</v>
      </c>
      <c r="H57" s="132">
        <v>1550</v>
      </c>
    </row>
    <row r="58" spans="1:8"/>
    <row r="59" spans="1:8"/>
    <row r="60" spans="1:8"/>
    <row r="61" spans="1:8"/>
    <row r="62" spans="1:8"/>
    <row r="63" spans="1:8"/>
    <row r="64" spans="1:8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autoFilter ref="A1:O1003" xr:uid="{00000000-0009-0000-0000-000024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outlinePr summaryBelow="0" summaryRight="0"/>
  </sheetPr>
  <dimension ref="A1:G1170"/>
  <sheetViews>
    <sheetView tabSelected="1" workbookViewId="0"/>
  </sheetViews>
  <sheetFormatPr defaultColWidth="12.5703125" defaultRowHeight="15.75" customHeight="1"/>
  <cols>
    <col min="1" max="1" width="9" bestFit="1" customWidth="1"/>
    <col min="2" max="2" width="36.28515625" customWidth="1"/>
  </cols>
  <sheetData>
    <row r="1" spans="1:7" ht="12.75">
      <c r="A1" s="32" t="s">
        <v>15</v>
      </c>
      <c r="B1" s="2" t="s">
        <v>8</v>
      </c>
      <c r="C1" s="2" t="s">
        <v>2140</v>
      </c>
      <c r="D1" s="2" t="s">
        <v>2141</v>
      </c>
      <c r="E1" s="2" t="s">
        <v>15</v>
      </c>
    </row>
    <row r="2" spans="1:7" ht="12.75" hidden="1">
      <c r="A2" s="131">
        <v>99796410</v>
      </c>
      <c r="B2" s="7" t="s">
        <v>2142</v>
      </c>
      <c r="C2" s="7">
        <v>1.9</v>
      </c>
      <c r="D2" s="7">
        <v>300</v>
      </c>
      <c r="E2" s="7">
        <v>99796410</v>
      </c>
    </row>
    <row r="3" spans="1:7" ht="12.75" hidden="1">
      <c r="A3" s="131">
        <v>99801285</v>
      </c>
      <c r="B3" s="7" t="s">
        <v>2143</v>
      </c>
      <c r="C3" s="7">
        <v>2.48</v>
      </c>
      <c r="D3" s="7">
        <v>225</v>
      </c>
      <c r="E3" s="7">
        <v>99801285</v>
      </c>
    </row>
    <row r="4" spans="1:7" ht="12.75" hidden="1">
      <c r="A4" s="131">
        <v>99801276</v>
      </c>
      <c r="B4" s="7" t="s">
        <v>2144</v>
      </c>
      <c r="C4" s="7">
        <v>2.7</v>
      </c>
      <c r="D4" s="7">
        <v>150</v>
      </c>
      <c r="E4" s="7">
        <v>99801276</v>
      </c>
      <c r="G4" s="137" t="s">
        <v>2145</v>
      </c>
    </row>
    <row r="5" spans="1:7" ht="12.75" hidden="1">
      <c r="A5" s="131">
        <v>99796410</v>
      </c>
      <c r="B5" s="7" t="s">
        <v>2142</v>
      </c>
      <c r="C5" s="7">
        <v>3</v>
      </c>
      <c r="D5" s="7">
        <v>300</v>
      </c>
      <c r="E5" s="7">
        <v>99796410</v>
      </c>
    </row>
    <row r="6" spans="1:7" ht="12.75" hidden="1">
      <c r="A6" s="131">
        <v>99796411</v>
      </c>
      <c r="B6" s="7" t="s">
        <v>2146</v>
      </c>
      <c r="C6" s="7">
        <v>3.27</v>
      </c>
      <c r="D6" s="7">
        <v>400</v>
      </c>
      <c r="E6" s="7">
        <v>99796411</v>
      </c>
    </row>
    <row r="7" spans="1:7" ht="12.75" hidden="1">
      <c r="A7" s="131">
        <v>99801277</v>
      </c>
      <c r="B7" s="7" t="s">
        <v>2147</v>
      </c>
      <c r="C7" s="7">
        <v>3.29</v>
      </c>
      <c r="D7" s="7">
        <v>152</v>
      </c>
      <c r="E7" s="7">
        <v>99801277</v>
      </c>
    </row>
    <row r="8" spans="1:7" ht="12.75" hidden="1">
      <c r="A8" s="131">
        <v>99801285</v>
      </c>
      <c r="B8" s="7" t="s">
        <v>2143</v>
      </c>
      <c r="C8" s="7">
        <v>3.3</v>
      </c>
      <c r="D8" s="7">
        <v>200</v>
      </c>
      <c r="E8" s="7">
        <v>99801285</v>
      </c>
    </row>
    <row r="9" spans="1:7" ht="12.75" hidden="1">
      <c r="A9" s="131">
        <v>99796410</v>
      </c>
      <c r="B9" s="7" t="s">
        <v>2142</v>
      </c>
      <c r="C9" s="7">
        <v>3.3</v>
      </c>
      <c r="D9" s="7">
        <v>300</v>
      </c>
      <c r="E9" s="7">
        <v>99796410</v>
      </c>
    </row>
    <row r="10" spans="1:7" ht="12.75" hidden="1">
      <c r="A10" s="131">
        <v>99796411</v>
      </c>
      <c r="B10" s="7" t="s">
        <v>2146</v>
      </c>
      <c r="C10" s="7">
        <v>3.3</v>
      </c>
      <c r="D10" s="7">
        <v>400</v>
      </c>
      <c r="E10" s="7">
        <v>99796411</v>
      </c>
    </row>
    <row r="11" spans="1:7" ht="12.75" hidden="1">
      <c r="A11" s="131">
        <v>99801297</v>
      </c>
      <c r="B11" s="7" t="s">
        <v>2148</v>
      </c>
      <c r="C11" s="7">
        <v>3.4</v>
      </c>
      <c r="D11" s="7">
        <v>100</v>
      </c>
      <c r="E11" s="7">
        <v>99801297</v>
      </c>
    </row>
    <row r="12" spans="1:7" ht="12.75" hidden="1">
      <c r="A12" s="131">
        <v>99801101</v>
      </c>
      <c r="B12" s="7" t="s">
        <v>2149</v>
      </c>
      <c r="C12" s="7">
        <v>3.44</v>
      </c>
      <c r="D12" s="7">
        <v>50</v>
      </c>
      <c r="E12" s="7">
        <v>99801101</v>
      </c>
    </row>
    <row r="13" spans="1:7" ht="12.75" hidden="1">
      <c r="A13" s="131">
        <v>99801100</v>
      </c>
      <c r="B13" s="7" t="s">
        <v>2150</v>
      </c>
      <c r="C13" s="7">
        <v>3.7</v>
      </c>
      <c r="D13" s="7">
        <v>300</v>
      </c>
      <c r="E13" s="7">
        <v>99801100</v>
      </c>
    </row>
    <row r="14" spans="1:7" ht="12.75" hidden="1">
      <c r="A14" s="131">
        <v>99801287</v>
      </c>
      <c r="B14" s="7" t="s">
        <v>2151</v>
      </c>
      <c r="C14" s="7">
        <v>4</v>
      </c>
      <c r="D14" s="7">
        <v>350</v>
      </c>
      <c r="E14" s="7">
        <v>99801287</v>
      </c>
    </row>
    <row r="15" spans="1:7" ht="12.75" hidden="1">
      <c r="A15" s="131">
        <v>99796411</v>
      </c>
      <c r="B15" s="7" t="s">
        <v>2146</v>
      </c>
      <c r="C15" s="7">
        <v>4</v>
      </c>
      <c r="D15" s="7">
        <v>370</v>
      </c>
      <c r="E15" s="7">
        <v>99796411</v>
      </c>
    </row>
    <row r="16" spans="1:7" ht="12.75">
      <c r="A16" s="131">
        <v>99796408</v>
      </c>
      <c r="B16" s="7" t="s">
        <v>2152</v>
      </c>
      <c r="C16" s="7">
        <v>4.04</v>
      </c>
      <c r="D16" s="7">
        <v>250</v>
      </c>
      <c r="E16" s="7">
        <v>99796408</v>
      </c>
    </row>
    <row r="17" spans="1:5" ht="12.75" hidden="1">
      <c r="A17" s="131">
        <v>99796407</v>
      </c>
      <c r="B17" s="7" t="s">
        <v>2153</v>
      </c>
      <c r="C17" s="7">
        <v>4.07</v>
      </c>
      <c r="D17" s="7">
        <v>240</v>
      </c>
      <c r="E17" s="7">
        <v>99796407</v>
      </c>
    </row>
    <row r="18" spans="1:5" ht="12.75" hidden="1">
      <c r="A18" s="131">
        <v>99796410</v>
      </c>
      <c r="B18" s="7" t="s">
        <v>2142</v>
      </c>
      <c r="C18" s="7">
        <v>4.2</v>
      </c>
      <c r="D18" s="7">
        <v>300</v>
      </c>
      <c r="E18" s="7">
        <v>99796410</v>
      </c>
    </row>
    <row r="19" spans="1:5" ht="12.75" hidden="1">
      <c r="A19" s="131">
        <v>99796407</v>
      </c>
      <c r="B19" s="7" t="s">
        <v>2153</v>
      </c>
      <c r="C19" s="7">
        <v>4.2</v>
      </c>
      <c r="D19" s="7">
        <v>450</v>
      </c>
      <c r="E19" s="7">
        <v>99796407</v>
      </c>
    </row>
    <row r="20" spans="1:5" ht="12.75" hidden="1">
      <c r="A20" s="131">
        <v>99801276</v>
      </c>
      <c r="B20" s="7" t="s">
        <v>2144</v>
      </c>
      <c r="C20" s="7">
        <v>4.3</v>
      </c>
      <c r="D20" s="7">
        <v>130</v>
      </c>
      <c r="E20" s="7">
        <v>99801276</v>
      </c>
    </row>
    <row r="21" spans="1:5" ht="12.75" hidden="1">
      <c r="A21" s="131">
        <v>99796409</v>
      </c>
      <c r="B21" s="7" t="s">
        <v>2154</v>
      </c>
      <c r="C21" s="7">
        <v>4.5999999999999996</v>
      </c>
      <c r="D21" s="7">
        <v>300</v>
      </c>
      <c r="E21" s="7">
        <v>99796409</v>
      </c>
    </row>
    <row r="22" spans="1:5" ht="12.75">
      <c r="A22" s="131">
        <v>99796407</v>
      </c>
      <c r="B22" s="7" t="s">
        <v>2153</v>
      </c>
      <c r="C22" s="7">
        <v>4.6500000000000004</v>
      </c>
      <c r="D22" s="7">
        <v>250</v>
      </c>
      <c r="E22" s="7">
        <v>99796407</v>
      </c>
    </row>
    <row r="23" spans="1:5" ht="12.75">
      <c r="A23" s="131">
        <v>99796407</v>
      </c>
      <c r="B23" s="7" t="s">
        <v>2153</v>
      </c>
      <c r="C23" s="7">
        <v>4.67</v>
      </c>
      <c r="D23" s="7">
        <v>250</v>
      </c>
      <c r="E23" s="7">
        <v>99796407</v>
      </c>
    </row>
    <row r="24" spans="1:5" ht="12.75" hidden="1">
      <c r="A24" s="131">
        <v>99796406</v>
      </c>
      <c r="B24" s="7" t="s">
        <v>2155</v>
      </c>
      <c r="C24" s="7">
        <v>4.8</v>
      </c>
      <c r="D24" s="7">
        <v>180</v>
      </c>
      <c r="E24" s="7">
        <v>99796406</v>
      </c>
    </row>
    <row r="25" spans="1:5" ht="12.75" hidden="1">
      <c r="A25" s="131">
        <v>99796409</v>
      </c>
      <c r="B25" s="7" t="s">
        <v>2154</v>
      </c>
      <c r="C25" s="7">
        <v>4.8</v>
      </c>
      <c r="D25" s="7">
        <v>400</v>
      </c>
      <c r="E25" s="7">
        <v>99796409</v>
      </c>
    </row>
    <row r="26" spans="1:5" ht="12.75">
      <c r="A26" s="131">
        <v>99796407</v>
      </c>
      <c r="B26" s="7" t="s">
        <v>2153</v>
      </c>
      <c r="C26" s="7">
        <v>4.9000000000000004</v>
      </c>
      <c r="D26" s="7">
        <v>250</v>
      </c>
      <c r="E26" s="7">
        <v>99796407</v>
      </c>
    </row>
    <row r="27" spans="1:5" ht="12.75" hidden="1">
      <c r="A27" s="131">
        <v>99796409</v>
      </c>
      <c r="B27" s="7" t="s">
        <v>2154</v>
      </c>
      <c r="C27" s="7">
        <v>4.9000000000000004</v>
      </c>
      <c r="D27" s="7">
        <v>300</v>
      </c>
      <c r="E27" s="7">
        <v>99796409</v>
      </c>
    </row>
    <row r="28" spans="1:5" ht="12.75" hidden="1">
      <c r="A28" s="131">
        <v>99796406</v>
      </c>
      <c r="B28" s="7" t="s">
        <v>2155</v>
      </c>
      <c r="C28" s="7">
        <v>5</v>
      </c>
      <c r="D28" s="7">
        <v>180</v>
      </c>
      <c r="E28" s="7">
        <v>99796406</v>
      </c>
    </row>
    <row r="29" spans="1:5" ht="12.75">
      <c r="A29" s="131">
        <v>99796408</v>
      </c>
      <c r="B29" s="7" t="s">
        <v>2152</v>
      </c>
      <c r="C29" s="7">
        <v>5</v>
      </c>
      <c r="D29" s="7">
        <v>280</v>
      </c>
      <c r="E29" s="7">
        <v>99796408</v>
      </c>
    </row>
    <row r="30" spans="1:5" ht="12.75" hidden="1">
      <c r="A30" s="131">
        <v>99796410</v>
      </c>
      <c r="B30" s="7" t="s">
        <v>2142</v>
      </c>
      <c r="C30" s="7">
        <v>5.13</v>
      </c>
      <c r="D30" s="7">
        <v>300</v>
      </c>
      <c r="E30" s="7">
        <v>99796410</v>
      </c>
    </row>
    <row r="31" spans="1:5" ht="12.75" hidden="1">
      <c r="A31" s="131">
        <v>99801280</v>
      </c>
      <c r="B31" s="7" t="s">
        <v>2156</v>
      </c>
      <c r="C31" s="7">
        <v>5.17</v>
      </c>
      <c r="D31" s="7">
        <v>120</v>
      </c>
      <c r="E31" s="7">
        <v>99801280</v>
      </c>
    </row>
    <row r="32" spans="1:5" ht="12.75" hidden="1">
      <c r="A32" s="131">
        <v>99801279</v>
      </c>
      <c r="B32" s="7" t="s">
        <v>2157</v>
      </c>
      <c r="C32" s="7">
        <v>5.2</v>
      </c>
      <c r="D32" s="7">
        <v>100</v>
      </c>
      <c r="E32" s="7">
        <v>99801279</v>
      </c>
    </row>
    <row r="33" spans="1:5" ht="12.75" hidden="1">
      <c r="A33" s="131">
        <v>99801279</v>
      </c>
      <c r="B33" s="7" t="s">
        <v>2157</v>
      </c>
      <c r="C33" s="7">
        <v>5.2</v>
      </c>
      <c r="D33" s="7">
        <v>100</v>
      </c>
      <c r="E33" s="7">
        <v>99801279</v>
      </c>
    </row>
    <row r="34" spans="1:5" ht="12.75" hidden="1">
      <c r="A34" s="131">
        <v>99796406</v>
      </c>
      <c r="B34" s="7" t="s">
        <v>2155</v>
      </c>
      <c r="C34" s="7">
        <v>5.25</v>
      </c>
      <c r="D34" s="7">
        <v>200</v>
      </c>
      <c r="E34" s="7">
        <v>99796406</v>
      </c>
    </row>
    <row r="35" spans="1:5" ht="12.75" hidden="1">
      <c r="A35" s="131">
        <v>99796407</v>
      </c>
      <c r="B35" s="7" t="s">
        <v>2153</v>
      </c>
      <c r="C35" s="7">
        <v>5.25</v>
      </c>
      <c r="D35" s="7">
        <v>200</v>
      </c>
      <c r="E35" s="7">
        <v>99796407</v>
      </c>
    </row>
    <row r="36" spans="1:5" ht="12.75">
      <c r="A36" s="131">
        <v>99796407</v>
      </c>
      <c r="B36" s="7" t="s">
        <v>2153</v>
      </c>
      <c r="C36" s="7">
        <v>5.25</v>
      </c>
      <c r="D36" s="7">
        <v>250</v>
      </c>
      <c r="E36" s="7">
        <v>99796407</v>
      </c>
    </row>
    <row r="37" spans="1:5" ht="12.75" hidden="1">
      <c r="A37" s="131">
        <v>99796409</v>
      </c>
      <c r="B37" s="7" t="s">
        <v>2154</v>
      </c>
      <c r="C37" s="7">
        <v>5.3</v>
      </c>
      <c r="D37" s="7">
        <v>325</v>
      </c>
      <c r="E37" s="7">
        <v>99796409</v>
      </c>
    </row>
    <row r="38" spans="1:5" ht="12.75">
      <c r="A38" s="131">
        <v>99796409</v>
      </c>
      <c r="B38" s="7" t="s">
        <v>2154</v>
      </c>
      <c r="C38" s="7">
        <v>5.49</v>
      </c>
      <c r="D38" s="7">
        <v>280</v>
      </c>
      <c r="E38" s="7">
        <v>99796409</v>
      </c>
    </row>
    <row r="39" spans="1:5" ht="12.75" hidden="1">
      <c r="A39" s="131">
        <v>99801279</v>
      </c>
      <c r="B39" s="7" t="s">
        <v>2157</v>
      </c>
      <c r="C39" s="7">
        <v>5.5</v>
      </c>
      <c r="D39" s="7">
        <v>100</v>
      </c>
      <c r="E39" s="7">
        <v>99801279</v>
      </c>
    </row>
    <row r="40" spans="1:5" ht="12.75" hidden="1">
      <c r="A40" s="131">
        <v>99796407</v>
      </c>
      <c r="B40" s="7" t="s">
        <v>2153</v>
      </c>
      <c r="C40" s="7">
        <v>5.5</v>
      </c>
      <c r="D40" s="7">
        <v>200</v>
      </c>
      <c r="E40" s="7">
        <v>99796407</v>
      </c>
    </row>
    <row r="41" spans="1:5" ht="12.75" hidden="1">
      <c r="A41" s="131">
        <v>99801283</v>
      </c>
      <c r="B41" s="7" t="s">
        <v>2158</v>
      </c>
      <c r="C41" s="7">
        <v>5.6</v>
      </c>
      <c r="D41" s="7">
        <v>150</v>
      </c>
      <c r="E41" s="7">
        <v>99801283</v>
      </c>
    </row>
    <row r="42" spans="1:5" ht="12.75" hidden="1">
      <c r="A42" s="131">
        <v>99801284</v>
      </c>
      <c r="B42" s="7" t="s">
        <v>2159</v>
      </c>
      <c r="C42" s="7">
        <v>5.6</v>
      </c>
      <c r="D42" s="7">
        <v>175</v>
      </c>
      <c r="E42" s="7">
        <v>99801284</v>
      </c>
    </row>
    <row r="43" spans="1:5" ht="12.75" hidden="1">
      <c r="A43" s="131">
        <v>99801279</v>
      </c>
      <c r="B43" s="7" t="s">
        <v>2157</v>
      </c>
      <c r="C43" s="7">
        <v>5.8</v>
      </c>
      <c r="D43" s="7">
        <v>100</v>
      </c>
      <c r="E43" s="7">
        <v>99801279</v>
      </c>
    </row>
    <row r="44" spans="1:5" ht="12.75">
      <c r="A44" s="131">
        <v>99796409</v>
      </c>
      <c r="B44" s="7" t="s">
        <v>2154</v>
      </c>
      <c r="C44" s="7">
        <v>5.86</v>
      </c>
      <c r="D44" s="7">
        <v>280</v>
      </c>
      <c r="E44" s="7">
        <v>99796409</v>
      </c>
    </row>
    <row r="45" spans="1:5" ht="12.75" hidden="1">
      <c r="A45" s="131">
        <v>99796407</v>
      </c>
      <c r="B45" s="7" t="s">
        <v>2153</v>
      </c>
      <c r="C45" s="7">
        <v>5.93</v>
      </c>
      <c r="D45" s="7">
        <v>205</v>
      </c>
      <c r="E45" s="7">
        <v>99796407</v>
      </c>
    </row>
    <row r="46" spans="1:5" ht="12.75">
      <c r="A46" s="131">
        <v>99796407</v>
      </c>
      <c r="B46" s="7" t="s">
        <v>2153</v>
      </c>
      <c r="C46" s="7">
        <v>5.97</v>
      </c>
      <c r="D46" s="7">
        <v>250</v>
      </c>
      <c r="E46" s="7">
        <v>99796407</v>
      </c>
    </row>
    <row r="47" spans="1:5" ht="12.75">
      <c r="A47" s="131">
        <v>99801287</v>
      </c>
      <c r="B47" s="7" t="s">
        <v>2151</v>
      </c>
      <c r="C47" s="7">
        <v>5.98</v>
      </c>
      <c r="D47" s="7">
        <v>250</v>
      </c>
      <c r="E47" s="7">
        <v>99801287</v>
      </c>
    </row>
    <row r="48" spans="1:5" ht="12.75" hidden="1">
      <c r="A48" s="131">
        <v>99796406</v>
      </c>
      <c r="B48" s="7" t="s">
        <v>2155</v>
      </c>
      <c r="C48" s="7">
        <v>6</v>
      </c>
      <c r="D48" s="7">
        <v>150</v>
      </c>
      <c r="E48" s="7">
        <v>99796406</v>
      </c>
    </row>
    <row r="49" spans="1:5" ht="12.75" hidden="1">
      <c r="A49" s="131">
        <v>99801286</v>
      </c>
      <c r="B49" s="7" t="s">
        <v>2160</v>
      </c>
      <c r="C49" s="7">
        <v>6</v>
      </c>
      <c r="D49" s="7">
        <v>225</v>
      </c>
      <c r="E49" s="7">
        <v>99801286</v>
      </c>
    </row>
    <row r="50" spans="1:5" ht="12.75">
      <c r="A50" s="131">
        <v>99796407</v>
      </c>
      <c r="B50" s="7" t="s">
        <v>2153</v>
      </c>
      <c r="C50" s="7">
        <v>6</v>
      </c>
      <c r="D50" s="7">
        <v>250</v>
      </c>
      <c r="E50" s="7">
        <v>99796407</v>
      </c>
    </row>
    <row r="51" spans="1:5" ht="12.75">
      <c r="A51" s="131">
        <v>99801287</v>
      </c>
      <c r="B51" s="7" t="s">
        <v>2151</v>
      </c>
      <c r="C51" s="7">
        <v>6</v>
      </c>
      <c r="D51" s="7">
        <v>250</v>
      </c>
      <c r="E51" s="7">
        <v>99801287</v>
      </c>
    </row>
    <row r="52" spans="1:5" ht="12.75" hidden="1">
      <c r="A52" s="131">
        <v>99796409</v>
      </c>
      <c r="B52" s="7" t="s">
        <v>2154</v>
      </c>
      <c r="C52" s="7">
        <v>6</v>
      </c>
      <c r="D52" s="7">
        <v>300</v>
      </c>
      <c r="E52" s="7">
        <v>99796409</v>
      </c>
    </row>
    <row r="53" spans="1:5" ht="12.75" hidden="1">
      <c r="A53" s="131">
        <v>99796409</v>
      </c>
      <c r="B53" s="7" t="s">
        <v>2154</v>
      </c>
      <c r="C53" s="7">
        <v>6</v>
      </c>
      <c r="D53" s="7">
        <v>350</v>
      </c>
      <c r="E53" s="7">
        <v>99796409</v>
      </c>
    </row>
    <row r="54" spans="1:5" ht="12.75" hidden="1">
      <c r="A54" s="131">
        <v>99801300</v>
      </c>
      <c r="B54" s="7" t="s">
        <v>2161</v>
      </c>
      <c r="C54" s="7">
        <v>6</v>
      </c>
      <c r="D54" s="7">
        <v>350</v>
      </c>
      <c r="E54" s="7">
        <v>99801300</v>
      </c>
    </row>
    <row r="55" spans="1:5" ht="12.75" hidden="1">
      <c r="A55" s="131">
        <v>99796409</v>
      </c>
      <c r="B55" s="7" t="s">
        <v>2154</v>
      </c>
      <c r="C55" s="7">
        <v>6</v>
      </c>
      <c r="D55" s="7">
        <v>370</v>
      </c>
      <c r="E55" s="7">
        <v>99796409</v>
      </c>
    </row>
    <row r="56" spans="1:5" ht="12.75" hidden="1">
      <c r="A56" s="131">
        <v>99796407</v>
      </c>
      <c r="B56" s="7" t="s">
        <v>2153</v>
      </c>
      <c r="C56" s="7">
        <v>6.2</v>
      </c>
      <c r="D56" s="7">
        <v>210</v>
      </c>
      <c r="E56" s="7">
        <v>99796407</v>
      </c>
    </row>
    <row r="57" spans="1:5" ht="12.75" hidden="1">
      <c r="A57" s="131">
        <v>99796410</v>
      </c>
      <c r="B57" s="7" t="s">
        <v>2142</v>
      </c>
      <c r="C57" s="7">
        <v>6.2</v>
      </c>
      <c r="D57" s="7">
        <v>300</v>
      </c>
      <c r="E57" s="7">
        <v>99796410</v>
      </c>
    </row>
    <row r="58" spans="1:5" ht="12.75" hidden="1">
      <c r="A58" s="131">
        <v>99796409</v>
      </c>
      <c r="B58" s="7" t="s">
        <v>2154</v>
      </c>
      <c r="C58" s="7">
        <v>6.55</v>
      </c>
      <c r="D58" s="7">
        <v>300</v>
      </c>
      <c r="E58" s="7">
        <v>99796409</v>
      </c>
    </row>
    <row r="59" spans="1:5" ht="12.75">
      <c r="A59" s="131">
        <v>99796408</v>
      </c>
      <c r="B59" s="7" t="s">
        <v>2152</v>
      </c>
      <c r="C59" s="7">
        <v>6.6</v>
      </c>
      <c r="D59" s="7">
        <v>250</v>
      </c>
      <c r="E59" s="7">
        <v>99796408</v>
      </c>
    </row>
    <row r="60" spans="1:5" ht="12.75" hidden="1">
      <c r="A60" s="131">
        <v>99796412</v>
      </c>
      <c r="B60" s="7" t="s">
        <v>2162</v>
      </c>
      <c r="C60" s="7">
        <v>6.72</v>
      </c>
      <c r="D60" s="7">
        <v>350</v>
      </c>
      <c r="E60" s="7">
        <v>99796412</v>
      </c>
    </row>
    <row r="61" spans="1:5" ht="12.75" hidden="1">
      <c r="A61" s="131">
        <v>99796407</v>
      </c>
      <c r="B61" s="7" t="s">
        <v>2153</v>
      </c>
      <c r="C61" s="7">
        <v>6.72</v>
      </c>
      <c r="D61" s="7">
        <v>450</v>
      </c>
      <c r="E61" s="7">
        <v>99796407</v>
      </c>
    </row>
    <row r="62" spans="1:5" ht="12.75" hidden="1">
      <c r="A62" s="131">
        <v>99796412</v>
      </c>
      <c r="B62" s="7" t="s">
        <v>2162</v>
      </c>
      <c r="C62" s="7">
        <v>6.8</v>
      </c>
      <c r="D62" s="7">
        <v>450</v>
      </c>
      <c r="E62" s="7">
        <v>99796412</v>
      </c>
    </row>
    <row r="63" spans="1:5" ht="12.75" hidden="1">
      <c r="A63" s="131">
        <v>99796413</v>
      </c>
      <c r="B63" s="7" t="s">
        <v>2163</v>
      </c>
      <c r="C63" s="7">
        <v>6.83</v>
      </c>
      <c r="D63" s="7">
        <v>567.6</v>
      </c>
      <c r="E63" s="7">
        <v>99796413</v>
      </c>
    </row>
    <row r="64" spans="1:5" ht="12.75" hidden="1">
      <c r="A64" s="131">
        <v>99796409</v>
      </c>
      <c r="B64" s="7" t="s">
        <v>2154</v>
      </c>
      <c r="C64" s="7">
        <v>6.9</v>
      </c>
      <c r="D64" s="7">
        <v>310</v>
      </c>
      <c r="E64" s="7">
        <v>99796409</v>
      </c>
    </row>
    <row r="65" spans="1:5" ht="12.75" hidden="1">
      <c r="A65" s="131">
        <v>99796409</v>
      </c>
      <c r="B65" s="7" t="s">
        <v>2154</v>
      </c>
      <c r="C65" s="7">
        <v>7</v>
      </c>
      <c r="D65" s="7">
        <v>300</v>
      </c>
      <c r="E65" s="7">
        <v>99796409</v>
      </c>
    </row>
    <row r="66" spans="1:5" ht="12.75" hidden="1">
      <c r="A66" s="131">
        <v>99796409</v>
      </c>
      <c r="B66" s="7" t="s">
        <v>2154</v>
      </c>
      <c r="C66" s="7">
        <v>7</v>
      </c>
      <c r="D66" s="7">
        <v>350</v>
      </c>
      <c r="E66" s="7">
        <v>99796409</v>
      </c>
    </row>
    <row r="67" spans="1:5" ht="12.75" hidden="1">
      <c r="A67" s="131">
        <v>99801294</v>
      </c>
      <c r="B67" s="7" t="s">
        <v>2164</v>
      </c>
      <c r="C67" s="7">
        <v>7.11</v>
      </c>
      <c r="D67" s="7">
        <v>120</v>
      </c>
      <c r="E67" s="7">
        <v>99801294</v>
      </c>
    </row>
    <row r="68" spans="1:5" ht="12.75" hidden="1">
      <c r="A68" s="131">
        <v>99801294</v>
      </c>
      <c r="B68" s="7" t="s">
        <v>2164</v>
      </c>
      <c r="C68" s="7">
        <v>7.12</v>
      </c>
      <c r="D68" s="7">
        <v>123</v>
      </c>
      <c r="E68" s="7">
        <v>99801294</v>
      </c>
    </row>
    <row r="69" spans="1:5" ht="12.75" hidden="1">
      <c r="A69" s="131">
        <v>99796409</v>
      </c>
      <c r="B69" s="7" t="s">
        <v>2154</v>
      </c>
      <c r="C69" s="7">
        <v>7.12</v>
      </c>
      <c r="D69" s="7">
        <v>307</v>
      </c>
      <c r="E69" s="7">
        <v>99796409</v>
      </c>
    </row>
    <row r="70" spans="1:5" ht="12.75">
      <c r="A70" s="131">
        <v>99796408</v>
      </c>
      <c r="B70" s="7" t="s">
        <v>2152</v>
      </c>
      <c r="C70" s="7">
        <v>7.17</v>
      </c>
      <c r="D70" s="7">
        <v>250</v>
      </c>
      <c r="E70" s="7">
        <v>99796408</v>
      </c>
    </row>
    <row r="71" spans="1:5" ht="12.75" hidden="1">
      <c r="A71" s="131">
        <v>99801284</v>
      </c>
      <c r="B71" s="7" t="s">
        <v>2159</v>
      </c>
      <c r="C71" s="7">
        <v>7.2</v>
      </c>
      <c r="D71" s="7">
        <v>200</v>
      </c>
      <c r="E71" s="7">
        <v>99801284</v>
      </c>
    </row>
    <row r="72" spans="1:5" ht="12.75">
      <c r="A72" s="131">
        <v>99796408</v>
      </c>
      <c r="B72" s="7" t="s">
        <v>2152</v>
      </c>
      <c r="C72" s="7">
        <v>7.2</v>
      </c>
      <c r="D72" s="7">
        <v>250</v>
      </c>
      <c r="E72" s="7">
        <v>99796408</v>
      </c>
    </row>
    <row r="73" spans="1:5" ht="12.75" hidden="1">
      <c r="A73" s="131">
        <v>99801299</v>
      </c>
      <c r="B73" s="7" t="s">
        <v>2165</v>
      </c>
      <c r="C73" s="7">
        <v>7.2</v>
      </c>
      <c r="D73" s="7">
        <v>300</v>
      </c>
      <c r="E73" s="7">
        <v>99801299</v>
      </c>
    </row>
    <row r="74" spans="1:5" ht="12.75" hidden="1">
      <c r="A74" s="131">
        <v>99801280</v>
      </c>
      <c r="B74" s="7" t="s">
        <v>2156</v>
      </c>
      <c r="C74" s="7">
        <v>7.21</v>
      </c>
      <c r="D74" s="7">
        <v>125</v>
      </c>
      <c r="E74" s="7">
        <v>99801280</v>
      </c>
    </row>
    <row r="75" spans="1:5" ht="12.75" hidden="1">
      <c r="A75" s="131">
        <v>99801283</v>
      </c>
      <c r="B75" s="7" t="s">
        <v>2166</v>
      </c>
      <c r="C75" s="7">
        <v>7.27</v>
      </c>
      <c r="D75" s="7">
        <v>150</v>
      </c>
      <c r="E75" s="7">
        <v>99801283</v>
      </c>
    </row>
    <row r="76" spans="1:5" ht="12.75" hidden="1">
      <c r="A76" s="131">
        <v>99801283</v>
      </c>
      <c r="B76" s="7" t="s">
        <v>2158</v>
      </c>
      <c r="C76" s="7">
        <v>7.27</v>
      </c>
      <c r="D76" s="7">
        <v>150</v>
      </c>
      <c r="E76" s="7">
        <v>99801283</v>
      </c>
    </row>
    <row r="77" spans="1:5" ht="12.75">
      <c r="A77" s="131">
        <v>99796427</v>
      </c>
      <c r="B77" s="7" t="s">
        <v>2167</v>
      </c>
      <c r="C77" s="7">
        <v>7.3</v>
      </c>
      <c r="D77" s="7">
        <v>250</v>
      </c>
      <c r="E77" s="7">
        <v>99796427</v>
      </c>
    </row>
    <row r="78" spans="1:5" ht="12.75" hidden="1">
      <c r="A78" s="131">
        <v>99796409</v>
      </c>
      <c r="B78" s="7" t="s">
        <v>2154</v>
      </c>
      <c r="C78" s="7">
        <v>7.4</v>
      </c>
      <c r="D78" s="7">
        <v>300</v>
      </c>
      <c r="E78" s="7">
        <v>99796409</v>
      </c>
    </row>
    <row r="79" spans="1:5" ht="12.75" hidden="1">
      <c r="A79" s="131">
        <v>99796409</v>
      </c>
      <c r="B79" s="7" t="s">
        <v>2154</v>
      </c>
      <c r="C79" s="7">
        <v>7.4</v>
      </c>
      <c r="D79" s="7">
        <v>350</v>
      </c>
      <c r="E79" s="7">
        <v>99796409</v>
      </c>
    </row>
    <row r="80" spans="1:5" ht="12.75" hidden="1">
      <c r="A80" s="131">
        <v>99801294</v>
      </c>
      <c r="B80" s="7" t="s">
        <v>2164</v>
      </c>
      <c r="C80" s="7">
        <v>7.44</v>
      </c>
      <c r="D80" s="7">
        <v>123</v>
      </c>
      <c r="E80" s="7">
        <v>99801294</v>
      </c>
    </row>
    <row r="81" spans="1:5" ht="12.75" hidden="1">
      <c r="A81" s="131">
        <v>99796409</v>
      </c>
      <c r="B81" s="7" t="s">
        <v>2154</v>
      </c>
      <c r="C81" s="7">
        <v>7.44</v>
      </c>
      <c r="D81" s="7">
        <v>307</v>
      </c>
      <c r="E81" s="7">
        <v>99796409</v>
      </c>
    </row>
    <row r="82" spans="1:5" ht="12.75" hidden="1">
      <c r="A82" s="131">
        <v>99801280</v>
      </c>
      <c r="B82" s="7" t="s">
        <v>2156</v>
      </c>
      <c r="C82" s="7">
        <v>7.5</v>
      </c>
      <c r="D82" s="7">
        <v>110</v>
      </c>
      <c r="E82" s="7">
        <v>99801280</v>
      </c>
    </row>
    <row r="83" spans="1:5" ht="12.75" hidden="1">
      <c r="A83" s="131">
        <v>99801298</v>
      </c>
      <c r="B83" s="7" t="s">
        <v>2168</v>
      </c>
      <c r="C83" s="7">
        <v>7.5</v>
      </c>
      <c r="D83" s="7">
        <v>220</v>
      </c>
      <c r="E83" s="7">
        <v>99801298</v>
      </c>
    </row>
    <row r="84" spans="1:5" ht="12.75" hidden="1">
      <c r="A84" s="131">
        <v>99796408</v>
      </c>
      <c r="B84" s="7" t="s">
        <v>2152</v>
      </c>
      <c r="C84" s="7">
        <v>7.5</v>
      </c>
      <c r="D84" s="7">
        <v>225</v>
      </c>
      <c r="E84" s="7">
        <v>99796408</v>
      </c>
    </row>
    <row r="85" spans="1:5" ht="12.75">
      <c r="A85" s="131">
        <v>99796408</v>
      </c>
      <c r="B85" s="7" t="s">
        <v>2152</v>
      </c>
      <c r="C85" s="7">
        <v>7.5</v>
      </c>
      <c r="D85" s="7">
        <v>250</v>
      </c>
      <c r="E85" s="7">
        <v>99796408</v>
      </c>
    </row>
    <row r="86" spans="1:5" ht="12.75">
      <c r="A86" s="131">
        <v>99801299</v>
      </c>
      <c r="B86" s="7" t="s">
        <v>2165</v>
      </c>
      <c r="C86" s="7">
        <v>7.5</v>
      </c>
      <c r="D86" s="7">
        <v>250</v>
      </c>
      <c r="E86" s="7">
        <v>99801299</v>
      </c>
    </row>
    <row r="87" spans="1:5" ht="12.75" hidden="1">
      <c r="A87" s="131">
        <v>99796409</v>
      </c>
      <c r="B87" s="7" t="s">
        <v>2154</v>
      </c>
      <c r="C87" s="7">
        <v>7.66</v>
      </c>
      <c r="D87" s="7">
        <v>350</v>
      </c>
      <c r="E87" s="7">
        <v>99796409</v>
      </c>
    </row>
    <row r="88" spans="1:5" ht="12.75" hidden="1">
      <c r="A88" s="131">
        <v>99801300</v>
      </c>
      <c r="B88" s="7" t="s">
        <v>2161</v>
      </c>
      <c r="C88" s="7">
        <v>7.66</v>
      </c>
      <c r="D88" s="7">
        <v>350</v>
      </c>
      <c r="E88" s="7">
        <v>99801300</v>
      </c>
    </row>
    <row r="89" spans="1:5" ht="12.75" hidden="1">
      <c r="A89" s="131">
        <v>99796413</v>
      </c>
      <c r="B89" s="7" t="s">
        <v>2163</v>
      </c>
      <c r="C89" s="7">
        <v>7.8</v>
      </c>
      <c r="D89" s="7">
        <v>500</v>
      </c>
      <c r="E89" s="7">
        <v>99796413</v>
      </c>
    </row>
    <row r="90" spans="1:5" ht="12.75" hidden="1">
      <c r="A90" s="131">
        <v>99801293</v>
      </c>
      <c r="B90" s="7" t="s">
        <v>2169</v>
      </c>
      <c r="C90" s="7">
        <v>7.91</v>
      </c>
      <c r="D90" s="7">
        <v>108</v>
      </c>
      <c r="E90" s="7">
        <v>99801293</v>
      </c>
    </row>
    <row r="91" spans="1:5" ht="12.75" hidden="1">
      <c r="A91" s="131">
        <v>99801296</v>
      </c>
      <c r="B91" s="7" t="s">
        <v>2170</v>
      </c>
      <c r="C91" s="7">
        <v>7.91</v>
      </c>
      <c r="D91" s="7">
        <v>147</v>
      </c>
      <c r="E91" s="7">
        <v>99801296</v>
      </c>
    </row>
    <row r="92" spans="1:5" ht="12.75">
      <c r="A92" s="131">
        <v>99796408</v>
      </c>
      <c r="B92" s="7" t="s">
        <v>2152</v>
      </c>
      <c r="C92" s="7">
        <v>8</v>
      </c>
      <c r="D92" s="7">
        <v>250</v>
      </c>
      <c r="E92" s="7">
        <v>99796408</v>
      </c>
    </row>
    <row r="93" spans="1:5" ht="12.75">
      <c r="A93" s="131">
        <v>99796408</v>
      </c>
      <c r="B93" s="7" t="s">
        <v>2152</v>
      </c>
      <c r="C93" s="7">
        <v>8</v>
      </c>
      <c r="D93" s="7">
        <v>270</v>
      </c>
      <c r="E93" s="7">
        <v>99796408</v>
      </c>
    </row>
    <row r="94" spans="1:5" ht="12.75" hidden="1">
      <c r="A94" s="131">
        <v>99796409</v>
      </c>
      <c r="B94" s="7" t="s">
        <v>2154</v>
      </c>
      <c r="C94" s="7">
        <v>8</v>
      </c>
      <c r="D94" s="7">
        <v>300</v>
      </c>
      <c r="E94" s="7">
        <v>99796409</v>
      </c>
    </row>
    <row r="95" spans="1:5" ht="12.75" hidden="1">
      <c r="A95" s="131">
        <v>99801100</v>
      </c>
      <c r="B95" s="7" t="s">
        <v>2150</v>
      </c>
      <c r="C95" s="7">
        <v>8</v>
      </c>
      <c r="D95" s="7">
        <v>300</v>
      </c>
      <c r="E95" s="7">
        <v>99801100</v>
      </c>
    </row>
    <row r="96" spans="1:5" ht="12.75" hidden="1">
      <c r="A96" s="131">
        <v>99801082</v>
      </c>
      <c r="B96" s="7" t="s">
        <v>2171</v>
      </c>
      <c r="C96" s="7">
        <v>8</v>
      </c>
      <c r="D96" s="7">
        <v>300</v>
      </c>
      <c r="E96" s="7">
        <v>99801082</v>
      </c>
    </row>
    <row r="97" spans="1:5" ht="12.75" hidden="1">
      <c r="A97" s="131">
        <v>99796409</v>
      </c>
      <c r="B97" s="7" t="s">
        <v>2154</v>
      </c>
      <c r="C97" s="7">
        <v>8</v>
      </c>
      <c r="D97" s="7">
        <v>340</v>
      </c>
      <c r="E97" s="7">
        <v>99796409</v>
      </c>
    </row>
    <row r="98" spans="1:5" ht="12.75" hidden="1">
      <c r="A98" s="131">
        <v>99801300</v>
      </c>
      <c r="B98" s="7" t="s">
        <v>2161</v>
      </c>
      <c r="C98" s="7">
        <v>8</v>
      </c>
      <c r="D98" s="7">
        <v>345</v>
      </c>
      <c r="E98" s="7">
        <v>99801300</v>
      </c>
    </row>
    <row r="99" spans="1:5" ht="12.75" hidden="1">
      <c r="A99" s="131">
        <v>99796419</v>
      </c>
      <c r="B99" s="7" t="s">
        <v>2172</v>
      </c>
      <c r="C99" s="7">
        <v>8</v>
      </c>
      <c r="D99" s="7">
        <v>600</v>
      </c>
      <c r="E99" s="7">
        <v>99796419</v>
      </c>
    </row>
    <row r="100" spans="1:5" ht="12.75" hidden="1">
      <c r="A100" s="131">
        <v>99796409</v>
      </c>
      <c r="B100" s="7" t="s">
        <v>2154</v>
      </c>
      <c r="C100" s="7">
        <v>8.01</v>
      </c>
      <c r="D100" s="7">
        <v>350</v>
      </c>
      <c r="E100" s="7">
        <v>99796409</v>
      </c>
    </row>
    <row r="101" spans="1:5" ht="12.75">
      <c r="A101" s="131">
        <v>99801081</v>
      </c>
      <c r="B101" s="7" t="s">
        <v>2173</v>
      </c>
      <c r="C101" s="7">
        <v>8.1999999999999993</v>
      </c>
      <c r="D101" s="7">
        <v>250</v>
      </c>
      <c r="E101" s="7">
        <v>99801081</v>
      </c>
    </row>
    <row r="102" spans="1:5" ht="12.75" hidden="1">
      <c r="A102" s="131">
        <v>99796412</v>
      </c>
      <c r="B102" s="7" t="s">
        <v>2162</v>
      </c>
      <c r="C102" s="7">
        <v>8.1999999999999993</v>
      </c>
      <c r="D102" s="7">
        <v>450</v>
      </c>
      <c r="E102" s="7">
        <v>99796412</v>
      </c>
    </row>
    <row r="103" spans="1:5" ht="12.75" hidden="1">
      <c r="A103" s="131">
        <v>99801294</v>
      </c>
      <c r="B103" s="7" t="s">
        <v>2164</v>
      </c>
      <c r="C103" s="7">
        <v>8.3000000000000007</v>
      </c>
      <c r="D103" s="7">
        <v>150</v>
      </c>
      <c r="E103" s="7">
        <v>99801294</v>
      </c>
    </row>
    <row r="104" spans="1:5" ht="12.75" hidden="1">
      <c r="A104" s="131">
        <v>99796409</v>
      </c>
      <c r="B104" s="7" t="s">
        <v>2154</v>
      </c>
      <c r="C104" s="7">
        <v>8.34</v>
      </c>
      <c r="D104" s="7">
        <v>335</v>
      </c>
      <c r="E104" s="7">
        <v>99796409</v>
      </c>
    </row>
    <row r="105" spans="1:5" ht="12.75" hidden="1">
      <c r="A105" s="131">
        <v>99796413</v>
      </c>
      <c r="B105" s="7" t="s">
        <v>2163</v>
      </c>
      <c r="C105" s="7">
        <v>8.3699999999999992</v>
      </c>
      <c r="D105" s="7">
        <v>515</v>
      </c>
      <c r="E105" s="7">
        <v>99796413</v>
      </c>
    </row>
    <row r="106" spans="1:5" ht="12.75" hidden="1">
      <c r="A106" s="131">
        <v>99796409</v>
      </c>
      <c r="B106" s="7" t="s">
        <v>2154</v>
      </c>
      <c r="C106" s="7">
        <v>8.39</v>
      </c>
      <c r="D106" s="7">
        <v>285</v>
      </c>
      <c r="E106" s="7">
        <v>99796409</v>
      </c>
    </row>
    <row r="107" spans="1:5" ht="12.75" hidden="1">
      <c r="A107" s="131">
        <v>99801082</v>
      </c>
      <c r="B107" s="7" t="s">
        <v>2171</v>
      </c>
      <c r="C107" s="7">
        <v>8.4</v>
      </c>
      <c r="D107" s="7">
        <v>350</v>
      </c>
      <c r="E107" s="7">
        <v>99801082</v>
      </c>
    </row>
    <row r="108" spans="1:5" ht="12.75" hidden="1">
      <c r="A108" s="131">
        <v>99796409</v>
      </c>
      <c r="B108" s="7" t="s">
        <v>2154</v>
      </c>
      <c r="C108" s="7">
        <v>8.5</v>
      </c>
      <c r="D108" s="7">
        <v>300</v>
      </c>
      <c r="E108" s="7">
        <v>99796409</v>
      </c>
    </row>
    <row r="109" spans="1:5" ht="12.75" hidden="1">
      <c r="A109" s="131">
        <v>99796414</v>
      </c>
      <c r="B109" s="7" t="s">
        <v>2174</v>
      </c>
      <c r="C109" s="7">
        <v>8.5</v>
      </c>
      <c r="D109" s="7">
        <v>300</v>
      </c>
      <c r="E109" s="7">
        <v>99796414</v>
      </c>
    </row>
    <row r="110" spans="1:5" ht="12.75" hidden="1">
      <c r="A110" s="131">
        <v>99801294</v>
      </c>
      <c r="B110" s="7" t="s">
        <v>2164</v>
      </c>
      <c r="C110" s="7">
        <v>8.6</v>
      </c>
      <c r="D110" s="7">
        <v>135</v>
      </c>
      <c r="E110" s="7">
        <v>99801294</v>
      </c>
    </row>
    <row r="111" spans="1:5" ht="12.75">
      <c r="A111" s="131">
        <v>99796414</v>
      </c>
      <c r="B111" s="7" t="s">
        <v>2174</v>
      </c>
      <c r="C111" s="7">
        <v>8.6</v>
      </c>
      <c r="D111" s="7">
        <v>260</v>
      </c>
      <c r="E111" s="7">
        <v>99796414</v>
      </c>
    </row>
    <row r="112" spans="1:5" ht="12.75" hidden="1">
      <c r="A112" s="131">
        <v>99796409</v>
      </c>
      <c r="B112" s="7" t="s">
        <v>2154</v>
      </c>
      <c r="C112" s="7">
        <v>8.6</v>
      </c>
      <c r="D112" s="7">
        <v>300</v>
      </c>
      <c r="E112" s="7">
        <v>99796409</v>
      </c>
    </row>
    <row r="113" spans="1:5" ht="12.75" hidden="1">
      <c r="A113" s="131">
        <v>99796416</v>
      </c>
      <c r="B113" s="7" t="s">
        <v>2175</v>
      </c>
      <c r="C113" s="7">
        <v>8.6</v>
      </c>
      <c r="D113" s="7">
        <v>400</v>
      </c>
      <c r="E113" s="7">
        <v>99796416</v>
      </c>
    </row>
    <row r="114" spans="1:5" ht="12.75" hidden="1">
      <c r="A114" s="131">
        <v>99796427</v>
      </c>
      <c r="B114" s="7" t="s">
        <v>2167</v>
      </c>
      <c r="C114" s="7">
        <v>8.6999999999999993</v>
      </c>
      <c r="D114" s="7">
        <v>225</v>
      </c>
      <c r="E114" s="7">
        <v>99796427</v>
      </c>
    </row>
    <row r="115" spans="1:5" ht="12.75" hidden="1">
      <c r="A115" s="131">
        <v>99801082</v>
      </c>
      <c r="B115" s="7" t="s">
        <v>2171</v>
      </c>
      <c r="C115" s="7">
        <v>8.73</v>
      </c>
      <c r="D115" s="7">
        <v>350</v>
      </c>
      <c r="E115" s="7">
        <v>99801082</v>
      </c>
    </row>
    <row r="116" spans="1:5" ht="12.75" hidden="1">
      <c r="A116" s="131">
        <v>99796407</v>
      </c>
      <c r="B116" s="7" t="s">
        <v>2153</v>
      </c>
      <c r="C116" s="7">
        <v>8.8000000000000007</v>
      </c>
      <c r="D116" s="7">
        <v>150</v>
      </c>
      <c r="E116" s="7">
        <v>99796407</v>
      </c>
    </row>
    <row r="117" spans="1:5" ht="12.75" hidden="1">
      <c r="A117" s="131">
        <v>99801294</v>
      </c>
      <c r="B117" s="7" t="s">
        <v>2164</v>
      </c>
      <c r="C117" s="7">
        <v>8.8000000000000007</v>
      </c>
      <c r="D117" s="7">
        <v>150</v>
      </c>
      <c r="E117" s="7">
        <v>99801294</v>
      </c>
    </row>
    <row r="118" spans="1:5" ht="12.75">
      <c r="A118" s="131">
        <v>99801081</v>
      </c>
      <c r="B118" s="7" t="s">
        <v>2173</v>
      </c>
      <c r="C118" s="7">
        <v>8.9</v>
      </c>
      <c r="D118" s="7">
        <v>257</v>
      </c>
      <c r="E118" s="7">
        <v>99801081</v>
      </c>
    </row>
    <row r="119" spans="1:5" ht="12.75">
      <c r="A119" s="131">
        <v>99801089</v>
      </c>
      <c r="B119" s="7" t="s">
        <v>2176</v>
      </c>
      <c r="C119" s="7">
        <v>8.9600000000000009</v>
      </c>
      <c r="D119" s="7">
        <v>250</v>
      </c>
      <c r="E119" s="7">
        <v>99801089</v>
      </c>
    </row>
    <row r="120" spans="1:5" ht="12.75" hidden="1">
      <c r="A120" s="131">
        <v>99801296</v>
      </c>
      <c r="B120" s="7" t="s">
        <v>2170</v>
      </c>
      <c r="C120" s="7">
        <v>9</v>
      </c>
      <c r="D120" s="7">
        <v>150</v>
      </c>
      <c r="E120" s="7">
        <v>99801296</v>
      </c>
    </row>
    <row r="121" spans="1:5" ht="12.75" hidden="1">
      <c r="A121" s="131">
        <v>99796427</v>
      </c>
      <c r="B121" s="7" t="s">
        <v>2167</v>
      </c>
      <c r="C121" s="7">
        <v>9</v>
      </c>
      <c r="D121" s="7">
        <v>200</v>
      </c>
      <c r="E121" s="7">
        <v>99796427</v>
      </c>
    </row>
    <row r="122" spans="1:5" ht="12.75" hidden="1">
      <c r="A122" s="131">
        <v>99796427</v>
      </c>
      <c r="B122" s="7" t="s">
        <v>2167</v>
      </c>
      <c r="C122" s="7">
        <v>9</v>
      </c>
      <c r="D122" s="7">
        <v>225</v>
      </c>
      <c r="E122" s="7">
        <v>99796427</v>
      </c>
    </row>
    <row r="123" spans="1:5" ht="12.75">
      <c r="A123" s="131">
        <v>99796408</v>
      </c>
      <c r="B123" s="7" t="s">
        <v>2152</v>
      </c>
      <c r="C123" s="7">
        <v>9</v>
      </c>
      <c r="D123" s="7">
        <v>250</v>
      </c>
      <c r="E123" s="7">
        <v>99796408</v>
      </c>
    </row>
    <row r="124" spans="1:5" ht="12.75">
      <c r="A124" s="131">
        <v>99801299</v>
      </c>
      <c r="B124" s="7" t="s">
        <v>2165</v>
      </c>
      <c r="C124" s="7">
        <v>9</v>
      </c>
      <c r="D124" s="7">
        <v>250</v>
      </c>
      <c r="E124" s="7">
        <v>99801299</v>
      </c>
    </row>
    <row r="125" spans="1:5" ht="12.75">
      <c r="A125" s="131">
        <v>99801299</v>
      </c>
      <c r="B125" s="7" t="s">
        <v>2165</v>
      </c>
      <c r="C125" s="7">
        <v>9</v>
      </c>
      <c r="D125" s="7">
        <v>250</v>
      </c>
      <c r="E125" s="7">
        <v>99801299</v>
      </c>
    </row>
    <row r="126" spans="1:5" ht="12.75" hidden="1">
      <c r="A126" s="131">
        <v>99796409</v>
      </c>
      <c r="B126" s="7" t="s">
        <v>2154</v>
      </c>
      <c r="C126" s="7">
        <v>9</v>
      </c>
      <c r="D126" s="7">
        <v>300</v>
      </c>
      <c r="E126" s="7">
        <v>99796409</v>
      </c>
    </row>
    <row r="127" spans="1:5" ht="12.75" hidden="1">
      <c r="A127" s="131">
        <v>99801082</v>
      </c>
      <c r="B127" s="7" t="s">
        <v>2171</v>
      </c>
      <c r="C127" s="7">
        <v>9</v>
      </c>
      <c r="D127" s="7">
        <v>380</v>
      </c>
      <c r="E127" s="7">
        <v>99801082</v>
      </c>
    </row>
    <row r="128" spans="1:5" ht="12.75" hidden="1">
      <c r="A128" s="131">
        <v>99801301</v>
      </c>
      <c r="B128" s="7" t="s">
        <v>2177</v>
      </c>
      <c r="C128" s="7">
        <v>9</v>
      </c>
      <c r="D128" s="7">
        <v>380</v>
      </c>
      <c r="E128" s="7">
        <v>99801301</v>
      </c>
    </row>
    <row r="129" spans="1:5" ht="12.75" hidden="1">
      <c r="A129" s="131">
        <v>99796409</v>
      </c>
      <c r="B129" s="7" t="s">
        <v>2154</v>
      </c>
      <c r="C129" s="7">
        <v>9.0180000000000007</v>
      </c>
      <c r="D129" s="7">
        <v>300</v>
      </c>
      <c r="E129" s="7">
        <v>99796409</v>
      </c>
    </row>
    <row r="130" spans="1:5" ht="12.75">
      <c r="A130" s="131">
        <v>99801081</v>
      </c>
      <c r="B130" s="7" t="s">
        <v>2173</v>
      </c>
      <c r="C130" s="7">
        <v>9.16</v>
      </c>
      <c r="D130" s="7">
        <v>280</v>
      </c>
      <c r="E130" s="7">
        <v>99801081</v>
      </c>
    </row>
    <row r="131" spans="1:5" ht="12.75" hidden="1">
      <c r="A131" s="131">
        <v>99796415</v>
      </c>
      <c r="B131" s="7" t="s">
        <v>2178</v>
      </c>
      <c r="C131" s="7">
        <v>9.27</v>
      </c>
      <c r="D131" s="7">
        <v>400</v>
      </c>
      <c r="E131" s="7">
        <v>99796415</v>
      </c>
    </row>
    <row r="132" spans="1:5" ht="12.75" hidden="1">
      <c r="A132" s="131">
        <v>99801296</v>
      </c>
      <c r="B132" s="7" t="s">
        <v>2170</v>
      </c>
      <c r="C132" s="7">
        <v>9.3000000000000007</v>
      </c>
      <c r="D132" s="7">
        <v>150</v>
      </c>
      <c r="E132" s="7">
        <v>99801296</v>
      </c>
    </row>
    <row r="133" spans="1:5" ht="12.75">
      <c r="A133" s="131">
        <v>99796414</v>
      </c>
      <c r="B133" s="7" t="s">
        <v>2174</v>
      </c>
      <c r="C133" s="7">
        <v>9.3000000000000007</v>
      </c>
      <c r="D133" s="7">
        <v>250</v>
      </c>
      <c r="E133" s="7">
        <v>99796414</v>
      </c>
    </row>
    <row r="134" spans="1:5" ht="12.75" hidden="1">
      <c r="A134" s="131">
        <v>99796409</v>
      </c>
      <c r="B134" s="7" t="s">
        <v>2154</v>
      </c>
      <c r="C134" s="7">
        <v>9.3000000000000007</v>
      </c>
      <c r="D134" s="7">
        <v>300</v>
      </c>
      <c r="E134" s="7">
        <v>99796409</v>
      </c>
    </row>
    <row r="135" spans="1:5" ht="12.75" hidden="1">
      <c r="A135" s="131">
        <v>99796427</v>
      </c>
      <c r="B135" s="7" t="s">
        <v>2167</v>
      </c>
      <c r="C135" s="7">
        <v>9.4</v>
      </c>
      <c r="D135" s="7">
        <v>200</v>
      </c>
      <c r="E135" s="7">
        <v>99796427</v>
      </c>
    </row>
    <row r="136" spans="1:5" ht="12.75">
      <c r="A136" s="131">
        <v>99796414</v>
      </c>
      <c r="B136" s="7" t="s">
        <v>2174</v>
      </c>
      <c r="C136" s="7">
        <v>9.4</v>
      </c>
      <c r="D136" s="7">
        <v>250</v>
      </c>
      <c r="E136" s="7">
        <v>99796414</v>
      </c>
    </row>
    <row r="137" spans="1:5" ht="12.75">
      <c r="A137" s="131">
        <v>99796427</v>
      </c>
      <c r="B137" s="7" t="s">
        <v>2167</v>
      </c>
      <c r="C137" s="7">
        <v>9.4</v>
      </c>
      <c r="D137" s="7">
        <v>250</v>
      </c>
      <c r="E137" s="7">
        <v>99796427</v>
      </c>
    </row>
    <row r="138" spans="1:5" ht="12.75">
      <c r="A138" s="131">
        <v>99796414</v>
      </c>
      <c r="B138" s="7" t="s">
        <v>2174</v>
      </c>
      <c r="C138" s="7">
        <v>9.4</v>
      </c>
      <c r="D138" s="7">
        <v>280</v>
      </c>
      <c r="E138" s="7">
        <v>99796414</v>
      </c>
    </row>
    <row r="139" spans="1:5" ht="12.75" hidden="1">
      <c r="A139" s="131">
        <v>99796414</v>
      </c>
      <c r="B139" s="7" t="s">
        <v>2174</v>
      </c>
      <c r="C139" s="7">
        <v>9.4</v>
      </c>
      <c r="D139" s="7">
        <v>300</v>
      </c>
      <c r="E139" s="7">
        <v>99796414</v>
      </c>
    </row>
    <row r="140" spans="1:5" ht="12.75" hidden="1">
      <c r="A140" s="131">
        <v>99801300</v>
      </c>
      <c r="B140" s="7" t="s">
        <v>2161</v>
      </c>
      <c r="C140" s="7">
        <v>9.5</v>
      </c>
      <c r="D140" s="7">
        <v>300</v>
      </c>
      <c r="E140" s="7">
        <v>99801300</v>
      </c>
    </row>
    <row r="141" spans="1:5" ht="12.75" hidden="1">
      <c r="A141" s="131">
        <v>99801082</v>
      </c>
      <c r="B141" s="7" t="s">
        <v>2171</v>
      </c>
      <c r="C141" s="7">
        <v>9.5</v>
      </c>
      <c r="D141" s="7">
        <v>400</v>
      </c>
      <c r="E141" s="7">
        <v>99801082</v>
      </c>
    </row>
    <row r="142" spans="1:5" ht="12.75">
      <c r="A142" s="131">
        <v>99801081</v>
      </c>
      <c r="B142" s="7" t="s">
        <v>2173</v>
      </c>
      <c r="C142" s="7">
        <v>9.6</v>
      </c>
      <c r="D142" s="7">
        <v>250</v>
      </c>
      <c r="E142" s="7">
        <v>99801081</v>
      </c>
    </row>
    <row r="143" spans="1:5" ht="12.75">
      <c r="A143" s="131">
        <v>99801081</v>
      </c>
      <c r="B143" s="7" t="s">
        <v>2173</v>
      </c>
      <c r="C143" s="7">
        <v>9.6</v>
      </c>
      <c r="D143" s="7">
        <v>250</v>
      </c>
      <c r="E143" s="7">
        <v>99801081</v>
      </c>
    </row>
    <row r="144" spans="1:5" ht="12.75" hidden="1">
      <c r="A144" s="131">
        <v>99796414</v>
      </c>
      <c r="B144" s="7" t="s">
        <v>2174</v>
      </c>
      <c r="C144" s="7">
        <v>9.6</v>
      </c>
      <c r="D144" s="7">
        <v>300</v>
      </c>
      <c r="E144" s="7">
        <v>99796414</v>
      </c>
    </row>
    <row r="145" spans="1:5" ht="12.75" hidden="1">
      <c r="A145" s="131">
        <v>99796409</v>
      </c>
      <c r="B145" s="7" t="s">
        <v>2154</v>
      </c>
      <c r="C145" s="7">
        <v>9.6</v>
      </c>
      <c r="D145" s="7">
        <v>315</v>
      </c>
      <c r="E145" s="7">
        <v>99796409</v>
      </c>
    </row>
    <row r="146" spans="1:5" ht="12.75" hidden="1">
      <c r="A146" s="131">
        <v>99801082</v>
      </c>
      <c r="B146" s="7" t="s">
        <v>2171</v>
      </c>
      <c r="C146" s="7">
        <v>9.6</v>
      </c>
      <c r="D146" s="7">
        <v>315</v>
      </c>
      <c r="E146" s="7">
        <v>99801082</v>
      </c>
    </row>
    <row r="147" spans="1:5" ht="12.75" hidden="1">
      <c r="A147" s="131">
        <v>99796417</v>
      </c>
      <c r="B147" s="7" t="s">
        <v>2179</v>
      </c>
      <c r="C147" s="7">
        <v>9.6</v>
      </c>
      <c r="D147" s="7">
        <v>575</v>
      </c>
      <c r="E147" s="7">
        <v>99796417</v>
      </c>
    </row>
    <row r="148" spans="1:5" ht="12.75" hidden="1">
      <c r="A148" s="131">
        <v>99801082</v>
      </c>
      <c r="B148" s="7" t="s">
        <v>2171</v>
      </c>
      <c r="C148" s="7">
        <v>9.65</v>
      </c>
      <c r="D148" s="7">
        <v>300</v>
      </c>
      <c r="E148" s="7">
        <v>99801082</v>
      </c>
    </row>
    <row r="149" spans="1:5" ht="12.75" hidden="1">
      <c r="A149" s="131">
        <v>99801305</v>
      </c>
      <c r="B149" s="7" t="s">
        <v>2180</v>
      </c>
      <c r="C149" s="7">
        <v>9.8000000000000007</v>
      </c>
      <c r="D149" s="7">
        <v>80</v>
      </c>
      <c r="E149" s="7">
        <v>99801305</v>
      </c>
    </row>
    <row r="150" spans="1:5" ht="12.75">
      <c r="A150" s="131">
        <v>99796414</v>
      </c>
      <c r="B150" s="7" t="s">
        <v>2174</v>
      </c>
      <c r="C150" s="7">
        <v>9.8000000000000007</v>
      </c>
      <c r="D150" s="7">
        <v>250</v>
      </c>
      <c r="E150" s="7">
        <v>99796414</v>
      </c>
    </row>
    <row r="151" spans="1:5" ht="12.75">
      <c r="A151" s="131">
        <v>99801081</v>
      </c>
      <c r="B151" s="7" t="s">
        <v>2173</v>
      </c>
      <c r="C151" s="7">
        <v>9.8000000000000007</v>
      </c>
      <c r="D151" s="7">
        <v>250</v>
      </c>
      <c r="E151" s="7">
        <v>99801081</v>
      </c>
    </row>
    <row r="152" spans="1:5" ht="12.75" hidden="1">
      <c r="A152" s="131">
        <v>99801082</v>
      </c>
      <c r="B152" s="7" t="s">
        <v>2171</v>
      </c>
      <c r="C152" s="7">
        <v>9.8000000000000007</v>
      </c>
      <c r="D152" s="7">
        <v>350</v>
      </c>
      <c r="E152" s="7">
        <v>99801082</v>
      </c>
    </row>
    <row r="153" spans="1:5" ht="12.75" hidden="1">
      <c r="A153" s="131">
        <v>99801301</v>
      </c>
      <c r="B153" s="7" t="s">
        <v>2177</v>
      </c>
      <c r="C153" s="7">
        <v>9.8000000000000007</v>
      </c>
      <c r="D153" s="7">
        <v>350</v>
      </c>
      <c r="E153" s="7">
        <v>99801301</v>
      </c>
    </row>
    <row r="154" spans="1:5" ht="12.75">
      <c r="A154" s="131">
        <v>99796414</v>
      </c>
      <c r="B154" s="7" t="s">
        <v>2174</v>
      </c>
      <c r="C154" s="7">
        <v>9.9</v>
      </c>
      <c r="D154" s="7">
        <v>250</v>
      </c>
      <c r="E154" s="7">
        <v>99796414</v>
      </c>
    </row>
    <row r="155" spans="1:5" ht="12.75" hidden="1">
      <c r="A155" s="131">
        <v>99801081</v>
      </c>
      <c r="B155" s="7" t="s">
        <v>2173</v>
      </c>
      <c r="C155" s="7">
        <v>9.9</v>
      </c>
      <c r="D155" s="7">
        <v>285</v>
      </c>
      <c r="E155" s="7">
        <v>99801081</v>
      </c>
    </row>
    <row r="156" spans="1:5" ht="12.75" hidden="1">
      <c r="A156" s="131">
        <v>99801293</v>
      </c>
      <c r="B156" s="7" t="s">
        <v>2169</v>
      </c>
      <c r="C156" s="7">
        <v>9.9499999999999993</v>
      </c>
      <c r="D156" s="7">
        <v>125</v>
      </c>
      <c r="E156" s="7">
        <v>99801293</v>
      </c>
    </row>
    <row r="157" spans="1:5" ht="12.75">
      <c r="A157" s="131">
        <v>99801081</v>
      </c>
      <c r="B157" s="7" t="s">
        <v>2173</v>
      </c>
      <c r="C157" s="7">
        <v>10</v>
      </c>
      <c r="D157" s="7">
        <v>250</v>
      </c>
      <c r="E157" s="7">
        <v>99801081</v>
      </c>
    </row>
    <row r="158" spans="1:5" ht="12.75">
      <c r="A158" s="131">
        <v>99801081</v>
      </c>
      <c r="B158" s="7" t="s">
        <v>2173</v>
      </c>
      <c r="C158" s="7">
        <v>10</v>
      </c>
      <c r="D158" s="7">
        <v>250</v>
      </c>
      <c r="E158" s="7">
        <v>99801081</v>
      </c>
    </row>
    <row r="159" spans="1:5" ht="12.75" hidden="1">
      <c r="A159" s="131">
        <v>99801300</v>
      </c>
      <c r="B159" s="7" t="s">
        <v>2161</v>
      </c>
      <c r="C159" s="7">
        <v>10</v>
      </c>
      <c r="D159" s="7">
        <v>300</v>
      </c>
      <c r="E159" s="7">
        <v>99801300</v>
      </c>
    </row>
    <row r="160" spans="1:5" ht="12.75" hidden="1">
      <c r="A160" s="131">
        <v>99801083</v>
      </c>
      <c r="B160" s="7" t="s">
        <v>2181</v>
      </c>
      <c r="C160" s="7">
        <v>10</v>
      </c>
      <c r="D160" s="7">
        <v>400</v>
      </c>
      <c r="E160" s="7">
        <v>99801083</v>
      </c>
    </row>
    <row r="161" spans="1:5" ht="12.75" hidden="1">
      <c r="A161" s="131">
        <v>99796416</v>
      </c>
      <c r="B161" s="7" t="s">
        <v>2175</v>
      </c>
      <c r="C161" s="7">
        <v>10</v>
      </c>
      <c r="D161" s="7">
        <v>400</v>
      </c>
      <c r="E161" s="7">
        <v>99796416</v>
      </c>
    </row>
    <row r="162" spans="1:5" ht="12.75" hidden="1">
      <c r="A162" s="131">
        <v>99796413</v>
      </c>
      <c r="B162" s="7" t="s">
        <v>2163</v>
      </c>
      <c r="C162" s="7">
        <v>10</v>
      </c>
      <c r="D162" s="7">
        <v>475</v>
      </c>
      <c r="E162" s="7">
        <v>99796413</v>
      </c>
    </row>
    <row r="163" spans="1:5" ht="12.75" hidden="1">
      <c r="A163" s="131">
        <v>99796417</v>
      </c>
      <c r="B163" s="7" t="s">
        <v>2179</v>
      </c>
      <c r="C163" s="7">
        <v>10</v>
      </c>
      <c r="D163" s="7">
        <v>550</v>
      </c>
      <c r="E163" s="7">
        <v>99796417</v>
      </c>
    </row>
    <row r="164" spans="1:5" ht="12.75" hidden="1">
      <c r="A164" s="131">
        <v>99796427</v>
      </c>
      <c r="B164" s="7" t="s">
        <v>2167</v>
      </c>
      <c r="C164" s="7">
        <v>10.1</v>
      </c>
      <c r="D164" s="7">
        <v>215</v>
      </c>
      <c r="E164" s="7">
        <v>99796427</v>
      </c>
    </row>
    <row r="165" spans="1:5" ht="12.75" hidden="1">
      <c r="A165" s="131">
        <v>99796414</v>
      </c>
      <c r="B165" s="7" t="s">
        <v>2174</v>
      </c>
      <c r="C165" s="7">
        <v>10.18</v>
      </c>
      <c r="D165" s="7">
        <v>300</v>
      </c>
      <c r="E165" s="7">
        <v>99796414</v>
      </c>
    </row>
    <row r="166" spans="1:5" ht="12.75" hidden="1">
      <c r="A166" s="131">
        <v>99801308</v>
      </c>
      <c r="B166" s="7" t="s">
        <v>2182</v>
      </c>
      <c r="C166" s="7">
        <v>10.4</v>
      </c>
      <c r="D166" s="7">
        <v>100</v>
      </c>
      <c r="E166" s="7">
        <v>99801308</v>
      </c>
    </row>
    <row r="167" spans="1:5" ht="12.75" hidden="1">
      <c r="A167" s="131">
        <v>99801313</v>
      </c>
      <c r="B167" s="7" t="s">
        <v>2183</v>
      </c>
      <c r="C167" s="7">
        <v>10.45</v>
      </c>
      <c r="D167" s="7">
        <v>200</v>
      </c>
      <c r="E167" s="7">
        <v>99801313</v>
      </c>
    </row>
    <row r="168" spans="1:5" ht="12.75" hidden="1">
      <c r="A168" s="131">
        <v>99796427</v>
      </c>
      <c r="B168" s="7" t="s">
        <v>2167</v>
      </c>
      <c r="C168" s="7">
        <v>10.45</v>
      </c>
      <c r="D168" s="7">
        <v>200</v>
      </c>
      <c r="E168" s="7">
        <v>99796427</v>
      </c>
    </row>
    <row r="169" spans="1:5" ht="12.75" hidden="1">
      <c r="A169" s="131">
        <v>99796427</v>
      </c>
      <c r="B169" s="7" t="s">
        <v>2167</v>
      </c>
      <c r="C169" s="7">
        <v>10.5</v>
      </c>
      <c r="D169" s="7">
        <v>190</v>
      </c>
      <c r="E169" s="7">
        <v>99796427</v>
      </c>
    </row>
    <row r="170" spans="1:5" ht="12.75" hidden="1">
      <c r="A170" s="131">
        <v>99801083</v>
      </c>
      <c r="B170" s="7" t="s">
        <v>2181</v>
      </c>
      <c r="C170" s="7">
        <v>10.5</v>
      </c>
      <c r="D170" s="7">
        <v>190</v>
      </c>
      <c r="E170" s="7">
        <v>99801083</v>
      </c>
    </row>
    <row r="171" spans="1:5" ht="12.75" hidden="1">
      <c r="A171" s="131">
        <v>99801297</v>
      </c>
      <c r="B171" s="7" t="s">
        <v>2148</v>
      </c>
      <c r="C171" s="7">
        <v>10.5</v>
      </c>
      <c r="D171" s="7">
        <v>190</v>
      </c>
      <c r="E171" s="7">
        <v>99801297</v>
      </c>
    </row>
    <row r="172" spans="1:5" ht="12.75" hidden="1">
      <c r="A172" s="131">
        <v>99801081</v>
      </c>
      <c r="B172" s="7" t="s">
        <v>2173</v>
      </c>
      <c r="C172" s="7">
        <v>10.5</v>
      </c>
      <c r="D172" s="7">
        <v>220</v>
      </c>
      <c r="E172" s="7">
        <v>99801081</v>
      </c>
    </row>
    <row r="173" spans="1:5" ht="12.75" hidden="1">
      <c r="A173" s="131">
        <v>99801300</v>
      </c>
      <c r="B173" s="7" t="s">
        <v>2161</v>
      </c>
      <c r="C173" s="7">
        <v>10.5</v>
      </c>
      <c r="D173" s="7">
        <v>300</v>
      </c>
      <c r="E173" s="7">
        <v>99801300</v>
      </c>
    </row>
    <row r="174" spans="1:5" ht="12.75" hidden="1">
      <c r="A174" s="131">
        <v>99801082</v>
      </c>
      <c r="B174" s="7" t="s">
        <v>2171</v>
      </c>
      <c r="C174" s="7">
        <v>10.5</v>
      </c>
      <c r="D174" s="7">
        <v>350</v>
      </c>
      <c r="E174" s="7">
        <v>99801082</v>
      </c>
    </row>
    <row r="175" spans="1:5" ht="12.75" hidden="1">
      <c r="A175" s="131">
        <v>99801083</v>
      </c>
      <c r="B175" s="7" t="s">
        <v>2181</v>
      </c>
      <c r="C175" s="7">
        <v>10.5</v>
      </c>
      <c r="D175" s="7">
        <v>400</v>
      </c>
      <c r="E175" s="7">
        <v>99801083</v>
      </c>
    </row>
    <row r="176" spans="1:5" ht="12.75" hidden="1">
      <c r="A176" s="131">
        <v>99801296</v>
      </c>
      <c r="B176" s="7" t="s">
        <v>2170</v>
      </c>
      <c r="C176" s="7">
        <v>10.58</v>
      </c>
      <c r="D176" s="7">
        <v>150</v>
      </c>
      <c r="E176" s="7">
        <v>99801296</v>
      </c>
    </row>
    <row r="177" spans="1:5" ht="12.75" hidden="1">
      <c r="A177" s="131">
        <v>99801296</v>
      </c>
      <c r="B177" s="7" t="s">
        <v>2170</v>
      </c>
      <c r="C177" s="7">
        <v>10.58</v>
      </c>
      <c r="D177" s="7">
        <v>150</v>
      </c>
      <c r="E177" s="7">
        <v>99801296</v>
      </c>
    </row>
    <row r="178" spans="1:5" ht="12.75" hidden="1">
      <c r="A178" s="131">
        <v>99801083</v>
      </c>
      <c r="B178" s="7" t="s">
        <v>2181</v>
      </c>
      <c r="C178" s="7">
        <v>10.67</v>
      </c>
      <c r="D178" s="7">
        <v>400</v>
      </c>
      <c r="E178" s="7">
        <v>99801083</v>
      </c>
    </row>
    <row r="179" spans="1:5" ht="12.75" hidden="1">
      <c r="A179" s="131">
        <v>99796416</v>
      </c>
      <c r="B179" s="7" t="s">
        <v>2175</v>
      </c>
      <c r="C179" s="7">
        <v>10.67</v>
      </c>
      <c r="D179" s="7">
        <v>400</v>
      </c>
      <c r="E179" s="7">
        <v>99796416</v>
      </c>
    </row>
    <row r="180" spans="1:5" ht="12.75">
      <c r="A180" s="131">
        <v>99796414</v>
      </c>
      <c r="B180" s="7" t="s">
        <v>2174</v>
      </c>
      <c r="C180" s="7">
        <v>10.7</v>
      </c>
      <c r="D180" s="7">
        <v>250</v>
      </c>
      <c r="E180" s="7">
        <v>99796414</v>
      </c>
    </row>
    <row r="181" spans="1:5" ht="12.75" hidden="1">
      <c r="A181" s="131">
        <v>99801082</v>
      </c>
      <c r="B181" s="7" t="s">
        <v>2171</v>
      </c>
      <c r="C181" s="7">
        <v>10.72</v>
      </c>
      <c r="D181" s="7">
        <v>350</v>
      </c>
      <c r="E181" s="7">
        <v>99801082</v>
      </c>
    </row>
    <row r="182" spans="1:5" ht="12.75" hidden="1">
      <c r="A182" s="131">
        <v>99801082</v>
      </c>
      <c r="B182" s="7" t="s">
        <v>2171</v>
      </c>
      <c r="C182" s="7">
        <v>10.79</v>
      </c>
      <c r="D182" s="7">
        <v>300</v>
      </c>
      <c r="E182" s="7">
        <v>99801082</v>
      </c>
    </row>
    <row r="183" spans="1:5" ht="12.75" hidden="1">
      <c r="A183" s="131">
        <v>99801082</v>
      </c>
      <c r="B183" s="7" t="s">
        <v>2171</v>
      </c>
      <c r="C183" s="7">
        <v>10.8</v>
      </c>
      <c r="D183" s="7">
        <v>300</v>
      </c>
      <c r="E183" s="7">
        <v>99801082</v>
      </c>
    </row>
    <row r="184" spans="1:5" ht="12.75" hidden="1">
      <c r="A184" s="131">
        <v>99801082</v>
      </c>
      <c r="B184" s="7" t="s">
        <v>2171</v>
      </c>
      <c r="C184" s="7">
        <v>10.8</v>
      </c>
      <c r="D184" s="7">
        <v>350</v>
      </c>
      <c r="E184" s="7">
        <v>99801082</v>
      </c>
    </row>
    <row r="185" spans="1:5" ht="12.75" hidden="1">
      <c r="A185" s="131">
        <v>99801301</v>
      </c>
      <c r="B185" s="7" t="s">
        <v>2177</v>
      </c>
      <c r="C185" s="7">
        <v>10.8</v>
      </c>
      <c r="D185" s="7">
        <v>350</v>
      </c>
      <c r="E185" s="7">
        <v>99801301</v>
      </c>
    </row>
    <row r="186" spans="1:5" ht="12.75" hidden="1">
      <c r="A186" s="131">
        <v>99796427</v>
      </c>
      <c r="B186" s="7" t="s">
        <v>2167</v>
      </c>
      <c r="C186" s="7">
        <v>10.85</v>
      </c>
      <c r="D186" s="7">
        <v>200</v>
      </c>
      <c r="E186" s="7">
        <v>99796427</v>
      </c>
    </row>
    <row r="187" spans="1:5" ht="12.75" hidden="1">
      <c r="A187" s="131">
        <v>99796427</v>
      </c>
      <c r="B187" s="7" t="s">
        <v>2167</v>
      </c>
      <c r="C187" s="7">
        <v>10.85</v>
      </c>
      <c r="D187" s="7">
        <v>200</v>
      </c>
      <c r="E187" s="7">
        <v>99796427</v>
      </c>
    </row>
    <row r="188" spans="1:5" ht="12.75" hidden="1">
      <c r="A188" s="131">
        <v>99801297</v>
      </c>
      <c r="B188" s="7" t="s">
        <v>2148</v>
      </c>
      <c r="C188" s="7">
        <v>10.9</v>
      </c>
      <c r="D188" s="7">
        <v>150</v>
      </c>
      <c r="E188" s="7">
        <v>99801297</v>
      </c>
    </row>
    <row r="189" spans="1:5" ht="12.75" hidden="1">
      <c r="A189" s="131">
        <v>99801296</v>
      </c>
      <c r="B189" s="7" t="s">
        <v>2170</v>
      </c>
      <c r="C189" s="7">
        <v>10.9</v>
      </c>
      <c r="D189" s="7">
        <v>155</v>
      </c>
      <c r="E189" s="7">
        <v>99801296</v>
      </c>
    </row>
    <row r="190" spans="1:5" ht="12.75" hidden="1">
      <c r="A190" s="131">
        <v>99801293</v>
      </c>
      <c r="B190" s="7" t="s">
        <v>2169</v>
      </c>
      <c r="C190" s="7">
        <v>11</v>
      </c>
      <c r="D190" s="7">
        <v>100</v>
      </c>
      <c r="E190" s="7">
        <v>99801293</v>
      </c>
    </row>
    <row r="191" spans="1:5" ht="12.75" hidden="1">
      <c r="A191" s="131">
        <v>99801098</v>
      </c>
      <c r="B191" s="7" t="s">
        <v>2184</v>
      </c>
      <c r="C191" s="7">
        <v>11</v>
      </c>
      <c r="D191" s="7">
        <v>225</v>
      </c>
      <c r="E191" s="7">
        <v>99801098</v>
      </c>
    </row>
    <row r="192" spans="1:5" ht="12.75">
      <c r="A192" s="131">
        <v>99801081</v>
      </c>
      <c r="B192" s="7" t="s">
        <v>2173</v>
      </c>
      <c r="C192" s="7">
        <v>11</v>
      </c>
      <c r="D192" s="7">
        <v>250</v>
      </c>
      <c r="E192" s="7">
        <v>99801081</v>
      </c>
    </row>
    <row r="193" spans="1:5" ht="12.75" hidden="1">
      <c r="A193" s="131">
        <v>99801082</v>
      </c>
      <c r="B193" s="7" t="s">
        <v>2171</v>
      </c>
      <c r="C193" s="7">
        <v>11</v>
      </c>
      <c r="D193" s="7">
        <v>350</v>
      </c>
      <c r="E193" s="7">
        <v>99801082</v>
      </c>
    </row>
    <row r="194" spans="1:5" ht="12.75" hidden="1">
      <c r="A194" s="131">
        <v>99796417</v>
      </c>
      <c r="B194" s="7" t="s">
        <v>2179</v>
      </c>
      <c r="C194" s="7">
        <v>11</v>
      </c>
      <c r="D194" s="7">
        <v>500</v>
      </c>
      <c r="E194" s="7">
        <v>99796417</v>
      </c>
    </row>
    <row r="195" spans="1:5" ht="12.75" hidden="1">
      <c r="A195" s="131">
        <v>99801082</v>
      </c>
      <c r="B195" s="7" t="s">
        <v>2171</v>
      </c>
      <c r="C195" s="7">
        <v>11.14</v>
      </c>
      <c r="D195" s="7">
        <v>300</v>
      </c>
      <c r="E195" s="7">
        <v>99801082</v>
      </c>
    </row>
    <row r="196" spans="1:5" ht="12.75" hidden="1">
      <c r="A196" s="131">
        <v>99801082</v>
      </c>
      <c r="B196" s="7" t="s">
        <v>2171</v>
      </c>
      <c r="C196" s="7">
        <v>11.2</v>
      </c>
      <c r="D196" s="7">
        <v>300</v>
      </c>
      <c r="E196" s="7">
        <v>99801082</v>
      </c>
    </row>
    <row r="197" spans="1:5" ht="12.75" hidden="1">
      <c r="A197" s="131">
        <v>99801082</v>
      </c>
      <c r="B197" s="7" t="s">
        <v>2171</v>
      </c>
      <c r="C197" s="7">
        <v>11.2</v>
      </c>
      <c r="D197" s="7">
        <v>300</v>
      </c>
      <c r="E197" s="7">
        <v>99801082</v>
      </c>
    </row>
    <row r="198" spans="1:5" ht="12.75" hidden="1">
      <c r="A198" s="131">
        <v>99801293</v>
      </c>
      <c r="B198" s="7" t="s">
        <v>2169</v>
      </c>
      <c r="C198" s="7">
        <v>11.3</v>
      </c>
      <c r="D198" s="7">
        <v>110</v>
      </c>
      <c r="E198" s="7">
        <v>99801293</v>
      </c>
    </row>
    <row r="199" spans="1:5" ht="12.75" hidden="1">
      <c r="A199" s="131">
        <v>99801296</v>
      </c>
      <c r="B199" s="7" t="s">
        <v>2170</v>
      </c>
      <c r="C199" s="7">
        <v>11.3</v>
      </c>
      <c r="D199" s="7">
        <v>150</v>
      </c>
      <c r="E199" s="7">
        <v>99801296</v>
      </c>
    </row>
    <row r="200" spans="1:5" ht="12.75">
      <c r="A200" s="131">
        <v>99801081</v>
      </c>
      <c r="B200" s="7" t="s">
        <v>2173</v>
      </c>
      <c r="C200" s="7">
        <v>11.34</v>
      </c>
      <c r="D200" s="7">
        <v>280</v>
      </c>
      <c r="E200" s="7">
        <v>99801081</v>
      </c>
    </row>
    <row r="201" spans="1:5" ht="12.75">
      <c r="A201" s="131">
        <v>99801081</v>
      </c>
      <c r="B201" s="7" t="s">
        <v>2173</v>
      </c>
      <c r="C201" s="7">
        <v>11.34</v>
      </c>
      <c r="D201" s="7">
        <v>280</v>
      </c>
      <c r="E201" s="7">
        <v>99801081</v>
      </c>
    </row>
    <row r="202" spans="1:5" ht="12.75">
      <c r="A202" s="131">
        <v>99801099</v>
      </c>
      <c r="B202" s="7" t="s">
        <v>2185</v>
      </c>
      <c r="C202" s="7">
        <v>11.4</v>
      </c>
      <c r="D202" s="7">
        <v>250</v>
      </c>
      <c r="E202" s="7">
        <v>99801099</v>
      </c>
    </row>
    <row r="203" spans="1:5" ht="12.75" hidden="1">
      <c r="A203" s="131">
        <v>99801082</v>
      </c>
      <c r="B203" s="7" t="s">
        <v>2171</v>
      </c>
      <c r="C203" s="7">
        <v>11.44</v>
      </c>
      <c r="D203" s="7">
        <v>300</v>
      </c>
      <c r="E203" s="7">
        <v>99801082</v>
      </c>
    </row>
    <row r="204" spans="1:5" ht="12.75" hidden="1">
      <c r="A204" s="131">
        <v>99796427</v>
      </c>
      <c r="B204" s="7" t="s">
        <v>2167</v>
      </c>
      <c r="C204" s="7">
        <v>11.54</v>
      </c>
      <c r="D204" s="7">
        <v>220</v>
      </c>
      <c r="E204" s="7">
        <v>99796427</v>
      </c>
    </row>
    <row r="205" spans="1:5" ht="12.75" hidden="1">
      <c r="A205" s="131">
        <v>99801098</v>
      </c>
      <c r="B205" s="7" t="s">
        <v>2184</v>
      </c>
      <c r="C205" s="7">
        <v>11.54</v>
      </c>
      <c r="D205" s="7">
        <v>220</v>
      </c>
      <c r="E205" s="7">
        <v>99801098</v>
      </c>
    </row>
    <row r="206" spans="1:5" ht="12.75" hidden="1">
      <c r="A206" s="131">
        <v>99801310</v>
      </c>
      <c r="B206" s="7" t="s">
        <v>2186</v>
      </c>
      <c r="C206" s="7">
        <v>11.55</v>
      </c>
      <c r="D206" s="7">
        <v>126</v>
      </c>
      <c r="E206" s="7">
        <v>99801310</v>
      </c>
    </row>
    <row r="207" spans="1:5" ht="12.75" hidden="1">
      <c r="A207" s="131">
        <v>99801098</v>
      </c>
      <c r="B207" s="7" t="s">
        <v>2184</v>
      </c>
      <c r="C207" s="7">
        <v>11.55</v>
      </c>
      <c r="D207" s="7">
        <v>191</v>
      </c>
      <c r="E207" s="7">
        <v>99801098</v>
      </c>
    </row>
    <row r="208" spans="1:5" ht="12.75" hidden="1">
      <c r="A208" s="131">
        <v>99796416</v>
      </c>
      <c r="B208" s="7" t="s">
        <v>2175</v>
      </c>
      <c r="C208" s="7">
        <v>11.6</v>
      </c>
      <c r="D208" s="7">
        <v>400</v>
      </c>
      <c r="E208" s="7">
        <v>99796416</v>
      </c>
    </row>
    <row r="209" spans="1:5" ht="12.75" hidden="1">
      <c r="A209" s="131">
        <v>99796427</v>
      </c>
      <c r="B209" s="7" t="s">
        <v>2167</v>
      </c>
      <c r="C209" s="7">
        <v>11.63</v>
      </c>
      <c r="D209" s="7">
        <v>200</v>
      </c>
      <c r="E209" s="7">
        <v>99796427</v>
      </c>
    </row>
    <row r="210" spans="1:5" ht="12.75">
      <c r="A210" s="131">
        <v>99801316</v>
      </c>
      <c r="B210" s="7" t="s">
        <v>2187</v>
      </c>
      <c r="C210" s="7">
        <v>11.7</v>
      </c>
      <c r="D210" s="7">
        <v>250</v>
      </c>
      <c r="E210" s="7">
        <v>99801316</v>
      </c>
    </row>
    <row r="211" spans="1:5" ht="12.75">
      <c r="A211" s="131">
        <v>99801081</v>
      </c>
      <c r="B211" s="7" t="s">
        <v>2173</v>
      </c>
      <c r="C211" s="7">
        <v>11.7</v>
      </c>
      <c r="D211" s="7">
        <v>250</v>
      </c>
      <c r="E211" s="7">
        <v>99801081</v>
      </c>
    </row>
    <row r="212" spans="1:5" ht="12.75" hidden="1">
      <c r="A212" s="131">
        <v>99801098</v>
      </c>
      <c r="B212" s="7" t="s">
        <v>2184</v>
      </c>
      <c r="C212" s="7">
        <v>11.75</v>
      </c>
      <c r="D212" s="7">
        <v>200</v>
      </c>
      <c r="E212" s="7">
        <v>99801098</v>
      </c>
    </row>
    <row r="213" spans="1:5" ht="12.75" hidden="1">
      <c r="A213" s="131">
        <v>99801098</v>
      </c>
      <c r="B213" s="7" t="s">
        <v>2184</v>
      </c>
      <c r="C213" s="7">
        <v>11.8</v>
      </c>
      <c r="D213" s="7">
        <v>205</v>
      </c>
      <c r="E213" s="7">
        <v>99801098</v>
      </c>
    </row>
    <row r="214" spans="1:5" ht="12.75" hidden="1">
      <c r="A214" s="131">
        <v>99801293</v>
      </c>
      <c r="B214" s="7" t="s">
        <v>2169</v>
      </c>
      <c r="C214" s="7">
        <v>11.83</v>
      </c>
      <c r="D214" s="7">
        <v>110</v>
      </c>
      <c r="E214" s="7">
        <v>99801293</v>
      </c>
    </row>
    <row r="215" spans="1:5" ht="12.75" hidden="1">
      <c r="A215" s="131">
        <v>99801098</v>
      </c>
      <c r="B215" s="7" t="s">
        <v>2184</v>
      </c>
      <c r="C215" s="7">
        <v>11.89</v>
      </c>
      <c r="D215" s="7">
        <v>200</v>
      </c>
      <c r="E215" s="7">
        <v>99801098</v>
      </c>
    </row>
    <row r="216" spans="1:5" ht="12.75">
      <c r="A216" s="131">
        <v>99801081</v>
      </c>
      <c r="B216" s="7" t="s">
        <v>2173</v>
      </c>
      <c r="C216" s="7">
        <v>11.9</v>
      </c>
      <c r="D216" s="7">
        <v>250</v>
      </c>
      <c r="E216" s="7">
        <v>99801081</v>
      </c>
    </row>
    <row r="217" spans="1:5" ht="12.75" hidden="1">
      <c r="A217" s="131">
        <v>99801082</v>
      </c>
      <c r="B217" s="7" t="s">
        <v>2171</v>
      </c>
      <c r="C217" s="7">
        <v>11.9</v>
      </c>
      <c r="D217" s="7">
        <v>300</v>
      </c>
      <c r="E217" s="7">
        <v>99801082</v>
      </c>
    </row>
    <row r="218" spans="1:5" ht="12.75" hidden="1">
      <c r="A218" s="131">
        <v>99801293</v>
      </c>
      <c r="B218" s="7" t="s">
        <v>2169</v>
      </c>
      <c r="C218" s="7">
        <v>11.94</v>
      </c>
      <c r="D218" s="7">
        <v>125</v>
      </c>
      <c r="E218" s="7">
        <v>99801293</v>
      </c>
    </row>
    <row r="219" spans="1:5" ht="12.75" hidden="1">
      <c r="A219" s="131">
        <v>99801294</v>
      </c>
      <c r="B219" s="7" t="s">
        <v>2164</v>
      </c>
      <c r="C219" s="7">
        <v>12</v>
      </c>
      <c r="D219" s="7">
        <v>110</v>
      </c>
      <c r="E219" s="7">
        <v>99801294</v>
      </c>
    </row>
    <row r="220" spans="1:5" ht="12.75" hidden="1">
      <c r="A220" s="131">
        <v>99801297</v>
      </c>
      <c r="B220" s="7" t="s">
        <v>2148</v>
      </c>
      <c r="C220" s="7">
        <v>12</v>
      </c>
      <c r="D220" s="7">
        <v>150</v>
      </c>
      <c r="E220" s="7">
        <v>99801297</v>
      </c>
    </row>
    <row r="221" spans="1:5" ht="12.75" hidden="1">
      <c r="A221" s="131">
        <v>99801297</v>
      </c>
      <c r="B221" s="7" t="s">
        <v>2148</v>
      </c>
      <c r="C221" s="7">
        <v>12</v>
      </c>
      <c r="D221" s="7">
        <v>160</v>
      </c>
      <c r="E221" s="7">
        <v>99801297</v>
      </c>
    </row>
    <row r="222" spans="1:5" ht="12.75" hidden="1">
      <c r="A222" s="131">
        <v>99801098</v>
      </c>
      <c r="B222" s="7" t="s">
        <v>2184</v>
      </c>
      <c r="C222" s="7">
        <v>12</v>
      </c>
      <c r="D222" s="7">
        <v>193</v>
      </c>
      <c r="E222" s="7">
        <v>99801098</v>
      </c>
    </row>
    <row r="223" spans="1:5" ht="12.75" hidden="1">
      <c r="A223" s="131">
        <v>99801098</v>
      </c>
      <c r="B223" s="7" t="s">
        <v>2184</v>
      </c>
      <c r="C223" s="7">
        <v>12</v>
      </c>
      <c r="D223" s="7">
        <v>200</v>
      </c>
      <c r="E223" s="7">
        <v>99801098</v>
      </c>
    </row>
    <row r="224" spans="1:5" ht="12.75">
      <c r="A224" s="131">
        <v>99801081</v>
      </c>
      <c r="B224" s="7" t="s">
        <v>2173</v>
      </c>
      <c r="C224" s="7">
        <v>12</v>
      </c>
      <c r="D224" s="7">
        <v>250</v>
      </c>
      <c r="E224" s="7">
        <v>99801081</v>
      </c>
    </row>
    <row r="225" spans="1:5" ht="12.75">
      <c r="A225" s="131">
        <v>99801082</v>
      </c>
      <c r="B225" s="7" t="s">
        <v>2171</v>
      </c>
      <c r="C225" s="7">
        <v>12</v>
      </c>
      <c r="D225" s="7">
        <v>250</v>
      </c>
      <c r="E225" s="7">
        <v>99801082</v>
      </c>
    </row>
    <row r="226" spans="1:5" ht="12.75" hidden="1">
      <c r="A226" s="131">
        <v>99801082</v>
      </c>
      <c r="B226" s="7" t="s">
        <v>2171</v>
      </c>
      <c r="C226" s="7">
        <v>12</v>
      </c>
      <c r="D226" s="7">
        <v>302</v>
      </c>
      <c r="E226" s="7">
        <v>99801082</v>
      </c>
    </row>
    <row r="227" spans="1:5" ht="12.75" hidden="1">
      <c r="A227" s="131">
        <v>99801082</v>
      </c>
      <c r="B227" s="7" t="s">
        <v>2171</v>
      </c>
      <c r="C227" s="7">
        <v>12</v>
      </c>
      <c r="D227" s="7">
        <v>350</v>
      </c>
      <c r="E227" s="7">
        <v>99801082</v>
      </c>
    </row>
    <row r="228" spans="1:5" ht="12.75" hidden="1">
      <c r="A228" s="131">
        <v>99796416</v>
      </c>
      <c r="B228" s="7" t="s">
        <v>2175</v>
      </c>
      <c r="C228" s="7">
        <v>12</v>
      </c>
      <c r="D228" s="7">
        <v>400</v>
      </c>
      <c r="E228" s="7">
        <v>99796416</v>
      </c>
    </row>
    <row r="229" spans="1:5" ht="12.75" hidden="1">
      <c r="A229" s="131">
        <v>99796416</v>
      </c>
      <c r="B229" s="7" t="s">
        <v>2175</v>
      </c>
      <c r="C229" s="7">
        <v>12</v>
      </c>
      <c r="D229" s="7">
        <v>450</v>
      </c>
      <c r="E229" s="7">
        <v>99796416</v>
      </c>
    </row>
    <row r="230" spans="1:5" ht="12.75">
      <c r="A230" s="131">
        <v>99801314</v>
      </c>
      <c r="B230" s="7" t="s">
        <v>2188</v>
      </c>
      <c r="C230" s="7">
        <v>12.04</v>
      </c>
      <c r="D230" s="7">
        <v>250</v>
      </c>
      <c r="E230" s="7">
        <v>99801314</v>
      </c>
    </row>
    <row r="231" spans="1:5" ht="12.75">
      <c r="A231" s="131">
        <v>99801099</v>
      </c>
      <c r="B231" s="7" t="s">
        <v>2185</v>
      </c>
      <c r="C231" s="7">
        <v>12.04</v>
      </c>
      <c r="D231" s="7">
        <v>250</v>
      </c>
      <c r="E231" s="7">
        <v>99801099</v>
      </c>
    </row>
    <row r="232" spans="1:5" ht="12.75" hidden="1">
      <c r="A232" s="131">
        <v>99801297</v>
      </c>
      <c r="B232" s="7" t="s">
        <v>2148</v>
      </c>
      <c r="C232" s="7">
        <v>12.05</v>
      </c>
      <c r="D232" s="7">
        <v>175</v>
      </c>
      <c r="E232" s="7">
        <v>99801297</v>
      </c>
    </row>
    <row r="233" spans="1:5" ht="12.75" hidden="1">
      <c r="A233" s="131">
        <v>99801082</v>
      </c>
      <c r="B233" s="7" t="s">
        <v>2171</v>
      </c>
      <c r="C233" s="7">
        <v>12.05</v>
      </c>
      <c r="D233" s="7">
        <v>350</v>
      </c>
      <c r="E233" s="7">
        <v>99801082</v>
      </c>
    </row>
    <row r="234" spans="1:5" ht="12.75" hidden="1">
      <c r="A234" s="131">
        <v>99801082</v>
      </c>
      <c r="B234" s="7" t="s">
        <v>2171</v>
      </c>
      <c r="C234" s="7">
        <v>12.14</v>
      </c>
      <c r="D234" s="7">
        <v>300</v>
      </c>
      <c r="E234" s="7">
        <v>99801082</v>
      </c>
    </row>
    <row r="235" spans="1:5" ht="12.75" hidden="1">
      <c r="A235" s="131">
        <v>99796427</v>
      </c>
      <c r="B235" s="7" t="s">
        <v>2167</v>
      </c>
      <c r="C235" s="7">
        <v>12.2</v>
      </c>
      <c r="D235" s="7">
        <v>200</v>
      </c>
      <c r="E235" s="7">
        <v>99796427</v>
      </c>
    </row>
    <row r="236" spans="1:5" ht="12.75" hidden="1">
      <c r="A236" s="131">
        <v>99801081</v>
      </c>
      <c r="B236" s="7" t="s">
        <v>2173</v>
      </c>
      <c r="C236" s="7">
        <v>12.2</v>
      </c>
      <c r="D236" s="7">
        <v>220</v>
      </c>
      <c r="E236" s="7">
        <v>99801081</v>
      </c>
    </row>
    <row r="237" spans="1:5" ht="12.75" hidden="1">
      <c r="A237" s="131">
        <v>99801293</v>
      </c>
      <c r="B237" s="7" t="s">
        <v>2169</v>
      </c>
      <c r="C237" s="7">
        <v>12.4</v>
      </c>
      <c r="D237" s="7">
        <v>113</v>
      </c>
      <c r="E237" s="7">
        <v>99801293</v>
      </c>
    </row>
    <row r="238" spans="1:5" ht="12.75">
      <c r="A238" s="131">
        <v>99801099</v>
      </c>
      <c r="B238" s="7" t="s">
        <v>2185</v>
      </c>
      <c r="C238" s="7">
        <v>12.5</v>
      </c>
      <c r="D238" s="7">
        <v>250</v>
      </c>
      <c r="E238" s="7">
        <v>99801099</v>
      </c>
    </row>
    <row r="239" spans="1:5" ht="12.75" hidden="1">
      <c r="A239" s="131">
        <v>99801082</v>
      </c>
      <c r="B239" s="7" t="s">
        <v>2171</v>
      </c>
      <c r="C239" s="7">
        <v>12.5</v>
      </c>
      <c r="D239" s="7">
        <v>300</v>
      </c>
      <c r="E239" s="7">
        <v>99801082</v>
      </c>
    </row>
    <row r="240" spans="1:5" ht="12.75" hidden="1">
      <c r="A240" s="131">
        <v>99801082</v>
      </c>
      <c r="B240" s="7" t="s">
        <v>2171</v>
      </c>
      <c r="C240" s="7">
        <v>12.51</v>
      </c>
      <c r="D240" s="7">
        <v>300</v>
      </c>
      <c r="E240" s="7">
        <v>99801082</v>
      </c>
    </row>
    <row r="241" spans="1:5" ht="12.75" hidden="1">
      <c r="A241" s="131">
        <v>99801082</v>
      </c>
      <c r="B241" s="7" t="s">
        <v>2171</v>
      </c>
      <c r="C241" s="7">
        <v>12.59</v>
      </c>
      <c r="D241" s="7">
        <v>300</v>
      </c>
      <c r="E241" s="7">
        <v>99801082</v>
      </c>
    </row>
    <row r="242" spans="1:5" ht="12.75" hidden="1">
      <c r="A242" s="131">
        <v>99801082</v>
      </c>
      <c r="B242" s="7" t="s">
        <v>2171</v>
      </c>
      <c r="C242" s="7">
        <v>12.59</v>
      </c>
      <c r="D242" s="7">
        <v>300</v>
      </c>
      <c r="E242" s="7">
        <v>99801082</v>
      </c>
    </row>
    <row r="243" spans="1:5" ht="12.75" hidden="1">
      <c r="A243" s="131">
        <v>99801297</v>
      </c>
      <c r="B243" s="7" t="s">
        <v>2148</v>
      </c>
      <c r="C243" s="7">
        <v>12.7</v>
      </c>
      <c r="D243" s="7">
        <v>150</v>
      </c>
      <c r="E243" s="7">
        <v>99801297</v>
      </c>
    </row>
    <row r="244" spans="1:5" ht="12.75">
      <c r="A244" s="131">
        <v>99801099</v>
      </c>
      <c r="B244" s="7" t="s">
        <v>2185</v>
      </c>
      <c r="C244" s="7">
        <v>12.7</v>
      </c>
      <c r="D244" s="7">
        <v>250</v>
      </c>
      <c r="E244" s="7">
        <v>99801099</v>
      </c>
    </row>
    <row r="245" spans="1:5" ht="12.75" hidden="1">
      <c r="A245" s="131">
        <v>99801082</v>
      </c>
      <c r="B245" s="7" t="s">
        <v>2171</v>
      </c>
      <c r="C245" s="7">
        <v>12.7</v>
      </c>
      <c r="D245" s="7">
        <v>320</v>
      </c>
      <c r="E245" s="7">
        <v>99801082</v>
      </c>
    </row>
    <row r="246" spans="1:5" ht="12.75" hidden="1">
      <c r="A246" s="131">
        <v>99801085</v>
      </c>
      <c r="B246" s="7" t="s">
        <v>2189</v>
      </c>
      <c r="C246" s="7">
        <v>12.8</v>
      </c>
      <c r="D246" s="7">
        <v>370</v>
      </c>
      <c r="E246" s="7">
        <v>99801085</v>
      </c>
    </row>
    <row r="247" spans="1:5" ht="12.75" hidden="1">
      <c r="A247" s="131">
        <v>99801085</v>
      </c>
      <c r="B247" s="7" t="s">
        <v>2189</v>
      </c>
      <c r="C247" s="7">
        <v>12.8</v>
      </c>
      <c r="D247" s="7">
        <v>400</v>
      </c>
      <c r="E247" s="7">
        <v>99801085</v>
      </c>
    </row>
    <row r="248" spans="1:5" ht="12.75" hidden="1">
      <c r="A248" s="131">
        <v>99801098</v>
      </c>
      <c r="B248" s="7" t="s">
        <v>2184</v>
      </c>
      <c r="C248" s="7">
        <v>13</v>
      </c>
      <c r="D248" s="7">
        <v>200</v>
      </c>
      <c r="E248" s="7">
        <v>99801098</v>
      </c>
    </row>
    <row r="249" spans="1:5" ht="12.75">
      <c r="A249" s="131">
        <v>99801099</v>
      </c>
      <c r="B249" s="7" t="s">
        <v>2185</v>
      </c>
      <c r="C249" s="7">
        <v>13</v>
      </c>
      <c r="D249" s="7">
        <v>250</v>
      </c>
      <c r="E249" s="7">
        <v>99801099</v>
      </c>
    </row>
    <row r="250" spans="1:5" ht="12.75">
      <c r="A250" s="131">
        <v>99801082</v>
      </c>
      <c r="B250" s="7" t="s">
        <v>2171</v>
      </c>
      <c r="C250" s="7">
        <v>13</v>
      </c>
      <c r="D250" s="7">
        <v>280</v>
      </c>
      <c r="E250" s="7">
        <v>99801082</v>
      </c>
    </row>
    <row r="251" spans="1:5" ht="12.75" hidden="1">
      <c r="A251" s="131">
        <v>99796416</v>
      </c>
      <c r="B251" s="7" t="s">
        <v>2175</v>
      </c>
      <c r="C251" s="7">
        <v>13.03</v>
      </c>
      <c r="D251" s="7">
        <v>350</v>
      </c>
      <c r="E251" s="7">
        <v>99796416</v>
      </c>
    </row>
    <row r="252" spans="1:5" ht="12.75">
      <c r="A252" s="131">
        <v>99801082</v>
      </c>
      <c r="B252" s="7" t="s">
        <v>2171</v>
      </c>
      <c r="C252" s="7">
        <v>13.05</v>
      </c>
      <c r="D252" s="7">
        <v>280</v>
      </c>
      <c r="E252" s="7">
        <v>99801082</v>
      </c>
    </row>
    <row r="253" spans="1:5" ht="12.75" hidden="1">
      <c r="A253" s="131">
        <v>99801314</v>
      </c>
      <c r="B253" s="7" t="s">
        <v>2188</v>
      </c>
      <c r="C253" s="7">
        <v>13.1</v>
      </c>
      <c r="D253" s="7">
        <v>225</v>
      </c>
      <c r="E253" s="7">
        <v>99801314</v>
      </c>
    </row>
    <row r="254" spans="1:5" ht="12.75" hidden="1">
      <c r="A254" s="131">
        <v>99801082</v>
      </c>
      <c r="B254" s="7" t="s">
        <v>2171</v>
      </c>
      <c r="C254" s="7">
        <v>13.1</v>
      </c>
      <c r="D254" s="7">
        <v>300</v>
      </c>
      <c r="E254" s="7">
        <v>99801082</v>
      </c>
    </row>
    <row r="255" spans="1:5" ht="12.75">
      <c r="A255" s="131">
        <v>99801082</v>
      </c>
      <c r="B255" s="7" t="s">
        <v>2171</v>
      </c>
      <c r="C255" s="7">
        <v>13.19</v>
      </c>
      <c r="D255" s="7">
        <v>280</v>
      </c>
      <c r="E255" s="7">
        <v>99801082</v>
      </c>
    </row>
    <row r="256" spans="1:5" ht="12.75">
      <c r="A256" s="131">
        <v>99801314</v>
      </c>
      <c r="B256" s="7" t="s">
        <v>2188</v>
      </c>
      <c r="C256" s="7">
        <v>13.2</v>
      </c>
      <c r="D256" s="7">
        <v>250</v>
      </c>
      <c r="E256" s="7">
        <v>99801314</v>
      </c>
    </row>
    <row r="257" spans="1:5" ht="12.75">
      <c r="A257" s="131">
        <v>99801316</v>
      </c>
      <c r="B257" s="7" t="s">
        <v>2187</v>
      </c>
      <c r="C257" s="7">
        <v>13.2</v>
      </c>
      <c r="D257" s="7">
        <v>250</v>
      </c>
      <c r="E257" s="7">
        <v>99801316</v>
      </c>
    </row>
    <row r="258" spans="1:5" ht="12.75">
      <c r="A258" s="131">
        <v>99801099</v>
      </c>
      <c r="B258" s="7" t="s">
        <v>2185</v>
      </c>
      <c r="C258" s="7">
        <v>13.2</v>
      </c>
      <c r="D258" s="7">
        <v>250</v>
      </c>
      <c r="E258" s="7">
        <v>99801099</v>
      </c>
    </row>
    <row r="259" spans="1:5" ht="12.75" hidden="1">
      <c r="A259" s="131">
        <v>99801083</v>
      </c>
      <c r="B259" s="7" t="s">
        <v>2181</v>
      </c>
      <c r="C259" s="7">
        <v>13.2</v>
      </c>
      <c r="D259" s="7">
        <v>360</v>
      </c>
      <c r="E259" s="7">
        <v>99801083</v>
      </c>
    </row>
    <row r="260" spans="1:5" ht="12.75" hidden="1">
      <c r="A260" s="131">
        <v>99801098</v>
      </c>
      <c r="B260" s="7" t="s">
        <v>2184</v>
      </c>
      <c r="C260" s="7">
        <v>13.29</v>
      </c>
      <c r="D260" s="7">
        <v>200</v>
      </c>
      <c r="E260" s="7">
        <v>99801098</v>
      </c>
    </row>
    <row r="261" spans="1:5" ht="12.75" hidden="1">
      <c r="A261" s="131">
        <v>99801309</v>
      </c>
      <c r="B261" s="7" t="s">
        <v>2190</v>
      </c>
      <c r="C261" s="7">
        <v>13.4</v>
      </c>
      <c r="D261" s="7">
        <v>100</v>
      </c>
      <c r="E261" s="7">
        <v>99801309</v>
      </c>
    </row>
    <row r="262" spans="1:5" ht="12.75" hidden="1">
      <c r="A262" s="131">
        <v>99801098</v>
      </c>
      <c r="B262" s="7" t="s">
        <v>2184</v>
      </c>
      <c r="C262" s="7">
        <v>13.5</v>
      </c>
      <c r="D262" s="7">
        <v>200</v>
      </c>
      <c r="E262" s="7">
        <v>99801098</v>
      </c>
    </row>
    <row r="263" spans="1:5" ht="12.75" hidden="1">
      <c r="A263" s="131">
        <v>99796416</v>
      </c>
      <c r="B263" s="7" t="s">
        <v>2175</v>
      </c>
      <c r="C263" s="7">
        <v>13.6</v>
      </c>
      <c r="D263" s="7">
        <v>350</v>
      </c>
      <c r="E263" s="7">
        <v>99796416</v>
      </c>
    </row>
    <row r="264" spans="1:5" ht="12.75" hidden="1">
      <c r="A264" s="131">
        <v>99801312</v>
      </c>
      <c r="B264" s="138" t="s">
        <v>2191</v>
      </c>
      <c r="C264" s="20">
        <v>13.69</v>
      </c>
      <c r="D264" s="7">
        <v>150</v>
      </c>
      <c r="E264" s="7">
        <v>99801312</v>
      </c>
    </row>
    <row r="265" spans="1:5" ht="12.75" hidden="1">
      <c r="A265" s="131">
        <v>99801297</v>
      </c>
      <c r="B265" s="7" t="s">
        <v>2148</v>
      </c>
      <c r="C265" s="7">
        <v>13.7</v>
      </c>
      <c r="D265" s="7">
        <v>155</v>
      </c>
      <c r="E265" s="7">
        <v>99801297</v>
      </c>
    </row>
    <row r="266" spans="1:5" ht="12.75" hidden="1">
      <c r="A266" s="131">
        <v>99801082</v>
      </c>
      <c r="B266" s="7" t="s">
        <v>2171</v>
      </c>
      <c r="C266" s="7">
        <v>13.7</v>
      </c>
      <c r="D266" s="7">
        <v>350</v>
      </c>
      <c r="E266" s="7">
        <v>99801082</v>
      </c>
    </row>
    <row r="267" spans="1:5" ht="12.75" hidden="1">
      <c r="A267" s="131">
        <v>99796416</v>
      </c>
      <c r="B267" s="7" t="s">
        <v>2175</v>
      </c>
      <c r="C267" s="7">
        <v>13.7</v>
      </c>
      <c r="D267" s="7">
        <v>390</v>
      </c>
      <c r="E267" s="7">
        <v>99796416</v>
      </c>
    </row>
    <row r="268" spans="1:5" ht="12.75" hidden="1">
      <c r="A268" s="131">
        <v>99801085</v>
      </c>
      <c r="B268" s="7" t="s">
        <v>2189</v>
      </c>
      <c r="C268" s="7">
        <v>13.7</v>
      </c>
      <c r="D268" s="7">
        <v>390</v>
      </c>
      <c r="E268" s="7">
        <v>99801085</v>
      </c>
    </row>
    <row r="269" spans="1:5" ht="12.75" hidden="1">
      <c r="A269" s="131">
        <v>99801100</v>
      </c>
      <c r="B269" s="7" t="s">
        <v>2150</v>
      </c>
      <c r="C269" s="7">
        <v>13.71</v>
      </c>
      <c r="D269" s="7">
        <v>350</v>
      </c>
      <c r="E269" s="7">
        <v>99801100</v>
      </c>
    </row>
    <row r="270" spans="1:5" ht="12.75" hidden="1">
      <c r="A270" s="131">
        <v>99796417</v>
      </c>
      <c r="B270" s="7" t="s">
        <v>2179</v>
      </c>
      <c r="C270" s="7">
        <v>13.9</v>
      </c>
      <c r="D270" s="7">
        <v>350</v>
      </c>
      <c r="E270" s="7">
        <v>99796417</v>
      </c>
    </row>
    <row r="271" spans="1:5" ht="12.75" hidden="1">
      <c r="A271" s="131">
        <v>99801082</v>
      </c>
      <c r="B271" s="7" t="s">
        <v>2171</v>
      </c>
      <c r="C271" s="7">
        <v>13.9</v>
      </c>
      <c r="D271" s="7">
        <v>350</v>
      </c>
      <c r="E271" s="7">
        <v>99801082</v>
      </c>
    </row>
    <row r="272" spans="1:5" ht="12.75" hidden="1">
      <c r="A272" s="131">
        <v>99796417</v>
      </c>
      <c r="B272" s="7" t="s">
        <v>2179</v>
      </c>
      <c r="C272" s="7">
        <v>13.9</v>
      </c>
      <c r="D272" s="7">
        <v>450</v>
      </c>
      <c r="E272" s="7">
        <v>99796417</v>
      </c>
    </row>
    <row r="273" spans="1:5" ht="12.75" hidden="1">
      <c r="A273" s="131">
        <v>99796420</v>
      </c>
      <c r="B273" s="7" t="s">
        <v>2192</v>
      </c>
      <c r="C273" s="7">
        <v>13.9</v>
      </c>
      <c r="D273" s="7">
        <v>650</v>
      </c>
      <c r="E273" s="7">
        <v>99796420</v>
      </c>
    </row>
    <row r="274" spans="1:5" ht="12.75" hidden="1">
      <c r="A274" s="131">
        <v>99801082</v>
      </c>
      <c r="B274" s="7" t="s">
        <v>2171</v>
      </c>
      <c r="C274" s="7">
        <v>13.91</v>
      </c>
      <c r="D274" s="7">
        <v>300</v>
      </c>
      <c r="E274" s="7">
        <v>99801082</v>
      </c>
    </row>
    <row r="275" spans="1:5" ht="12.75" hidden="1">
      <c r="A275" s="131">
        <v>99801294</v>
      </c>
      <c r="B275" s="7" t="s">
        <v>2164</v>
      </c>
      <c r="C275" s="7">
        <v>13.95</v>
      </c>
      <c r="D275" s="7">
        <v>125</v>
      </c>
      <c r="E275" s="7">
        <v>99801294</v>
      </c>
    </row>
    <row r="276" spans="1:5" ht="12.75" hidden="1">
      <c r="A276" s="131">
        <v>99801313</v>
      </c>
      <c r="B276" s="7" t="s">
        <v>2183</v>
      </c>
      <c r="C276" s="7">
        <v>13.96</v>
      </c>
      <c r="D276" s="7">
        <v>175</v>
      </c>
      <c r="E276" s="7">
        <v>99801313</v>
      </c>
    </row>
    <row r="277" spans="1:5" ht="12.75" hidden="1">
      <c r="A277" s="131">
        <v>99801100</v>
      </c>
      <c r="B277" s="7" t="s">
        <v>2150</v>
      </c>
      <c r="C277" s="7">
        <v>13.96</v>
      </c>
      <c r="D277" s="7">
        <v>350</v>
      </c>
      <c r="E277" s="7">
        <v>99801100</v>
      </c>
    </row>
    <row r="278" spans="1:5" ht="12.75" hidden="1">
      <c r="A278" s="131">
        <v>99801297</v>
      </c>
      <c r="B278" s="7" t="s">
        <v>2148</v>
      </c>
      <c r="C278" s="7">
        <v>14</v>
      </c>
      <c r="D278" s="7">
        <v>150</v>
      </c>
      <c r="E278" s="7">
        <v>99801297</v>
      </c>
    </row>
    <row r="279" spans="1:5" ht="12.75" hidden="1">
      <c r="A279" s="131">
        <v>99801312</v>
      </c>
      <c r="B279" s="7" t="s">
        <v>2191</v>
      </c>
      <c r="C279" s="7">
        <v>14</v>
      </c>
      <c r="D279" s="7">
        <v>150</v>
      </c>
      <c r="E279" s="7">
        <v>99801312</v>
      </c>
    </row>
    <row r="280" spans="1:5" ht="12.75" hidden="1">
      <c r="A280" s="131">
        <v>99801082</v>
      </c>
      <c r="B280" s="7" t="s">
        <v>2171</v>
      </c>
      <c r="C280" s="7">
        <v>14</v>
      </c>
      <c r="D280" s="7">
        <v>300</v>
      </c>
      <c r="E280" s="7">
        <v>99801082</v>
      </c>
    </row>
    <row r="281" spans="1:5" ht="12.75" hidden="1">
      <c r="A281" s="131">
        <v>99801100</v>
      </c>
      <c r="B281" s="7" t="s">
        <v>2150</v>
      </c>
      <c r="C281" s="7">
        <v>14</v>
      </c>
      <c r="D281" s="7">
        <v>300</v>
      </c>
      <c r="E281" s="7">
        <v>99801100</v>
      </c>
    </row>
    <row r="282" spans="1:5" ht="12.75" hidden="1">
      <c r="A282" s="131">
        <v>99801100</v>
      </c>
      <c r="B282" s="7" t="s">
        <v>2150</v>
      </c>
      <c r="C282" s="7">
        <v>14</v>
      </c>
      <c r="D282" s="7">
        <v>310</v>
      </c>
      <c r="E282" s="7">
        <v>99801100</v>
      </c>
    </row>
    <row r="283" spans="1:5" ht="12.75" hidden="1">
      <c r="A283" s="131">
        <v>99801085</v>
      </c>
      <c r="B283" s="7" t="s">
        <v>2189</v>
      </c>
      <c r="C283" s="7">
        <v>14</v>
      </c>
      <c r="D283" s="7">
        <v>380</v>
      </c>
      <c r="E283" s="7">
        <v>99801085</v>
      </c>
    </row>
    <row r="284" spans="1:5" ht="12.75" hidden="1">
      <c r="A284" s="131">
        <v>99801313</v>
      </c>
      <c r="B284" s="7" t="s">
        <v>2183</v>
      </c>
      <c r="C284" s="7">
        <v>14.1</v>
      </c>
      <c r="D284" s="7">
        <v>200</v>
      </c>
      <c r="E284" s="7">
        <v>99801313</v>
      </c>
    </row>
    <row r="285" spans="1:5" ht="12.75" hidden="1">
      <c r="A285" s="131">
        <v>99801085</v>
      </c>
      <c r="B285" s="7" t="s">
        <v>2189</v>
      </c>
      <c r="C285" s="7">
        <v>14.15</v>
      </c>
      <c r="D285" s="7">
        <v>350</v>
      </c>
      <c r="E285" s="7">
        <v>99801085</v>
      </c>
    </row>
    <row r="286" spans="1:5" ht="12.75" hidden="1">
      <c r="A286" s="131">
        <v>99801313</v>
      </c>
      <c r="B286" s="7" t="s">
        <v>2183</v>
      </c>
      <c r="C286" s="7">
        <v>14.2</v>
      </c>
      <c r="D286" s="7">
        <v>152</v>
      </c>
      <c r="E286" s="7">
        <v>99801313</v>
      </c>
    </row>
    <row r="287" spans="1:5" ht="12.75" hidden="1">
      <c r="A287" s="131">
        <v>99801310</v>
      </c>
      <c r="B287" s="7" t="s">
        <v>2186</v>
      </c>
      <c r="C287" s="7">
        <v>14.3</v>
      </c>
      <c r="D287" s="7">
        <v>150</v>
      </c>
      <c r="E287" s="7">
        <v>99801310</v>
      </c>
    </row>
    <row r="288" spans="1:5" ht="12.75" hidden="1">
      <c r="A288" s="131">
        <v>99801082</v>
      </c>
      <c r="B288" s="7" t="s">
        <v>2171</v>
      </c>
      <c r="C288" s="7">
        <v>14.3</v>
      </c>
      <c r="D288" s="7">
        <v>300</v>
      </c>
      <c r="E288" s="7">
        <v>99801082</v>
      </c>
    </row>
    <row r="289" spans="1:5" ht="12.75" hidden="1">
      <c r="A289" s="131">
        <v>99801100</v>
      </c>
      <c r="B289" s="7" t="s">
        <v>2150</v>
      </c>
      <c r="C289" s="7">
        <v>14.3</v>
      </c>
      <c r="D289" s="7">
        <v>300</v>
      </c>
      <c r="E289" s="7">
        <v>99801100</v>
      </c>
    </row>
    <row r="290" spans="1:5" ht="12.75" hidden="1">
      <c r="A290" s="131">
        <v>99796416</v>
      </c>
      <c r="B290" s="7" t="s">
        <v>2175</v>
      </c>
      <c r="C290" s="7">
        <v>14.3</v>
      </c>
      <c r="D290" s="7">
        <v>350</v>
      </c>
      <c r="E290" s="7">
        <v>99796416</v>
      </c>
    </row>
    <row r="291" spans="1:5" ht="12.75" hidden="1">
      <c r="A291" s="131">
        <v>99801082</v>
      </c>
      <c r="B291" s="7" t="s">
        <v>2171</v>
      </c>
      <c r="C291" s="7">
        <v>14.39</v>
      </c>
      <c r="D291" s="7">
        <v>300</v>
      </c>
      <c r="E291" s="7">
        <v>99801082</v>
      </c>
    </row>
    <row r="292" spans="1:5" ht="12.75" hidden="1">
      <c r="A292" s="131">
        <v>99801313</v>
      </c>
      <c r="B292" s="7" t="s">
        <v>2183</v>
      </c>
      <c r="C292" s="7">
        <v>14.5</v>
      </c>
      <c r="D292" s="7">
        <v>205</v>
      </c>
      <c r="E292" s="7">
        <v>99801313</v>
      </c>
    </row>
    <row r="293" spans="1:5" ht="12.75">
      <c r="A293" s="131">
        <v>99801317</v>
      </c>
      <c r="B293" s="7" t="s">
        <v>2193</v>
      </c>
      <c r="C293" s="7">
        <v>14.5</v>
      </c>
      <c r="D293" s="7">
        <v>265</v>
      </c>
      <c r="E293" s="7">
        <v>99801317</v>
      </c>
    </row>
    <row r="294" spans="1:5" ht="12.75">
      <c r="A294" s="131">
        <v>99801099</v>
      </c>
      <c r="B294" s="7" t="s">
        <v>2185</v>
      </c>
      <c r="C294" s="7">
        <v>14.5</v>
      </c>
      <c r="D294" s="7">
        <v>265</v>
      </c>
      <c r="E294" s="7">
        <v>99801099</v>
      </c>
    </row>
    <row r="295" spans="1:5" ht="12.75" hidden="1">
      <c r="A295" s="131">
        <v>99801082</v>
      </c>
      <c r="B295" s="7" t="s">
        <v>2171</v>
      </c>
      <c r="C295" s="7">
        <v>14.5</v>
      </c>
      <c r="D295" s="7">
        <v>300</v>
      </c>
      <c r="E295" s="7">
        <v>99801082</v>
      </c>
    </row>
    <row r="296" spans="1:5" ht="12.75">
      <c r="A296" s="131">
        <v>99801099</v>
      </c>
      <c r="B296" s="7" t="s">
        <v>2185</v>
      </c>
      <c r="C296" s="7">
        <v>14.6</v>
      </c>
      <c r="D296" s="7">
        <v>250</v>
      </c>
      <c r="E296" s="7">
        <v>99801099</v>
      </c>
    </row>
    <row r="297" spans="1:5" ht="12.75">
      <c r="A297" s="131">
        <v>99801099</v>
      </c>
      <c r="B297" s="7" t="s">
        <v>2185</v>
      </c>
      <c r="C297" s="7">
        <v>14.6</v>
      </c>
      <c r="D297" s="7">
        <v>250</v>
      </c>
      <c r="E297" s="7">
        <v>99801099</v>
      </c>
    </row>
    <row r="298" spans="1:5" ht="12.75" hidden="1">
      <c r="A298" s="131">
        <v>99801100</v>
      </c>
      <c r="B298" s="7" t="s">
        <v>2150</v>
      </c>
      <c r="C298" s="7">
        <v>14.6</v>
      </c>
      <c r="D298" s="7">
        <v>350</v>
      </c>
      <c r="E298" s="7">
        <v>99801100</v>
      </c>
    </row>
    <row r="299" spans="1:5" ht="12.75" hidden="1">
      <c r="A299" s="131">
        <v>99796417</v>
      </c>
      <c r="B299" s="7" t="s">
        <v>2179</v>
      </c>
      <c r="C299" s="7">
        <v>14.6</v>
      </c>
      <c r="D299" s="7">
        <v>500</v>
      </c>
      <c r="E299" s="7">
        <v>99796417</v>
      </c>
    </row>
    <row r="300" spans="1:5" ht="12.75">
      <c r="A300" s="131">
        <v>99801099</v>
      </c>
      <c r="B300" s="7" t="s">
        <v>2185</v>
      </c>
      <c r="C300" s="7">
        <v>14.7</v>
      </c>
      <c r="D300" s="7">
        <v>250</v>
      </c>
      <c r="E300" s="7">
        <v>99801099</v>
      </c>
    </row>
    <row r="301" spans="1:5" ht="12.75">
      <c r="A301" s="131">
        <v>99801099</v>
      </c>
      <c r="B301" s="7" t="s">
        <v>2185</v>
      </c>
      <c r="C301" s="7">
        <v>14.7</v>
      </c>
      <c r="D301" s="7">
        <v>250</v>
      </c>
      <c r="E301" s="7">
        <v>99801099</v>
      </c>
    </row>
    <row r="302" spans="1:5" ht="12.75" hidden="1">
      <c r="A302" s="131">
        <v>99801102</v>
      </c>
      <c r="B302" s="7" t="s">
        <v>2194</v>
      </c>
      <c r="C302" s="7">
        <v>14.7</v>
      </c>
      <c r="D302" s="7">
        <v>300</v>
      </c>
      <c r="E302" s="7">
        <v>99801102</v>
      </c>
    </row>
    <row r="303" spans="1:5" ht="12.75" hidden="1">
      <c r="A303" s="131">
        <v>99801085</v>
      </c>
      <c r="B303" s="7" t="s">
        <v>2189</v>
      </c>
      <c r="C303" s="7">
        <v>14.7</v>
      </c>
      <c r="D303" s="7">
        <v>350</v>
      </c>
      <c r="E303" s="7">
        <v>99801085</v>
      </c>
    </row>
    <row r="304" spans="1:5" ht="12.75" hidden="1">
      <c r="A304" s="131">
        <v>99801100</v>
      </c>
      <c r="B304" s="7" t="s">
        <v>2150</v>
      </c>
      <c r="C304" s="7">
        <v>14.8</v>
      </c>
      <c r="D304" s="7">
        <v>350</v>
      </c>
      <c r="E304" s="7">
        <v>99801100</v>
      </c>
    </row>
    <row r="305" spans="1:5" ht="12.75" hidden="1">
      <c r="A305" s="131">
        <v>99801085</v>
      </c>
      <c r="B305" s="7" t="s">
        <v>2189</v>
      </c>
      <c r="C305" s="7">
        <v>14.8</v>
      </c>
      <c r="D305" s="7">
        <v>400</v>
      </c>
      <c r="E305" s="7">
        <v>99801085</v>
      </c>
    </row>
    <row r="306" spans="1:5" ht="12.75" hidden="1">
      <c r="A306" s="131">
        <v>99801098</v>
      </c>
      <c r="B306" s="7" t="s">
        <v>2184</v>
      </c>
      <c r="C306" s="7">
        <v>14.9</v>
      </c>
      <c r="D306" s="7">
        <v>200</v>
      </c>
      <c r="E306" s="7">
        <v>99801098</v>
      </c>
    </row>
    <row r="307" spans="1:5" ht="12.75" hidden="1">
      <c r="A307" s="131">
        <v>99801317</v>
      </c>
      <c r="B307" s="7" t="s">
        <v>2193</v>
      </c>
      <c r="C307" s="7">
        <v>14.9</v>
      </c>
      <c r="D307" s="7">
        <v>300</v>
      </c>
      <c r="E307" s="7">
        <v>99801317</v>
      </c>
    </row>
    <row r="308" spans="1:5" ht="12.75" hidden="1">
      <c r="A308" s="131">
        <v>99801082</v>
      </c>
      <c r="B308" s="7" t="s">
        <v>2171</v>
      </c>
      <c r="C308" s="7">
        <v>14.9</v>
      </c>
      <c r="D308" s="7">
        <v>300</v>
      </c>
      <c r="E308" s="7">
        <v>99801082</v>
      </c>
    </row>
    <row r="309" spans="1:5" ht="12.75" hidden="1">
      <c r="A309" s="131">
        <v>99801320</v>
      </c>
      <c r="B309" s="7" t="s">
        <v>2195</v>
      </c>
      <c r="C309" s="7">
        <v>15</v>
      </c>
      <c r="D309" s="7">
        <v>50</v>
      </c>
      <c r="E309" s="7">
        <v>99801320</v>
      </c>
    </row>
    <row r="310" spans="1:5" ht="12.75" hidden="1">
      <c r="A310" s="131">
        <v>99801310</v>
      </c>
      <c r="B310" s="7" t="s">
        <v>2186</v>
      </c>
      <c r="C310" s="7">
        <v>15</v>
      </c>
      <c r="D310" s="7">
        <v>150</v>
      </c>
      <c r="E310" s="7">
        <v>99801310</v>
      </c>
    </row>
    <row r="311" spans="1:5" ht="12.75" hidden="1">
      <c r="A311" s="131">
        <v>99801098</v>
      </c>
      <c r="B311" s="7" t="s">
        <v>2184</v>
      </c>
      <c r="C311" s="7">
        <v>15</v>
      </c>
      <c r="D311" s="7">
        <v>200</v>
      </c>
      <c r="E311" s="7">
        <v>99801098</v>
      </c>
    </row>
    <row r="312" spans="1:5" ht="12.75" hidden="1">
      <c r="A312" s="131">
        <v>99801316</v>
      </c>
      <c r="B312" s="7" t="s">
        <v>2187</v>
      </c>
      <c r="C312" s="7">
        <v>15</v>
      </c>
      <c r="D312" s="7">
        <v>225</v>
      </c>
      <c r="E312" s="7">
        <v>99801316</v>
      </c>
    </row>
    <row r="313" spans="1:5" ht="12.75" hidden="1">
      <c r="A313" s="131">
        <v>99801098</v>
      </c>
      <c r="B313" s="7" t="s">
        <v>2184</v>
      </c>
      <c r="C313" s="7">
        <v>15</v>
      </c>
      <c r="D313" s="7">
        <v>225</v>
      </c>
      <c r="E313" s="7">
        <v>99801098</v>
      </c>
    </row>
    <row r="314" spans="1:5" ht="12.75">
      <c r="A314" s="131">
        <v>99801099</v>
      </c>
      <c r="B314" s="7" t="s">
        <v>2185</v>
      </c>
      <c r="C314" s="7">
        <v>15</v>
      </c>
      <c r="D314" s="7">
        <v>250</v>
      </c>
      <c r="E314" s="7">
        <v>99801099</v>
      </c>
    </row>
    <row r="315" spans="1:5" ht="12.75" hidden="1">
      <c r="A315" s="131">
        <v>99801102</v>
      </c>
      <c r="B315" s="7" t="s">
        <v>2194</v>
      </c>
      <c r="C315" s="7">
        <v>15</v>
      </c>
      <c r="D315" s="7">
        <v>300</v>
      </c>
      <c r="E315" s="7">
        <v>99801102</v>
      </c>
    </row>
    <row r="316" spans="1:5" ht="12.75" hidden="1">
      <c r="A316" s="131">
        <v>99801317</v>
      </c>
      <c r="B316" s="7" t="s">
        <v>2193</v>
      </c>
      <c r="C316" s="7">
        <v>15</v>
      </c>
      <c r="D316" s="7">
        <v>300</v>
      </c>
      <c r="E316" s="7">
        <v>99801317</v>
      </c>
    </row>
    <row r="317" spans="1:5" ht="12.75" hidden="1">
      <c r="A317" s="131">
        <v>99801082</v>
      </c>
      <c r="B317" s="7" t="s">
        <v>2171</v>
      </c>
      <c r="C317" s="7">
        <v>15</v>
      </c>
      <c r="D317" s="7">
        <v>300</v>
      </c>
      <c r="E317" s="7">
        <v>99801082</v>
      </c>
    </row>
    <row r="318" spans="1:5" ht="12.75" hidden="1">
      <c r="A318" s="131">
        <v>99801083</v>
      </c>
      <c r="B318" s="7" t="s">
        <v>2181</v>
      </c>
      <c r="C318" s="7">
        <v>15</v>
      </c>
      <c r="D318" s="7">
        <v>300</v>
      </c>
      <c r="E318" s="7">
        <v>99801083</v>
      </c>
    </row>
    <row r="319" spans="1:5" ht="12.75" hidden="1">
      <c r="A319" s="131">
        <v>99801100</v>
      </c>
      <c r="B319" s="7" t="s">
        <v>2150</v>
      </c>
      <c r="C319" s="7">
        <v>15</v>
      </c>
      <c r="D319" s="7">
        <v>350</v>
      </c>
      <c r="E319" s="7">
        <v>99801100</v>
      </c>
    </row>
    <row r="320" spans="1:5" ht="12.75" hidden="1">
      <c r="A320" s="131">
        <v>99801085</v>
      </c>
      <c r="B320" s="7" t="s">
        <v>2189</v>
      </c>
      <c r="C320" s="7">
        <v>15</v>
      </c>
      <c r="D320" s="7">
        <v>360</v>
      </c>
      <c r="E320" s="7">
        <v>99801085</v>
      </c>
    </row>
    <row r="321" spans="1:5" ht="12.75" hidden="1">
      <c r="A321" s="131">
        <v>99796417</v>
      </c>
      <c r="B321" s="7" t="s">
        <v>2179</v>
      </c>
      <c r="C321" s="7">
        <v>15</v>
      </c>
      <c r="D321" s="7">
        <v>480</v>
      </c>
      <c r="E321" s="7">
        <v>99796417</v>
      </c>
    </row>
    <row r="322" spans="1:5" ht="12.75" hidden="1">
      <c r="A322" s="131">
        <v>99801087</v>
      </c>
      <c r="B322" s="7" t="s">
        <v>2196</v>
      </c>
      <c r="C322" s="7">
        <v>15</v>
      </c>
      <c r="D322" s="7">
        <v>480</v>
      </c>
      <c r="E322" s="7">
        <v>99801087</v>
      </c>
    </row>
    <row r="323" spans="1:5" ht="12.75" hidden="1">
      <c r="A323" s="131">
        <v>99801317</v>
      </c>
      <c r="B323" s="7" t="s">
        <v>2193</v>
      </c>
      <c r="C323" s="7">
        <v>15.2</v>
      </c>
      <c r="D323" s="7">
        <v>300</v>
      </c>
      <c r="E323" s="7">
        <v>99801317</v>
      </c>
    </row>
    <row r="324" spans="1:5" ht="12.75">
      <c r="A324" s="131">
        <v>99801099</v>
      </c>
      <c r="B324" s="7" t="s">
        <v>2185</v>
      </c>
      <c r="C324" s="7">
        <v>15.29</v>
      </c>
      <c r="D324" s="7">
        <v>250</v>
      </c>
      <c r="E324" s="7">
        <v>99801099</v>
      </c>
    </row>
    <row r="325" spans="1:5" ht="12.75">
      <c r="A325" s="131">
        <v>99801099</v>
      </c>
      <c r="B325" s="7" t="s">
        <v>2185</v>
      </c>
      <c r="C325" s="7">
        <v>15.3</v>
      </c>
      <c r="D325" s="7">
        <v>250</v>
      </c>
      <c r="E325" s="7">
        <v>99801099</v>
      </c>
    </row>
    <row r="326" spans="1:5" ht="12.75" hidden="1">
      <c r="A326" s="131">
        <v>99801100</v>
      </c>
      <c r="B326" s="7" t="s">
        <v>2150</v>
      </c>
      <c r="C326" s="7">
        <v>15.4</v>
      </c>
      <c r="D326" s="7">
        <v>300</v>
      </c>
      <c r="E326" s="7">
        <v>99801100</v>
      </c>
    </row>
    <row r="327" spans="1:5" ht="12.75" hidden="1">
      <c r="A327" s="131">
        <v>99801313</v>
      </c>
      <c r="B327" s="7" t="s">
        <v>2183</v>
      </c>
      <c r="C327" s="7">
        <v>15.49</v>
      </c>
      <c r="D327" s="7">
        <v>180</v>
      </c>
      <c r="E327" s="7">
        <v>99801313</v>
      </c>
    </row>
    <row r="328" spans="1:5" ht="12.75">
      <c r="A328" s="131">
        <v>99801099</v>
      </c>
      <c r="B328" s="7" t="s">
        <v>2185</v>
      </c>
      <c r="C328" s="7">
        <v>15.5</v>
      </c>
      <c r="D328" s="7">
        <v>250</v>
      </c>
      <c r="E328" s="7">
        <v>99801099</v>
      </c>
    </row>
    <row r="329" spans="1:5" ht="12.75" hidden="1">
      <c r="A329" s="131">
        <v>99801309</v>
      </c>
      <c r="B329" s="7" t="s">
        <v>2190</v>
      </c>
      <c r="C329" s="7">
        <v>15.53</v>
      </c>
      <c r="D329" s="7">
        <v>110</v>
      </c>
      <c r="E329" s="7">
        <v>99801309</v>
      </c>
    </row>
    <row r="330" spans="1:5" ht="12.75">
      <c r="A330" s="131">
        <v>99801099</v>
      </c>
      <c r="B330" s="7" t="s">
        <v>2185</v>
      </c>
      <c r="C330" s="7">
        <v>15.57</v>
      </c>
      <c r="D330" s="7">
        <v>250</v>
      </c>
      <c r="E330" s="7">
        <v>99801099</v>
      </c>
    </row>
    <row r="331" spans="1:5" ht="12.75">
      <c r="A331" s="131">
        <v>99801317</v>
      </c>
      <c r="B331" s="7" t="s">
        <v>2193</v>
      </c>
      <c r="C331" s="7">
        <v>15.6</v>
      </c>
      <c r="D331" s="7">
        <v>250</v>
      </c>
      <c r="E331" s="7">
        <v>99801317</v>
      </c>
    </row>
    <row r="332" spans="1:5" ht="12.75">
      <c r="A332" s="131">
        <v>99801099</v>
      </c>
      <c r="B332" s="7" t="s">
        <v>2185</v>
      </c>
      <c r="C332" s="7">
        <v>15.6</v>
      </c>
      <c r="D332" s="7">
        <v>250</v>
      </c>
      <c r="E332" s="7">
        <v>99801099</v>
      </c>
    </row>
    <row r="333" spans="1:5" ht="12.75" hidden="1">
      <c r="A333" s="131">
        <v>99801085</v>
      </c>
      <c r="B333" s="7" t="s">
        <v>2189</v>
      </c>
      <c r="C333" s="7">
        <v>15.6</v>
      </c>
      <c r="D333" s="7">
        <v>350</v>
      </c>
      <c r="E333" s="7">
        <v>99801085</v>
      </c>
    </row>
    <row r="334" spans="1:5" ht="12.75">
      <c r="A334" s="131">
        <v>99801099</v>
      </c>
      <c r="B334" s="7" t="s">
        <v>2185</v>
      </c>
      <c r="C334" s="7">
        <v>15.63</v>
      </c>
      <c r="D334" s="7">
        <v>250</v>
      </c>
      <c r="E334" s="7">
        <v>99801099</v>
      </c>
    </row>
    <row r="335" spans="1:5" ht="12.75" hidden="1">
      <c r="A335" s="131">
        <v>99801089</v>
      </c>
      <c r="B335" s="7" t="s">
        <v>2176</v>
      </c>
      <c r="C335" s="7">
        <v>15.7</v>
      </c>
      <c r="D335" s="7">
        <v>450</v>
      </c>
      <c r="E335" s="7">
        <v>99801089</v>
      </c>
    </row>
    <row r="336" spans="1:5" ht="12.75">
      <c r="A336" s="131">
        <v>99801317</v>
      </c>
      <c r="B336" s="7" t="s">
        <v>2193</v>
      </c>
      <c r="C336" s="7">
        <v>15.9</v>
      </c>
      <c r="D336" s="7">
        <v>250</v>
      </c>
      <c r="E336" s="7">
        <v>99801317</v>
      </c>
    </row>
    <row r="337" spans="1:5" ht="12.75">
      <c r="A337" s="131">
        <v>99801099</v>
      </c>
      <c r="B337" s="7" t="s">
        <v>2185</v>
      </c>
      <c r="C337" s="7">
        <v>16</v>
      </c>
      <c r="D337" s="7">
        <v>250</v>
      </c>
      <c r="E337" s="7">
        <v>99801099</v>
      </c>
    </row>
    <row r="338" spans="1:5" ht="12.75" hidden="1">
      <c r="A338" s="131">
        <v>99801317</v>
      </c>
      <c r="B338" s="7" t="s">
        <v>2193</v>
      </c>
      <c r="C338" s="7">
        <v>16</v>
      </c>
      <c r="D338" s="7">
        <v>290</v>
      </c>
      <c r="E338" s="7">
        <v>99801317</v>
      </c>
    </row>
    <row r="339" spans="1:5" ht="12.75" hidden="1">
      <c r="A339" s="131">
        <v>99801100</v>
      </c>
      <c r="B339" s="7" t="s">
        <v>2150</v>
      </c>
      <c r="C339" s="7">
        <v>16</v>
      </c>
      <c r="D339" s="7">
        <v>290</v>
      </c>
      <c r="E339" s="7">
        <v>99801100</v>
      </c>
    </row>
    <row r="340" spans="1:5" ht="12.75" hidden="1">
      <c r="A340" s="131">
        <v>99801098</v>
      </c>
      <c r="B340" s="7" t="s">
        <v>2184</v>
      </c>
      <c r="C340" s="7">
        <v>16.100000000000001</v>
      </c>
      <c r="D340" s="7">
        <v>200</v>
      </c>
      <c r="E340" s="7">
        <v>99801098</v>
      </c>
    </row>
    <row r="341" spans="1:5" ht="12.75" hidden="1">
      <c r="A341" s="131">
        <v>99801086</v>
      </c>
      <c r="B341" s="7" t="s">
        <v>2197</v>
      </c>
      <c r="C341" s="7">
        <v>16.100000000000001</v>
      </c>
      <c r="D341" s="7">
        <v>450</v>
      </c>
      <c r="E341" s="7">
        <v>99801086</v>
      </c>
    </row>
    <row r="342" spans="1:5" ht="12.75" hidden="1">
      <c r="A342" s="131">
        <v>99801085</v>
      </c>
      <c r="B342" s="7" t="s">
        <v>2189</v>
      </c>
      <c r="C342" s="7">
        <v>16.2</v>
      </c>
      <c r="D342" s="7">
        <v>330</v>
      </c>
      <c r="E342" s="7">
        <v>99801085</v>
      </c>
    </row>
    <row r="343" spans="1:5" ht="12.75" hidden="1">
      <c r="A343" s="131">
        <v>99801086</v>
      </c>
      <c r="B343" s="7" t="s">
        <v>2197</v>
      </c>
      <c r="C343" s="7">
        <v>16.3</v>
      </c>
      <c r="D343" s="7">
        <v>450</v>
      </c>
      <c r="E343" s="7">
        <v>99801086</v>
      </c>
    </row>
    <row r="344" spans="1:5" ht="12.75">
      <c r="A344" s="131">
        <v>99801099</v>
      </c>
      <c r="B344" s="7" t="s">
        <v>2185</v>
      </c>
      <c r="C344" s="7">
        <v>16.399999999999999</v>
      </c>
      <c r="D344" s="7">
        <v>250</v>
      </c>
      <c r="E344" s="7">
        <v>99801099</v>
      </c>
    </row>
    <row r="345" spans="1:5" ht="12.75" hidden="1">
      <c r="A345" s="131">
        <v>99801313</v>
      </c>
      <c r="B345" s="7" t="s">
        <v>2183</v>
      </c>
      <c r="C345" s="7">
        <v>16.5</v>
      </c>
      <c r="D345" s="7">
        <v>150</v>
      </c>
      <c r="E345" s="7">
        <v>99801313</v>
      </c>
    </row>
    <row r="346" spans="1:5" ht="12.75" hidden="1">
      <c r="A346" s="131">
        <v>99801100</v>
      </c>
      <c r="B346" s="7" t="s">
        <v>2150</v>
      </c>
      <c r="C346" s="7">
        <v>16.5</v>
      </c>
      <c r="D346" s="7">
        <v>350</v>
      </c>
      <c r="E346" s="7">
        <v>99801100</v>
      </c>
    </row>
    <row r="347" spans="1:5" ht="12.75" hidden="1">
      <c r="A347" s="131">
        <v>99801101</v>
      </c>
      <c r="B347" s="7" t="s">
        <v>2149</v>
      </c>
      <c r="C347" s="7">
        <v>16.5</v>
      </c>
      <c r="D347" s="7">
        <v>350</v>
      </c>
      <c r="E347" s="7">
        <v>99801101</v>
      </c>
    </row>
    <row r="348" spans="1:5" ht="12.75" hidden="1">
      <c r="A348" s="131">
        <v>99801098</v>
      </c>
      <c r="B348" s="7" t="s">
        <v>2184</v>
      </c>
      <c r="C348" s="7">
        <v>16.600000000000001</v>
      </c>
      <c r="D348" s="7">
        <v>200</v>
      </c>
      <c r="E348" s="7">
        <v>99801098</v>
      </c>
    </row>
    <row r="349" spans="1:5" ht="12.75" hidden="1">
      <c r="A349" s="131">
        <v>99801313</v>
      </c>
      <c r="B349" s="7" t="s">
        <v>2183</v>
      </c>
      <c r="C349" s="7">
        <v>16.7</v>
      </c>
      <c r="D349" s="7">
        <v>150</v>
      </c>
      <c r="E349" s="7">
        <v>99801313</v>
      </c>
    </row>
    <row r="350" spans="1:5" ht="12.75" hidden="1">
      <c r="A350" s="131">
        <v>99801100</v>
      </c>
      <c r="B350" s="7" t="s">
        <v>2150</v>
      </c>
      <c r="C350" s="7">
        <v>16.7</v>
      </c>
      <c r="D350" s="7">
        <v>300</v>
      </c>
      <c r="E350" s="7">
        <v>99801100</v>
      </c>
    </row>
    <row r="351" spans="1:5" ht="12.75" hidden="1">
      <c r="A351" s="131">
        <v>99801310</v>
      </c>
      <c r="B351" s="7" t="s">
        <v>2186</v>
      </c>
      <c r="C351" s="7">
        <v>16.739999999999998</v>
      </c>
      <c r="D351" s="7">
        <v>125</v>
      </c>
      <c r="E351" s="7">
        <v>99801310</v>
      </c>
    </row>
    <row r="352" spans="1:5" ht="12.75">
      <c r="A352" s="131">
        <v>99801099</v>
      </c>
      <c r="B352" s="7" t="s">
        <v>2185</v>
      </c>
      <c r="C352" s="7">
        <v>16.8</v>
      </c>
      <c r="D352" s="7">
        <v>250</v>
      </c>
      <c r="E352" s="7">
        <v>99801099</v>
      </c>
    </row>
    <row r="353" spans="1:5" ht="12.75" hidden="1">
      <c r="A353" s="131">
        <v>99801101</v>
      </c>
      <c r="B353" s="7" t="s">
        <v>2149</v>
      </c>
      <c r="C353" s="7">
        <v>16.899999999999999</v>
      </c>
      <c r="D353" s="7">
        <v>350</v>
      </c>
      <c r="E353" s="7">
        <v>99801101</v>
      </c>
    </row>
    <row r="354" spans="1:5" ht="12.75" hidden="1">
      <c r="A354" s="131">
        <v>99801098</v>
      </c>
      <c r="B354" s="7" t="s">
        <v>2184</v>
      </c>
      <c r="C354" s="7">
        <v>17</v>
      </c>
      <c r="D354" s="7">
        <v>188</v>
      </c>
      <c r="E354" s="7">
        <v>99801098</v>
      </c>
    </row>
    <row r="355" spans="1:5" ht="12.75" hidden="1">
      <c r="A355" s="131">
        <v>99801099</v>
      </c>
      <c r="B355" s="7" t="s">
        <v>2185</v>
      </c>
      <c r="C355" s="7">
        <v>17</v>
      </c>
      <c r="D355" s="7">
        <v>225</v>
      </c>
      <c r="E355" s="7">
        <v>99801099</v>
      </c>
    </row>
    <row r="356" spans="1:5" ht="12.75" hidden="1">
      <c r="A356" s="131">
        <v>99801100</v>
      </c>
      <c r="B356" s="7" t="s">
        <v>2150</v>
      </c>
      <c r="C356" s="7">
        <v>17</v>
      </c>
      <c r="D356" s="7">
        <v>300</v>
      </c>
      <c r="E356" s="7">
        <v>99801100</v>
      </c>
    </row>
    <row r="357" spans="1:5" ht="12.75" hidden="1">
      <c r="A357" s="131">
        <v>99801085</v>
      </c>
      <c r="B357" s="7" t="s">
        <v>2189</v>
      </c>
      <c r="C357" s="7">
        <v>17</v>
      </c>
      <c r="D357" s="7">
        <v>400</v>
      </c>
      <c r="E357" s="7">
        <v>99801085</v>
      </c>
    </row>
    <row r="358" spans="1:5" ht="12.75" hidden="1">
      <c r="A358" s="131">
        <v>99801100</v>
      </c>
      <c r="B358" s="7" t="s">
        <v>2150</v>
      </c>
      <c r="C358" s="7">
        <v>17.100000000000001</v>
      </c>
      <c r="D358" s="7">
        <v>300</v>
      </c>
      <c r="E358" s="7">
        <v>99801100</v>
      </c>
    </row>
    <row r="359" spans="1:5" ht="12.75" hidden="1">
      <c r="A359" s="131">
        <v>99801313</v>
      </c>
      <c r="B359" s="7" t="s">
        <v>2183</v>
      </c>
      <c r="C359" s="7">
        <v>17.2</v>
      </c>
      <c r="D359" s="7">
        <v>154</v>
      </c>
      <c r="E359" s="7">
        <v>99801313</v>
      </c>
    </row>
    <row r="360" spans="1:5" ht="12.75" hidden="1">
      <c r="A360" s="131">
        <v>99801100</v>
      </c>
      <c r="B360" s="7" t="s">
        <v>2150</v>
      </c>
      <c r="C360" s="7">
        <v>17.239999999999998</v>
      </c>
      <c r="D360" s="7">
        <v>300</v>
      </c>
      <c r="E360" s="7">
        <v>99801100</v>
      </c>
    </row>
    <row r="361" spans="1:5" ht="12.75">
      <c r="A361" s="131">
        <v>99801099</v>
      </c>
      <c r="B361" s="7" t="s">
        <v>2185</v>
      </c>
      <c r="C361" s="7">
        <v>17.5</v>
      </c>
      <c r="D361" s="7">
        <v>250</v>
      </c>
      <c r="E361" s="7">
        <v>99801099</v>
      </c>
    </row>
    <row r="362" spans="1:5" ht="12.75" hidden="1">
      <c r="A362" s="131">
        <v>99801100</v>
      </c>
      <c r="B362" s="7" t="s">
        <v>2150</v>
      </c>
      <c r="C362" s="7">
        <v>17.510000000000002</v>
      </c>
      <c r="D362" s="7">
        <v>300</v>
      </c>
      <c r="E362" s="7">
        <v>99801100</v>
      </c>
    </row>
    <row r="363" spans="1:5" ht="12.75">
      <c r="A363" s="131">
        <v>99801099</v>
      </c>
      <c r="B363" s="7" t="s">
        <v>2185</v>
      </c>
      <c r="C363" s="7">
        <v>17.7</v>
      </c>
      <c r="D363" s="7">
        <v>250</v>
      </c>
      <c r="E363" s="7">
        <v>99801099</v>
      </c>
    </row>
    <row r="364" spans="1:5" ht="12.75" hidden="1">
      <c r="A364" s="131">
        <v>99801309</v>
      </c>
      <c r="B364" s="7" t="s">
        <v>2190</v>
      </c>
      <c r="C364" s="7">
        <v>17.899999999999999</v>
      </c>
      <c r="D364" s="7">
        <v>100</v>
      </c>
      <c r="E364" s="7">
        <v>99801309</v>
      </c>
    </row>
    <row r="365" spans="1:5" ht="12.75" hidden="1">
      <c r="A365" s="131">
        <v>99801314</v>
      </c>
      <c r="B365" s="7" t="s">
        <v>2188</v>
      </c>
      <c r="C365" s="7">
        <v>17.899999999999999</v>
      </c>
      <c r="D365" s="7">
        <v>200</v>
      </c>
      <c r="E365" s="7">
        <v>99801314</v>
      </c>
    </row>
    <row r="366" spans="1:5" ht="12.75" hidden="1">
      <c r="A366" s="131">
        <v>99801100</v>
      </c>
      <c r="B366" s="7" t="s">
        <v>2150</v>
      </c>
      <c r="C366" s="7">
        <v>17.899999999999999</v>
      </c>
      <c r="D366" s="7">
        <v>300</v>
      </c>
      <c r="E366" s="7">
        <v>99801100</v>
      </c>
    </row>
    <row r="367" spans="1:5" ht="12.75" hidden="1">
      <c r="A367" s="131">
        <v>99801101</v>
      </c>
      <c r="B367" s="7" t="s">
        <v>2149</v>
      </c>
      <c r="C367" s="7">
        <v>17.899999999999999</v>
      </c>
      <c r="D367" s="7">
        <v>400</v>
      </c>
      <c r="E367" s="7">
        <v>99801101</v>
      </c>
    </row>
    <row r="368" spans="1:5" ht="12.75" hidden="1">
      <c r="A368" s="131">
        <v>99801091</v>
      </c>
      <c r="B368" s="7" t="s">
        <v>2198</v>
      </c>
      <c r="C368" s="7">
        <v>17.899999999999999</v>
      </c>
      <c r="D368" s="7">
        <v>650</v>
      </c>
      <c r="E368" s="7">
        <v>99801091</v>
      </c>
    </row>
    <row r="369" spans="1:5" ht="12.75" hidden="1">
      <c r="A369" s="131">
        <v>99801336</v>
      </c>
      <c r="B369" s="7" t="s">
        <v>2199</v>
      </c>
      <c r="C369" s="7">
        <v>18</v>
      </c>
      <c r="D369" s="7">
        <v>150</v>
      </c>
      <c r="E369" s="7">
        <v>99801336</v>
      </c>
    </row>
    <row r="370" spans="1:5" ht="12.75" hidden="1">
      <c r="A370" s="131">
        <v>99801314</v>
      </c>
      <c r="B370" s="7" t="s">
        <v>2188</v>
      </c>
      <c r="C370" s="7">
        <v>18</v>
      </c>
      <c r="D370" s="7">
        <v>200</v>
      </c>
      <c r="E370" s="7">
        <v>99801314</v>
      </c>
    </row>
    <row r="371" spans="1:5" ht="12.75" hidden="1">
      <c r="A371" s="131">
        <v>99801317</v>
      </c>
      <c r="B371" s="7" t="s">
        <v>2193</v>
      </c>
      <c r="C371" s="7">
        <v>18</v>
      </c>
      <c r="D371" s="7">
        <v>300</v>
      </c>
      <c r="E371" s="7">
        <v>99801317</v>
      </c>
    </row>
    <row r="372" spans="1:5" ht="12.75" hidden="1">
      <c r="A372" s="131">
        <v>99801101</v>
      </c>
      <c r="B372" s="7" t="s">
        <v>2149</v>
      </c>
      <c r="C372" s="7">
        <v>18.100000000000001</v>
      </c>
      <c r="D372" s="7">
        <v>350</v>
      </c>
      <c r="E372" s="7">
        <v>99801101</v>
      </c>
    </row>
    <row r="373" spans="1:5" ht="12.75" hidden="1">
      <c r="A373" s="131">
        <v>99801100</v>
      </c>
      <c r="B373" s="7" t="s">
        <v>2150</v>
      </c>
      <c r="C373" s="7">
        <v>18.38</v>
      </c>
      <c r="D373" s="7">
        <v>300</v>
      </c>
      <c r="E373" s="7">
        <v>99801100</v>
      </c>
    </row>
    <row r="374" spans="1:5" ht="12.75" hidden="1">
      <c r="A374" s="131">
        <v>99801100</v>
      </c>
      <c r="B374" s="7" t="s">
        <v>2150</v>
      </c>
      <c r="C374" s="7">
        <v>18.399999999999999</v>
      </c>
      <c r="D374" s="7">
        <v>300</v>
      </c>
      <c r="E374" s="7">
        <v>99801100</v>
      </c>
    </row>
    <row r="375" spans="1:5" ht="12.75" hidden="1">
      <c r="A375" s="131">
        <v>99801310</v>
      </c>
      <c r="B375" s="7" t="s">
        <v>2186</v>
      </c>
      <c r="C375" s="7">
        <v>18.5</v>
      </c>
      <c r="D375" s="7">
        <v>125</v>
      </c>
      <c r="E375" s="7">
        <v>99801310</v>
      </c>
    </row>
    <row r="376" spans="1:5" ht="12.75" hidden="1">
      <c r="A376" s="131">
        <v>99801086</v>
      </c>
      <c r="B376" s="7" t="s">
        <v>2197</v>
      </c>
      <c r="C376" s="7">
        <v>18.7</v>
      </c>
      <c r="D376" s="7">
        <v>450</v>
      </c>
      <c r="E376" s="7">
        <v>99801086</v>
      </c>
    </row>
    <row r="377" spans="1:5" ht="12.75" hidden="1">
      <c r="A377" s="131">
        <v>99801314</v>
      </c>
      <c r="B377" s="7" t="s">
        <v>2188</v>
      </c>
      <c r="C377" s="7">
        <v>18.8</v>
      </c>
      <c r="D377" s="7">
        <v>200</v>
      </c>
      <c r="E377" s="7">
        <v>99801314</v>
      </c>
    </row>
    <row r="378" spans="1:5" ht="12.75">
      <c r="A378" s="131">
        <v>99801099</v>
      </c>
      <c r="B378" s="7" t="s">
        <v>2185</v>
      </c>
      <c r="C378" s="7">
        <v>18.8</v>
      </c>
      <c r="D378" s="7">
        <v>250</v>
      </c>
      <c r="E378" s="7">
        <v>99801099</v>
      </c>
    </row>
    <row r="379" spans="1:5" ht="12.75" hidden="1">
      <c r="A379" s="131">
        <v>99801086</v>
      </c>
      <c r="B379" s="7" t="s">
        <v>2197</v>
      </c>
      <c r="C379" s="7">
        <v>18.8</v>
      </c>
      <c r="D379" s="7">
        <v>450</v>
      </c>
      <c r="E379" s="7">
        <v>99801086</v>
      </c>
    </row>
    <row r="380" spans="1:5" ht="12.75" hidden="1">
      <c r="A380" s="131">
        <v>99801100</v>
      </c>
      <c r="B380" s="7" t="s">
        <v>2150</v>
      </c>
      <c r="C380" s="7">
        <v>18.899999999999999</v>
      </c>
      <c r="D380" s="7">
        <v>300</v>
      </c>
      <c r="E380" s="7">
        <v>99801100</v>
      </c>
    </row>
    <row r="381" spans="1:5" ht="12.75" hidden="1">
      <c r="A381" s="131">
        <v>99801317</v>
      </c>
      <c r="B381" s="7" t="s">
        <v>2193</v>
      </c>
      <c r="C381" s="7">
        <v>19</v>
      </c>
      <c r="D381" s="7">
        <v>300</v>
      </c>
      <c r="E381" s="7">
        <v>99801317</v>
      </c>
    </row>
    <row r="382" spans="1:5" ht="12.75" hidden="1">
      <c r="A382" s="131">
        <v>99801280</v>
      </c>
      <c r="B382" s="7" t="s">
        <v>2156</v>
      </c>
      <c r="C382" s="7">
        <v>19</v>
      </c>
      <c r="D382" s="7">
        <v>300</v>
      </c>
      <c r="E382" s="7">
        <v>99801280</v>
      </c>
    </row>
    <row r="383" spans="1:5" ht="12.75" hidden="1">
      <c r="A383" s="131">
        <v>99801101</v>
      </c>
      <c r="B383" s="7" t="s">
        <v>2149</v>
      </c>
      <c r="C383" s="7">
        <v>19</v>
      </c>
      <c r="D383" s="7">
        <v>400</v>
      </c>
      <c r="E383" s="7">
        <v>99801101</v>
      </c>
    </row>
    <row r="384" spans="1:5" ht="12.75">
      <c r="A384" s="131">
        <v>99801100</v>
      </c>
      <c r="B384" s="7" t="s">
        <v>2150</v>
      </c>
      <c r="C384" s="7">
        <v>19.07</v>
      </c>
      <c r="D384" s="7">
        <v>275</v>
      </c>
      <c r="E384" s="7">
        <v>99801100</v>
      </c>
    </row>
    <row r="385" spans="1:5" ht="12.75" hidden="1">
      <c r="A385" s="131">
        <v>99801086</v>
      </c>
      <c r="B385" s="7" t="s">
        <v>2197</v>
      </c>
      <c r="C385" s="7">
        <v>19.100000000000001</v>
      </c>
      <c r="D385" s="7">
        <v>410</v>
      </c>
      <c r="E385" s="7">
        <v>99801086</v>
      </c>
    </row>
    <row r="386" spans="1:5" ht="12.75" hidden="1">
      <c r="A386" s="131">
        <v>99801086</v>
      </c>
      <c r="B386" s="7" t="s">
        <v>2197</v>
      </c>
      <c r="C386" s="7">
        <v>19.100000000000001</v>
      </c>
      <c r="D386" s="7">
        <v>475</v>
      </c>
      <c r="E386" s="7">
        <v>99801086</v>
      </c>
    </row>
    <row r="387" spans="1:5" ht="12.75" hidden="1">
      <c r="A387" s="131">
        <v>99801100</v>
      </c>
      <c r="B387" s="7" t="s">
        <v>2150</v>
      </c>
      <c r="C387" s="7">
        <v>19.2</v>
      </c>
      <c r="D387" s="7">
        <v>300</v>
      </c>
      <c r="E387" s="7">
        <v>99801100</v>
      </c>
    </row>
    <row r="388" spans="1:5" ht="12.75" hidden="1">
      <c r="A388" s="131">
        <v>99801101</v>
      </c>
      <c r="B388" s="7" t="s">
        <v>2149</v>
      </c>
      <c r="C388" s="7">
        <v>19.2</v>
      </c>
      <c r="D388" s="7">
        <v>350</v>
      </c>
      <c r="E388" s="7">
        <v>99801101</v>
      </c>
    </row>
    <row r="389" spans="1:5" ht="12.75" hidden="1">
      <c r="A389" s="131">
        <v>99801086</v>
      </c>
      <c r="B389" s="7" t="s">
        <v>2197</v>
      </c>
      <c r="C389" s="7">
        <v>19.329999999999998</v>
      </c>
      <c r="D389" s="7">
        <v>400</v>
      </c>
      <c r="E389" s="7">
        <v>99801086</v>
      </c>
    </row>
    <row r="390" spans="1:5" ht="12.75" hidden="1">
      <c r="A390" s="131">
        <v>99801316</v>
      </c>
      <c r="B390" s="7" t="s">
        <v>2187</v>
      </c>
      <c r="C390" s="7">
        <v>19.399999999999999</v>
      </c>
      <c r="D390" s="7">
        <v>220</v>
      </c>
      <c r="E390" s="7">
        <v>99801316</v>
      </c>
    </row>
    <row r="391" spans="1:5" ht="12.75" hidden="1">
      <c r="A391" s="131">
        <v>99801099</v>
      </c>
      <c r="B391" s="7" t="s">
        <v>2185</v>
      </c>
      <c r="C391" s="7">
        <v>19.399999999999999</v>
      </c>
      <c r="D391" s="7">
        <v>230</v>
      </c>
      <c r="E391" s="7">
        <v>99801099</v>
      </c>
    </row>
    <row r="392" spans="1:5" ht="12.75" hidden="1">
      <c r="A392" s="131">
        <v>99801336</v>
      </c>
      <c r="B392" s="7" t="s">
        <v>2199</v>
      </c>
      <c r="C392" s="7">
        <v>19.41</v>
      </c>
      <c r="D392" s="7">
        <v>150</v>
      </c>
      <c r="E392" s="7">
        <v>99801336</v>
      </c>
    </row>
    <row r="393" spans="1:5" ht="12.75" hidden="1">
      <c r="A393" s="131">
        <v>99801336</v>
      </c>
      <c r="B393" s="7" t="s">
        <v>2199</v>
      </c>
      <c r="C393" s="7">
        <v>19.41</v>
      </c>
      <c r="D393" s="7">
        <v>150</v>
      </c>
      <c r="E393" s="7">
        <v>99801336</v>
      </c>
    </row>
    <row r="394" spans="1:5" ht="12.75" hidden="1">
      <c r="A394" s="131">
        <v>99801314</v>
      </c>
      <c r="B394" s="7" t="s">
        <v>2188</v>
      </c>
      <c r="C394" s="7">
        <v>19.600000000000001</v>
      </c>
      <c r="D394" s="7">
        <v>200</v>
      </c>
      <c r="E394" s="7">
        <v>99801314</v>
      </c>
    </row>
    <row r="395" spans="1:5" ht="12.75" hidden="1">
      <c r="A395" s="131">
        <v>99801101</v>
      </c>
      <c r="B395" s="7" t="s">
        <v>2149</v>
      </c>
      <c r="C395" s="7">
        <v>19.8</v>
      </c>
      <c r="D395" s="7">
        <v>350</v>
      </c>
      <c r="E395" s="7">
        <v>99801101</v>
      </c>
    </row>
    <row r="396" spans="1:5" ht="12.75" hidden="1">
      <c r="A396" s="131">
        <v>99801310</v>
      </c>
      <c r="B396" s="7" t="s">
        <v>2186</v>
      </c>
      <c r="C396" s="7">
        <v>19.899999999999999</v>
      </c>
      <c r="D396" s="7">
        <v>120</v>
      </c>
      <c r="E396" s="7">
        <v>99801310</v>
      </c>
    </row>
    <row r="397" spans="1:5" ht="12.75" hidden="1">
      <c r="A397" s="131">
        <v>99801314</v>
      </c>
      <c r="B397" s="7" t="s">
        <v>2188</v>
      </c>
      <c r="C397" s="7">
        <v>19.899999999999999</v>
      </c>
      <c r="D397" s="7">
        <v>197</v>
      </c>
      <c r="E397" s="7">
        <v>99801314</v>
      </c>
    </row>
    <row r="398" spans="1:5" ht="12.75" hidden="1">
      <c r="A398" s="131">
        <v>99801116</v>
      </c>
      <c r="B398" s="7" t="s">
        <v>2200</v>
      </c>
      <c r="C398" s="7">
        <v>19.899999999999999</v>
      </c>
      <c r="D398" s="7">
        <v>210</v>
      </c>
      <c r="E398" s="7">
        <v>99801116</v>
      </c>
    </row>
    <row r="399" spans="1:5" ht="12.75" hidden="1">
      <c r="A399" s="131">
        <v>99801310</v>
      </c>
      <c r="B399" s="7" t="s">
        <v>2186</v>
      </c>
      <c r="C399" s="7">
        <v>20</v>
      </c>
      <c r="D399" s="7">
        <v>110</v>
      </c>
      <c r="E399" s="7">
        <v>99801310</v>
      </c>
    </row>
    <row r="400" spans="1:5" ht="12.75" hidden="1">
      <c r="A400" s="131">
        <v>99801310</v>
      </c>
      <c r="B400" s="7" t="s">
        <v>2186</v>
      </c>
      <c r="C400" s="7">
        <v>20</v>
      </c>
      <c r="D400" s="7">
        <v>120</v>
      </c>
      <c r="E400" s="7">
        <v>99801310</v>
      </c>
    </row>
    <row r="401" spans="1:5" ht="12.75" hidden="1">
      <c r="A401" s="131">
        <v>99817805</v>
      </c>
      <c r="B401" s="7" t="s">
        <v>2201</v>
      </c>
      <c r="C401" s="7">
        <v>20</v>
      </c>
      <c r="D401" s="7">
        <v>180</v>
      </c>
      <c r="E401" s="7">
        <v>99817805</v>
      </c>
    </row>
    <row r="402" spans="1:5" ht="12.75" hidden="1">
      <c r="A402" s="131">
        <v>99801314</v>
      </c>
      <c r="B402" s="7" t="s">
        <v>2188</v>
      </c>
      <c r="C402" s="7">
        <v>20</v>
      </c>
      <c r="D402" s="7">
        <v>200</v>
      </c>
      <c r="E402" s="7">
        <v>99801314</v>
      </c>
    </row>
    <row r="403" spans="1:5" ht="12.75" hidden="1">
      <c r="A403" s="131">
        <v>99801117</v>
      </c>
      <c r="B403" s="7" t="s">
        <v>2202</v>
      </c>
      <c r="C403" s="7">
        <v>20</v>
      </c>
      <c r="D403" s="7">
        <v>200</v>
      </c>
      <c r="E403" s="7">
        <v>99801117</v>
      </c>
    </row>
    <row r="404" spans="1:5" ht="12.75">
      <c r="A404" s="131">
        <v>99801100</v>
      </c>
      <c r="B404" s="7" t="s">
        <v>2150</v>
      </c>
      <c r="C404" s="7">
        <v>20</v>
      </c>
      <c r="D404" s="7">
        <v>250</v>
      </c>
      <c r="E404" s="7">
        <v>99801100</v>
      </c>
    </row>
    <row r="405" spans="1:5" ht="12.75" hidden="1">
      <c r="A405" s="131">
        <v>99801100</v>
      </c>
      <c r="B405" s="7" t="s">
        <v>2150</v>
      </c>
      <c r="C405" s="7">
        <v>20</v>
      </c>
      <c r="D405" s="7">
        <v>300</v>
      </c>
      <c r="E405" s="7">
        <v>99801100</v>
      </c>
    </row>
    <row r="406" spans="1:5" ht="12.75" hidden="1">
      <c r="A406" s="131">
        <v>99801318</v>
      </c>
      <c r="B406" s="7" t="s">
        <v>2203</v>
      </c>
      <c r="C406" s="7">
        <v>20</v>
      </c>
      <c r="D406" s="7">
        <v>310</v>
      </c>
      <c r="E406" s="7">
        <v>99801318</v>
      </c>
    </row>
    <row r="407" spans="1:5" ht="12.75" hidden="1">
      <c r="A407" s="131">
        <v>99801100</v>
      </c>
      <c r="B407" s="7" t="s">
        <v>2150</v>
      </c>
      <c r="C407" s="7">
        <v>20</v>
      </c>
      <c r="D407" s="7">
        <v>310</v>
      </c>
      <c r="E407" s="7">
        <v>99801100</v>
      </c>
    </row>
    <row r="408" spans="1:5" ht="12.75" hidden="1">
      <c r="A408" s="131">
        <v>99801334</v>
      </c>
      <c r="B408" s="7" t="s">
        <v>2204</v>
      </c>
      <c r="C408" s="7">
        <v>20.329999999999998</v>
      </c>
      <c r="D408" s="7">
        <v>138</v>
      </c>
      <c r="E408" s="7">
        <v>99801334</v>
      </c>
    </row>
    <row r="409" spans="1:5" ht="12.75" hidden="1">
      <c r="A409" s="131">
        <v>99817805</v>
      </c>
      <c r="B409" s="7" t="s">
        <v>2201</v>
      </c>
      <c r="C409" s="7">
        <v>20.329999999999998</v>
      </c>
      <c r="D409" s="7">
        <v>148</v>
      </c>
      <c r="E409" s="7">
        <v>99817805</v>
      </c>
    </row>
    <row r="410" spans="1:5" ht="12.75" hidden="1">
      <c r="A410" s="131">
        <v>99801100</v>
      </c>
      <c r="B410" s="7" t="s">
        <v>2150</v>
      </c>
      <c r="C410" s="7">
        <v>20.5</v>
      </c>
      <c r="D410" s="7">
        <v>325</v>
      </c>
      <c r="E410" s="7">
        <v>99801100</v>
      </c>
    </row>
    <row r="411" spans="1:5" ht="12.75" hidden="1">
      <c r="A411" s="131">
        <v>99801101</v>
      </c>
      <c r="B411" s="7" t="s">
        <v>2149</v>
      </c>
      <c r="C411" s="7">
        <v>20.5</v>
      </c>
      <c r="D411" s="7">
        <v>350</v>
      </c>
      <c r="E411" s="7">
        <v>99801101</v>
      </c>
    </row>
    <row r="412" spans="1:5" ht="12.75" hidden="1">
      <c r="A412" s="131">
        <v>99817805</v>
      </c>
      <c r="B412" s="7" t="s">
        <v>2201</v>
      </c>
      <c r="C412" s="7">
        <v>20.57</v>
      </c>
      <c r="D412" s="7">
        <v>170</v>
      </c>
      <c r="E412" s="7">
        <v>99817805</v>
      </c>
    </row>
    <row r="413" spans="1:5" ht="12.75" hidden="1">
      <c r="A413" s="131">
        <v>99801117</v>
      </c>
      <c r="B413" s="7" t="s">
        <v>2202</v>
      </c>
      <c r="C413" s="7">
        <v>20.57</v>
      </c>
      <c r="D413" s="7">
        <v>240</v>
      </c>
      <c r="E413" s="7">
        <v>99801117</v>
      </c>
    </row>
    <row r="414" spans="1:5" ht="12.75" hidden="1">
      <c r="A414" s="131">
        <v>99801338</v>
      </c>
      <c r="B414" s="7" t="s">
        <v>2205</v>
      </c>
      <c r="C414" s="7">
        <v>20.57</v>
      </c>
      <c r="D414" s="7">
        <v>240</v>
      </c>
      <c r="E414" s="7">
        <v>99801338</v>
      </c>
    </row>
    <row r="415" spans="1:5" ht="12.75" hidden="1">
      <c r="A415" s="131">
        <v>99801100</v>
      </c>
      <c r="B415" s="7" t="s">
        <v>2150</v>
      </c>
      <c r="C415" s="7">
        <v>20.8</v>
      </c>
      <c r="D415" s="7">
        <v>300</v>
      </c>
      <c r="E415" s="7">
        <v>99801100</v>
      </c>
    </row>
    <row r="416" spans="1:5" ht="12.75" hidden="1">
      <c r="A416" s="131">
        <v>99801101</v>
      </c>
      <c r="B416" s="7" t="s">
        <v>2149</v>
      </c>
      <c r="C416" s="7">
        <v>20.83</v>
      </c>
      <c r="D416" s="7">
        <v>350</v>
      </c>
      <c r="E416" s="7">
        <v>99801101</v>
      </c>
    </row>
    <row r="417" spans="1:5" ht="12.75" hidden="1">
      <c r="A417" s="131">
        <v>99801336</v>
      </c>
      <c r="B417" s="7" t="s">
        <v>2199</v>
      </c>
      <c r="C417" s="7">
        <v>21</v>
      </c>
      <c r="D417" s="7">
        <v>150</v>
      </c>
      <c r="E417" s="7">
        <v>99801336</v>
      </c>
    </row>
    <row r="418" spans="1:5" ht="12.75" hidden="1">
      <c r="A418" s="131">
        <v>99801100</v>
      </c>
      <c r="B418" s="7" t="s">
        <v>2150</v>
      </c>
      <c r="C418" s="7">
        <v>21</v>
      </c>
      <c r="D418" s="7">
        <v>150</v>
      </c>
      <c r="E418" s="7">
        <v>99801100</v>
      </c>
    </row>
    <row r="419" spans="1:5" ht="12.75" hidden="1">
      <c r="A419" s="131">
        <v>99801314</v>
      </c>
      <c r="B419" s="7" t="s">
        <v>2188</v>
      </c>
      <c r="C419" s="7">
        <v>21</v>
      </c>
      <c r="D419" s="7">
        <v>200</v>
      </c>
      <c r="E419" s="7">
        <v>99801314</v>
      </c>
    </row>
    <row r="420" spans="1:5" ht="12.75">
      <c r="A420" s="131">
        <v>99801117</v>
      </c>
      <c r="B420" s="7" t="s">
        <v>2202</v>
      </c>
      <c r="C420" s="7">
        <v>21</v>
      </c>
      <c r="D420" s="7">
        <v>250</v>
      </c>
      <c r="E420" s="7">
        <v>99801117</v>
      </c>
    </row>
    <row r="421" spans="1:5" ht="12.75">
      <c r="A421" s="131">
        <v>99801100</v>
      </c>
      <c r="B421" s="7" t="s">
        <v>2150</v>
      </c>
      <c r="C421" s="7">
        <v>21</v>
      </c>
      <c r="D421" s="7">
        <v>280</v>
      </c>
      <c r="E421" s="7">
        <v>99801100</v>
      </c>
    </row>
    <row r="422" spans="1:5" ht="12.75" hidden="1">
      <c r="A422" s="131">
        <v>99801100</v>
      </c>
      <c r="B422" s="7" t="s">
        <v>2150</v>
      </c>
      <c r="C422" s="7">
        <v>21</v>
      </c>
      <c r="D422" s="7">
        <v>300</v>
      </c>
      <c r="E422" s="7">
        <v>99801100</v>
      </c>
    </row>
    <row r="423" spans="1:5" ht="12.75" hidden="1">
      <c r="A423" s="131">
        <v>99801087</v>
      </c>
      <c r="B423" s="7" t="s">
        <v>2196</v>
      </c>
      <c r="C423" s="7">
        <v>21</v>
      </c>
      <c r="D423" s="7">
        <v>450</v>
      </c>
      <c r="E423" s="7">
        <v>99801087</v>
      </c>
    </row>
    <row r="424" spans="1:5" ht="12.75" hidden="1">
      <c r="A424" s="131">
        <v>99801336</v>
      </c>
      <c r="B424" s="7" t="s">
        <v>2199</v>
      </c>
      <c r="C424" s="7">
        <v>21.09</v>
      </c>
      <c r="D424" s="7">
        <v>150</v>
      </c>
      <c r="E424" s="7">
        <v>99801336</v>
      </c>
    </row>
    <row r="425" spans="1:5" ht="12.75" hidden="1">
      <c r="A425" s="131">
        <v>99801100</v>
      </c>
      <c r="B425" s="7" t="s">
        <v>2150</v>
      </c>
      <c r="C425" s="7">
        <v>21.1</v>
      </c>
      <c r="D425" s="7">
        <v>300</v>
      </c>
      <c r="E425" s="7">
        <v>99801100</v>
      </c>
    </row>
    <row r="426" spans="1:5" ht="12.75" hidden="1">
      <c r="A426" s="131">
        <v>99801101</v>
      </c>
      <c r="B426" s="7" t="s">
        <v>2149</v>
      </c>
      <c r="C426" s="7">
        <v>21.1</v>
      </c>
      <c r="D426" s="7">
        <v>300</v>
      </c>
      <c r="E426" s="7">
        <v>99801101</v>
      </c>
    </row>
    <row r="427" spans="1:5" ht="12.75" hidden="1">
      <c r="A427" s="131">
        <v>99801116</v>
      </c>
      <c r="B427" s="7" t="s">
        <v>2200</v>
      </c>
      <c r="C427" s="7">
        <v>21.2</v>
      </c>
      <c r="D427" s="7">
        <v>200</v>
      </c>
      <c r="E427" s="7">
        <v>99801116</v>
      </c>
    </row>
    <row r="428" spans="1:5" ht="12.75" hidden="1">
      <c r="A428" s="131">
        <v>99801117</v>
      </c>
      <c r="B428" s="7" t="s">
        <v>2202</v>
      </c>
      <c r="C428" s="7">
        <v>21.2</v>
      </c>
      <c r="D428" s="7">
        <v>200</v>
      </c>
      <c r="E428" s="7">
        <v>99801117</v>
      </c>
    </row>
    <row r="429" spans="1:5" ht="12.75" hidden="1">
      <c r="A429" s="131">
        <v>99801099</v>
      </c>
      <c r="B429" s="7" t="s">
        <v>2185</v>
      </c>
      <c r="C429" s="7">
        <v>21.2</v>
      </c>
      <c r="D429" s="7">
        <v>200</v>
      </c>
      <c r="E429" s="7">
        <v>99801099</v>
      </c>
    </row>
    <row r="430" spans="1:5" ht="12.75" hidden="1">
      <c r="A430" s="131">
        <v>99801116</v>
      </c>
      <c r="B430" s="7" t="s">
        <v>2200</v>
      </c>
      <c r="C430" s="7">
        <v>21.2</v>
      </c>
      <c r="D430" s="7">
        <v>205</v>
      </c>
      <c r="E430" s="7">
        <v>99801116</v>
      </c>
    </row>
    <row r="431" spans="1:5" ht="12.75">
      <c r="A431" s="131">
        <v>99801117</v>
      </c>
      <c r="B431" s="7" t="s">
        <v>2202</v>
      </c>
      <c r="C431" s="7">
        <v>21.2</v>
      </c>
      <c r="D431" s="7">
        <v>250</v>
      </c>
      <c r="E431" s="7">
        <v>99801117</v>
      </c>
    </row>
    <row r="432" spans="1:5" ht="12.75">
      <c r="A432" s="131">
        <v>99801125</v>
      </c>
      <c r="B432" s="7" t="s">
        <v>2206</v>
      </c>
      <c r="C432" s="7">
        <v>21.2</v>
      </c>
      <c r="D432" s="7">
        <v>250</v>
      </c>
      <c r="E432" s="7">
        <v>99801125</v>
      </c>
    </row>
    <row r="433" spans="1:5" ht="12.75" hidden="1">
      <c r="A433" s="131">
        <v>99801116</v>
      </c>
      <c r="B433" s="7" t="s">
        <v>2200</v>
      </c>
      <c r="C433" s="7">
        <v>21.34</v>
      </c>
      <c r="D433" s="7">
        <v>200</v>
      </c>
      <c r="E433" s="7">
        <v>99801116</v>
      </c>
    </row>
    <row r="434" spans="1:5" ht="12.75" hidden="1">
      <c r="A434" s="131">
        <v>99801116</v>
      </c>
      <c r="B434" s="7" t="s">
        <v>2200</v>
      </c>
      <c r="C434" s="7">
        <v>21.34</v>
      </c>
      <c r="D434" s="7">
        <v>200</v>
      </c>
      <c r="E434" s="7">
        <v>99801116</v>
      </c>
    </row>
    <row r="435" spans="1:5" ht="12.75" hidden="1">
      <c r="A435" s="131">
        <v>99801099</v>
      </c>
      <c r="B435" s="7" t="s">
        <v>2185</v>
      </c>
      <c r="C435" s="7">
        <v>21.4</v>
      </c>
      <c r="D435" s="7">
        <v>200</v>
      </c>
      <c r="E435" s="7">
        <v>99801099</v>
      </c>
    </row>
    <row r="436" spans="1:5" ht="12.75">
      <c r="A436" s="131">
        <v>99801317</v>
      </c>
      <c r="B436" s="7" t="s">
        <v>2193</v>
      </c>
      <c r="C436" s="7">
        <v>21.4</v>
      </c>
      <c r="D436" s="7">
        <v>255</v>
      </c>
      <c r="E436" s="7">
        <v>99801317</v>
      </c>
    </row>
    <row r="437" spans="1:5" ht="12.75">
      <c r="A437" s="131">
        <v>99801117</v>
      </c>
      <c r="B437" s="7" t="s">
        <v>2202</v>
      </c>
      <c r="C437" s="7">
        <v>21.4</v>
      </c>
      <c r="D437" s="7">
        <v>255</v>
      </c>
      <c r="E437" s="7">
        <v>99801117</v>
      </c>
    </row>
    <row r="438" spans="1:5" ht="12.75" hidden="1">
      <c r="A438" s="131">
        <v>99801086</v>
      </c>
      <c r="B438" s="7" t="s">
        <v>2197</v>
      </c>
      <c r="C438" s="7">
        <v>21.5</v>
      </c>
      <c r="D438" s="7">
        <v>400</v>
      </c>
      <c r="E438" s="7">
        <v>99801086</v>
      </c>
    </row>
    <row r="439" spans="1:5" ht="12.75" hidden="1">
      <c r="A439" s="131">
        <v>99801117</v>
      </c>
      <c r="B439" s="7" t="s">
        <v>2202</v>
      </c>
      <c r="C439" s="7">
        <v>21.53</v>
      </c>
      <c r="D439" s="7">
        <v>240</v>
      </c>
      <c r="E439" s="7">
        <v>99801117</v>
      </c>
    </row>
    <row r="440" spans="1:5" ht="12.75" hidden="1">
      <c r="A440" s="131">
        <v>99817805</v>
      </c>
      <c r="B440" s="7" t="s">
        <v>2201</v>
      </c>
      <c r="C440" s="7">
        <v>21.6</v>
      </c>
      <c r="D440" s="7">
        <v>200</v>
      </c>
      <c r="E440" s="7">
        <v>99817805</v>
      </c>
    </row>
    <row r="441" spans="1:5" ht="12.75" hidden="1">
      <c r="A441" s="131">
        <v>99801100</v>
      </c>
      <c r="B441" s="7" t="s">
        <v>2150</v>
      </c>
      <c r="C441" s="7">
        <v>21.8</v>
      </c>
      <c r="D441" s="7">
        <v>300</v>
      </c>
      <c r="E441" s="7">
        <v>99801100</v>
      </c>
    </row>
    <row r="442" spans="1:5" ht="12.75">
      <c r="A442" s="131">
        <v>99801117</v>
      </c>
      <c r="B442" s="7" t="s">
        <v>2202</v>
      </c>
      <c r="C442" s="7">
        <v>21.99</v>
      </c>
      <c r="D442" s="7">
        <v>250</v>
      </c>
      <c r="E442" s="7">
        <v>99801117</v>
      </c>
    </row>
    <row r="443" spans="1:5" ht="12.75">
      <c r="A443" s="131">
        <v>99801117</v>
      </c>
      <c r="B443" s="7" t="s">
        <v>2202</v>
      </c>
      <c r="C443" s="7">
        <v>22</v>
      </c>
      <c r="D443" s="7">
        <v>250</v>
      </c>
      <c r="E443" s="7">
        <v>99801117</v>
      </c>
    </row>
    <row r="444" spans="1:5" ht="12.75">
      <c r="A444" s="131">
        <v>99801317</v>
      </c>
      <c r="B444" s="7" t="s">
        <v>2193</v>
      </c>
      <c r="C444" s="7">
        <v>22</v>
      </c>
      <c r="D444" s="7">
        <v>260</v>
      </c>
      <c r="E444" s="7">
        <v>99801317</v>
      </c>
    </row>
    <row r="445" spans="1:5" ht="12.75">
      <c r="A445" s="131">
        <v>99801117</v>
      </c>
      <c r="B445" s="7" t="s">
        <v>2202</v>
      </c>
      <c r="C445" s="7">
        <v>22</v>
      </c>
      <c r="D445" s="7">
        <v>260</v>
      </c>
      <c r="E445" s="7">
        <v>99801117</v>
      </c>
    </row>
    <row r="446" spans="1:5" ht="12.75" hidden="1">
      <c r="A446" s="131">
        <v>99801101</v>
      </c>
      <c r="B446" s="7" t="s">
        <v>2149</v>
      </c>
      <c r="C446" s="7">
        <v>22</v>
      </c>
      <c r="D446" s="7">
        <v>340</v>
      </c>
      <c r="E446" s="7">
        <v>99801101</v>
      </c>
    </row>
    <row r="447" spans="1:5" ht="12.75" hidden="1">
      <c r="A447" s="131">
        <v>99801101</v>
      </c>
      <c r="B447" s="7" t="s">
        <v>2149</v>
      </c>
      <c r="C447" s="7">
        <v>22</v>
      </c>
      <c r="D447" s="7">
        <v>350</v>
      </c>
      <c r="E447" s="7">
        <v>99801101</v>
      </c>
    </row>
    <row r="448" spans="1:5" ht="12.75" hidden="1">
      <c r="A448" s="131">
        <v>99801104</v>
      </c>
      <c r="B448" s="7" t="s">
        <v>2207</v>
      </c>
      <c r="C448" s="7">
        <v>22.04</v>
      </c>
      <c r="D448" s="7">
        <v>400</v>
      </c>
      <c r="E448" s="7">
        <v>99801104</v>
      </c>
    </row>
    <row r="449" spans="1:5" ht="12.75" hidden="1">
      <c r="A449" s="131">
        <v>99817805</v>
      </c>
      <c r="B449" s="7" t="s">
        <v>2201</v>
      </c>
      <c r="C449" s="7">
        <v>22.1</v>
      </c>
      <c r="D449" s="7">
        <v>155</v>
      </c>
      <c r="E449" s="7">
        <v>99817805</v>
      </c>
    </row>
    <row r="450" spans="1:5" ht="12.75" hidden="1">
      <c r="A450" s="131">
        <v>99801336</v>
      </c>
      <c r="B450" s="7" t="s">
        <v>2199</v>
      </c>
      <c r="C450" s="7">
        <v>22.18</v>
      </c>
      <c r="D450" s="7">
        <v>150</v>
      </c>
      <c r="E450" s="7">
        <v>99801336</v>
      </c>
    </row>
    <row r="451" spans="1:5" ht="12.75" hidden="1">
      <c r="A451" s="131">
        <v>99801336</v>
      </c>
      <c r="B451" s="7" t="s">
        <v>2199</v>
      </c>
      <c r="C451" s="7">
        <v>22.18</v>
      </c>
      <c r="D451" s="7">
        <v>150</v>
      </c>
      <c r="E451" s="7">
        <v>99801336</v>
      </c>
    </row>
    <row r="452" spans="1:5" ht="12.75" hidden="1">
      <c r="A452" s="131">
        <v>99801336</v>
      </c>
      <c r="B452" s="7" t="s">
        <v>2199</v>
      </c>
      <c r="C452" s="7">
        <v>22.4</v>
      </c>
      <c r="D452" s="7">
        <v>150</v>
      </c>
      <c r="E452" s="7">
        <v>99801336</v>
      </c>
    </row>
    <row r="453" spans="1:5" ht="12.75" hidden="1">
      <c r="A453" s="131">
        <v>99801086</v>
      </c>
      <c r="B453" s="7" t="s">
        <v>2197</v>
      </c>
      <c r="C453" s="7">
        <v>22.4</v>
      </c>
      <c r="D453" s="7">
        <v>450</v>
      </c>
      <c r="E453" s="7">
        <v>99801086</v>
      </c>
    </row>
    <row r="454" spans="1:5" ht="12.75" hidden="1">
      <c r="A454" s="131">
        <v>99801334</v>
      </c>
      <c r="B454" s="7" t="s">
        <v>2204</v>
      </c>
      <c r="C454" s="7">
        <v>22.57</v>
      </c>
      <c r="D454" s="7">
        <v>150</v>
      </c>
      <c r="E454" s="7">
        <v>99801334</v>
      </c>
    </row>
    <row r="455" spans="1:5" ht="12.75">
      <c r="A455" s="131">
        <v>99801117</v>
      </c>
      <c r="B455" s="7" t="s">
        <v>2202</v>
      </c>
      <c r="C455" s="7">
        <v>22.6</v>
      </c>
      <c r="D455" s="7">
        <v>250</v>
      </c>
      <c r="E455" s="7">
        <v>99801117</v>
      </c>
    </row>
    <row r="456" spans="1:5" ht="12.75" hidden="1">
      <c r="A456" s="131">
        <v>99801087</v>
      </c>
      <c r="B456" s="7" t="s">
        <v>2196</v>
      </c>
      <c r="C456" s="7">
        <v>22.6</v>
      </c>
      <c r="D456" s="7">
        <v>400</v>
      </c>
      <c r="E456" s="7">
        <v>99801087</v>
      </c>
    </row>
    <row r="457" spans="1:5" ht="12.75" hidden="1">
      <c r="A457" s="131">
        <v>99801116</v>
      </c>
      <c r="B457" s="7" t="s">
        <v>2200</v>
      </c>
      <c r="C457" s="7">
        <v>22.8</v>
      </c>
      <c r="D457" s="7">
        <v>200</v>
      </c>
      <c r="E457" s="7">
        <v>99801116</v>
      </c>
    </row>
    <row r="458" spans="1:5" ht="12.75" hidden="1">
      <c r="A458" s="131">
        <v>99801336</v>
      </c>
      <c r="B458" s="7" t="s">
        <v>2199</v>
      </c>
      <c r="C458" s="7">
        <v>23</v>
      </c>
      <c r="D458" s="7">
        <v>150</v>
      </c>
      <c r="E458" s="7">
        <v>99801336</v>
      </c>
    </row>
    <row r="459" spans="1:5" ht="12.75">
      <c r="A459" s="131">
        <v>99801117</v>
      </c>
      <c r="B459" s="7" t="s">
        <v>2202</v>
      </c>
      <c r="C459" s="7">
        <v>23</v>
      </c>
      <c r="D459" s="7">
        <v>250</v>
      </c>
      <c r="E459" s="7">
        <v>99801117</v>
      </c>
    </row>
    <row r="460" spans="1:5" ht="12.75">
      <c r="A460" s="131">
        <v>99801100</v>
      </c>
      <c r="B460" s="7" t="s">
        <v>2150</v>
      </c>
      <c r="C460" s="7">
        <v>23</v>
      </c>
      <c r="D460" s="7">
        <v>262</v>
      </c>
      <c r="E460" s="7">
        <v>99801100</v>
      </c>
    </row>
    <row r="461" spans="1:5" ht="12.75" hidden="1">
      <c r="A461" s="131">
        <v>99801103</v>
      </c>
      <c r="B461" s="7" t="s">
        <v>2208</v>
      </c>
      <c r="C461" s="7">
        <v>23</v>
      </c>
      <c r="D461" s="7">
        <v>300</v>
      </c>
      <c r="E461" s="7">
        <v>99801103</v>
      </c>
    </row>
    <row r="462" spans="1:5" ht="12.75" hidden="1">
      <c r="A462" s="131">
        <v>99801344</v>
      </c>
      <c r="B462" s="7" t="s">
        <v>2209</v>
      </c>
      <c r="C462" s="7">
        <v>23</v>
      </c>
      <c r="D462" s="7">
        <v>450</v>
      </c>
      <c r="E462" s="7">
        <v>99801344</v>
      </c>
    </row>
    <row r="463" spans="1:5" ht="12.75" hidden="1">
      <c r="A463" s="131">
        <v>99801087</v>
      </c>
      <c r="B463" s="7" t="s">
        <v>2196</v>
      </c>
      <c r="C463" s="7">
        <v>23</v>
      </c>
      <c r="D463" s="7">
        <v>450</v>
      </c>
      <c r="E463" s="7">
        <v>99801087</v>
      </c>
    </row>
    <row r="464" spans="1:5" ht="12.75" hidden="1">
      <c r="A464" s="131">
        <v>99801100</v>
      </c>
      <c r="B464" s="7" t="s">
        <v>2150</v>
      </c>
      <c r="C464" s="7">
        <v>23.1</v>
      </c>
      <c r="D464" s="7">
        <v>300</v>
      </c>
      <c r="E464" s="7">
        <v>99801100</v>
      </c>
    </row>
    <row r="465" spans="1:5" ht="12.75" hidden="1">
      <c r="A465" s="131">
        <v>99801087</v>
      </c>
      <c r="B465" s="7" t="s">
        <v>2196</v>
      </c>
      <c r="C465" s="7">
        <v>23.1</v>
      </c>
      <c r="D465" s="7">
        <v>450</v>
      </c>
      <c r="E465" s="7">
        <v>99801087</v>
      </c>
    </row>
    <row r="466" spans="1:5" ht="12.75" hidden="1">
      <c r="A466" s="131">
        <v>99801087</v>
      </c>
      <c r="B466" s="7" t="s">
        <v>2196</v>
      </c>
      <c r="C466" s="7">
        <v>23.2</v>
      </c>
      <c r="D466" s="7">
        <v>440</v>
      </c>
      <c r="E466" s="7">
        <v>99801087</v>
      </c>
    </row>
    <row r="467" spans="1:5" ht="12.75" hidden="1">
      <c r="A467" s="131">
        <v>99801086</v>
      </c>
      <c r="B467" s="7" t="s">
        <v>2197</v>
      </c>
      <c r="C467" s="7">
        <v>23.3</v>
      </c>
      <c r="D467" s="7">
        <v>400</v>
      </c>
      <c r="E467" s="7">
        <v>99801086</v>
      </c>
    </row>
    <row r="468" spans="1:5" ht="12.75">
      <c r="A468" s="131">
        <v>99801117</v>
      </c>
      <c r="B468" s="7" t="s">
        <v>2202</v>
      </c>
      <c r="C468" s="7">
        <v>23.4</v>
      </c>
      <c r="D468" s="7">
        <v>250</v>
      </c>
      <c r="E468" s="7">
        <v>99801117</v>
      </c>
    </row>
    <row r="469" spans="1:5" ht="12.75" hidden="1">
      <c r="A469" s="131">
        <v>99801102</v>
      </c>
      <c r="B469" s="7" t="s">
        <v>2194</v>
      </c>
      <c r="C469" s="7">
        <v>23.6</v>
      </c>
      <c r="D469" s="7">
        <v>303</v>
      </c>
      <c r="E469" s="7">
        <v>99801102</v>
      </c>
    </row>
    <row r="470" spans="1:5" ht="12.75" hidden="1">
      <c r="A470" s="131">
        <v>99801086</v>
      </c>
      <c r="B470" s="7" t="s">
        <v>2197</v>
      </c>
      <c r="C470" s="7">
        <v>23.6</v>
      </c>
      <c r="D470" s="7">
        <v>392.2</v>
      </c>
      <c r="E470" s="7">
        <v>99801086</v>
      </c>
    </row>
    <row r="471" spans="1:5" ht="12.75" hidden="1">
      <c r="A471" s="131">
        <v>99801086</v>
      </c>
      <c r="B471" s="7" t="s">
        <v>2197</v>
      </c>
      <c r="C471" s="7">
        <v>23.6</v>
      </c>
      <c r="D471" s="7">
        <v>392.2</v>
      </c>
      <c r="E471" s="7">
        <v>99801086</v>
      </c>
    </row>
    <row r="472" spans="1:5" ht="12.75" hidden="1">
      <c r="A472" s="131">
        <v>99801101</v>
      </c>
      <c r="B472" s="7" t="s">
        <v>2149</v>
      </c>
      <c r="C472" s="7">
        <v>23.8</v>
      </c>
      <c r="D472" s="7">
        <v>350</v>
      </c>
      <c r="E472" s="7">
        <v>99801101</v>
      </c>
    </row>
    <row r="473" spans="1:5" ht="12.75">
      <c r="A473" s="131">
        <v>99801318</v>
      </c>
      <c r="B473" s="7" t="s">
        <v>2203</v>
      </c>
      <c r="C473" s="7">
        <v>23.9</v>
      </c>
      <c r="D473" s="7">
        <v>250</v>
      </c>
      <c r="E473" s="7">
        <v>99801318</v>
      </c>
    </row>
    <row r="474" spans="1:5" ht="12.75" hidden="1">
      <c r="A474" s="131">
        <v>99817787</v>
      </c>
      <c r="B474" s="7" t="s">
        <v>2210</v>
      </c>
      <c r="C474" s="7">
        <v>23.93</v>
      </c>
      <c r="D474" s="7">
        <v>450</v>
      </c>
      <c r="E474" s="7">
        <v>99817787</v>
      </c>
    </row>
    <row r="475" spans="1:5" ht="12.75" hidden="1">
      <c r="A475" s="131">
        <v>99801334</v>
      </c>
      <c r="B475" s="7" t="s">
        <v>2204</v>
      </c>
      <c r="C475" s="7">
        <v>24</v>
      </c>
      <c r="D475" s="7">
        <v>150</v>
      </c>
      <c r="E475" s="7">
        <v>99801334</v>
      </c>
    </row>
    <row r="476" spans="1:5" ht="12.75">
      <c r="A476" s="131">
        <v>99801117</v>
      </c>
      <c r="B476" s="7" t="s">
        <v>2202</v>
      </c>
      <c r="C476" s="7">
        <v>24</v>
      </c>
      <c r="D476" s="7">
        <v>250</v>
      </c>
      <c r="E476" s="7">
        <v>99801117</v>
      </c>
    </row>
    <row r="477" spans="1:5" ht="12.75" hidden="1">
      <c r="A477" s="131">
        <v>99801342</v>
      </c>
      <c r="B477" s="7" t="s">
        <v>2211</v>
      </c>
      <c r="C477" s="7">
        <v>24</v>
      </c>
      <c r="D477" s="7">
        <v>350</v>
      </c>
      <c r="E477" s="7">
        <v>99801342</v>
      </c>
    </row>
    <row r="478" spans="1:5" ht="12.75" hidden="1">
      <c r="A478" s="131">
        <v>99801101</v>
      </c>
      <c r="B478" s="7" t="s">
        <v>2149</v>
      </c>
      <c r="C478" s="7">
        <v>24</v>
      </c>
      <c r="D478" s="7">
        <v>350</v>
      </c>
      <c r="E478" s="7">
        <v>99801101</v>
      </c>
    </row>
    <row r="479" spans="1:5" ht="12.75" hidden="1">
      <c r="A479" s="131">
        <v>99801104</v>
      </c>
      <c r="B479" s="7" t="s">
        <v>2207</v>
      </c>
      <c r="C479" s="7">
        <v>24.1</v>
      </c>
      <c r="D479" s="7">
        <v>342</v>
      </c>
      <c r="E479" s="7">
        <v>99801104</v>
      </c>
    </row>
    <row r="480" spans="1:5" ht="12.75" hidden="1">
      <c r="A480" s="131">
        <v>99801103</v>
      </c>
      <c r="B480" s="7" t="s">
        <v>2208</v>
      </c>
      <c r="C480" s="7">
        <v>24.1</v>
      </c>
      <c r="D480" s="7">
        <v>350</v>
      </c>
      <c r="E480" s="7">
        <v>99801103</v>
      </c>
    </row>
    <row r="481" spans="1:5" ht="12.75" hidden="1">
      <c r="A481" s="131">
        <v>99801337</v>
      </c>
      <c r="B481" s="7" t="s">
        <v>2212</v>
      </c>
      <c r="C481" s="7">
        <v>24.2</v>
      </c>
      <c r="D481" s="7">
        <v>240</v>
      </c>
      <c r="E481" s="7">
        <v>99801337</v>
      </c>
    </row>
    <row r="482" spans="1:5" ht="12.75">
      <c r="A482" s="131">
        <v>99801117</v>
      </c>
      <c r="B482" s="7" t="s">
        <v>2202</v>
      </c>
      <c r="C482" s="7">
        <v>24.2</v>
      </c>
      <c r="D482" s="7">
        <v>250</v>
      </c>
      <c r="E482" s="7">
        <v>99801117</v>
      </c>
    </row>
    <row r="483" spans="1:5" ht="12.75" hidden="1">
      <c r="A483" s="131">
        <v>99801104</v>
      </c>
      <c r="B483" s="7" t="s">
        <v>2207</v>
      </c>
      <c r="C483" s="7">
        <v>24.21</v>
      </c>
      <c r="D483" s="7">
        <v>390</v>
      </c>
      <c r="E483" s="7">
        <v>99801104</v>
      </c>
    </row>
    <row r="484" spans="1:5" ht="12.75" hidden="1">
      <c r="A484" s="131">
        <v>99801343</v>
      </c>
      <c r="B484" s="7" t="s">
        <v>2213</v>
      </c>
      <c r="C484" s="7">
        <v>24.21</v>
      </c>
      <c r="D484" s="7">
        <v>390</v>
      </c>
      <c r="E484" s="7">
        <v>99801343</v>
      </c>
    </row>
    <row r="485" spans="1:5" ht="12.75" hidden="1">
      <c r="A485" s="131">
        <v>99801087</v>
      </c>
      <c r="B485" s="7" t="s">
        <v>2196</v>
      </c>
      <c r="C485" s="7">
        <v>24.21</v>
      </c>
      <c r="D485" s="7">
        <v>390</v>
      </c>
      <c r="E485" s="7">
        <v>99801087</v>
      </c>
    </row>
    <row r="486" spans="1:5" ht="12.75" hidden="1">
      <c r="A486" s="131">
        <v>99801100</v>
      </c>
      <c r="B486" s="7" t="s">
        <v>2150</v>
      </c>
      <c r="C486" s="7">
        <v>24.38</v>
      </c>
      <c r="D486" s="7">
        <v>290</v>
      </c>
      <c r="E486" s="7">
        <v>99801100</v>
      </c>
    </row>
    <row r="487" spans="1:5" ht="12.75" hidden="1">
      <c r="A487" s="131">
        <v>99801100</v>
      </c>
      <c r="B487" s="7" t="s">
        <v>2150</v>
      </c>
      <c r="C487" s="7">
        <v>24.6</v>
      </c>
      <c r="D487" s="7">
        <v>300</v>
      </c>
      <c r="E487" s="7">
        <v>99801100</v>
      </c>
    </row>
    <row r="488" spans="1:5" ht="12.75" hidden="1">
      <c r="A488" s="131">
        <v>99801118</v>
      </c>
      <c r="B488" s="7" t="s">
        <v>2214</v>
      </c>
      <c r="C488" s="7">
        <v>24.65</v>
      </c>
      <c r="D488" s="7">
        <v>300</v>
      </c>
      <c r="E488" s="7">
        <v>99801118</v>
      </c>
    </row>
    <row r="489" spans="1:5" ht="12.75" hidden="1">
      <c r="A489" s="131">
        <v>99801340</v>
      </c>
      <c r="B489" s="7" t="s">
        <v>2215</v>
      </c>
      <c r="C489" s="7">
        <v>24.7</v>
      </c>
      <c r="D489" s="7">
        <v>320</v>
      </c>
      <c r="E489" s="7">
        <v>99801340</v>
      </c>
    </row>
    <row r="490" spans="1:5" ht="12.75" hidden="1">
      <c r="A490" s="131">
        <v>99801354</v>
      </c>
      <c r="B490" s="7" t="s">
        <v>2216</v>
      </c>
      <c r="C490" s="7">
        <v>24.8</v>
      </c>
      <c r="D490" s="7">
        <v>150</v>
      </c>
      <c r="E490" s="7">
        <v>99801354</v>
      </c>
    </row>
    <row r="491" spans="1:5" ht="12.75" hidden="1">
      <c r="A491" s="131">
        <v>99801103</v>
      </c>
      <c r="B491" s="7" t="s">
        <v>2208</v>
      </c>
      <c r="C491" s="7">
        <v>24.9</v>
      </c>
      <c r="D491" s="7">
        <v>300</v>
      </c>
      <c r="E491" s="7">
        <v>99801103</v>
      </c>
    </row>
    <row r="492" spans="1:5" ht="12.75" hidden="1">
      <c r="A492" s="131">
        <v>99796427</v>
      </c>
      <c r="B492" s="7" t="s">
        <v>2167</v>
      </c>
      <c r="C492" s="7">
        <v>25</v>
      </c>
      <c r="D492" s="7">
        <v>220</v>
      </c>
      <c r="E492" s="7">
        <v>99796427</v>
      </c>
    </row>
    <row r="493" spans="1:5" ht="12.75" hidden="1">
      <c r="A493" s="131">
        <v>99801118</v>
      </c>
      <c r="B493" s="7" t="s">
        <v>2214</v>
      </c>
      <c r="C493" s="7">
        <v>25</v>
      </c>
      <c r="D493" s="7">
        <v>300</v>
      </c>
      <c r="E493" s="7">
        <v>99801118</v>
      </c>
    </row>
    <row r="494" spans="1:5" ht="12.75" hidden="1">
      <c r="A494" s="131">
        <v>99801340</v>
      </c>
      <c r="B494" s="7" t="s">
        <v>2215</v>
      </c>
      <c r="C494" s="7">
        <v>25</v>
      </c>
      <c r="D494" s="7">
        <v>300</v>
      </c>
      <c r="E494" s="7">
        <v>99801340</v>
      </c>
    </row>
    <row r="495" spans="1:5" ht="12.75" hidden="1">
      <c r="A495" s="131">
        <v>99801103</v>
      </c>
      <c r="B495" s="7" t="s">
        <v>2208</v>
      </c>
      <c r="C495" s="7">
        <v>25.3</v>
      </c>
      <c r="D495" s="7">
        <v>320</v>
      </c>
      <c r="E495" s="7">
        <v>99801103</v>
      </c>
    </row>
    <row r="496" spans="1:5" ht="12.75" hidden="1">
      <c r="A496" s="131">
        <v>99801104</v>
      </c>
      <c r="B496" s="7" t="s">
        <v>2207</v>
      </c>
      <c r="C496" s="7">
        <v>25.3</v>
      </c>
      <c r="D496" s="7">
        <v>392.2</v>
      </c>
      <c r="E496" s="7">
        <v>99801104</v>
      </c>
    </row>
    <row r="497" spans="1:5" ht="12.75" hidden="1">
      <c r="A497" s="131">
        <v>99801104</v>
      </c>
      <c r="B497" s="7" t="s">
        <v>2207</v>
      </c>
      <c r="C497" s="7">
        <v>25.3</v>
      </c>
      <c r="D497" s="7">
        <v>392.2</v>
      </c>
      <c r="E497" s="7">
        <v>99801104</v>
      </c>
    </row>
    <row r="498" spans="1:5" ht="12.75" hidden="1">
      <c r="A498" s="131">
        <v>99801116</v>
      </c>
      <c r="B498" s="7" t="s">
        <v>2200</v>
      </c>
      <c r="C498" s="7">
        <v>25.5</v>
      </c>
      <c r="D498" s="7">
        <v>197</v>
      </c>
      <c r="E498" s="7">
        <v>99801116</v>
      </c>
    </row>
    <row r="499" spans="1:5" ht="12.75" hidden="1">
      <c r="A499" s="131">
        <v>99801116</v>
      </c>
      <c r="B499" s="7" t="s">
        <v>2200</v>
      </c>
      <c r="C499" s="7">
        <v>25.5</v>
      </c>
      <c r="D499" s="7">
        <v>200</v>
      </c>
      <c r="E499" s="7">
        <v>99801116</v>
      </c>
    </row>
    <row r="500" spans="1:5" ht="12.75">
      <c r="A500" s="131">
        <v>99801118</v>
      </c>
      <c r="B500" s="7" t="s">
        <v>2214</v>
      </c>
      <c r="C500" s="7">
        <v>25.5</v>
      </c>
      <c r="D500" s="7">
        <v>264</v>
      </c>
      <c r="E500" s="7">
        <v>99801118</v>
      </c>
    </row>
    <row r="501" spans="1:5" ht="12.75" hidden="1">
      <c r="A501" s="131">
        <v>99801104</v>
      </c>
      <c r="B501" s="7" t="s">
        <v>2207</v>
      </c>
      <c r="C501" s="7">
        <v>25.52</v>
      </c>
      <c r="D501" s="7">
        <v>400</v>
      </c>
      <c r="E501" s="7">
        <v>99801104</v>
      </c>
    </row>
    <row r="502" spans="1:5" ht="12.75" hidden="1">
      <c r="A502" s="131">
        <v>99801343</v>
      </c>
      <c r="B502" s="7" t="s">
        <v>2213</v>
      </c>
      <c r="C502" s="7">
        <v>25.52</v>
      </c>
      <c r="D502" s="7">
        <v>400</v>
      </c>
      <c r="E502" s="7">
        <v>99801343</v>
      </c>
    </row>
    <row r="503" spans="1:5" ht="12.75" hidden="1">
      <c r="A503" s="131">
        <v>99801103</v>
      </c>
      <c r="B503" s="7" t="s">
        <v>2208</v>
      </c>
      <c r="C503" s="7">
        <v>25.6</v>
      </c>
      <c r="D503" s="7">
        <v>350</v>
      </c>
      <c r="E503" s="7">
        <v>99801103</v>
      </c>
    </row>
    <row r="504" spans="1:5" ht="12.75" hidden="1">
      <c r="A504" s="131">
        <v>99801117</v>
      </c>
      <c r="B504" s="7" t="s">
        <v>2202</v>
      </c>
      <c r="C504" s="7">
        <v>25.65</v>
      </c>
      <c r="D504" s="7">
        <v>230</v>
      </c>
      <c r="E504" s="7">
        <v>99801117</v>
      </c>
    </row>
    <row r="505" spans="1:5" ht="12.75" hidden="1">
      <c r="A505" s="131">
        <v>99801103</v>
      </c>
      <c r="B505" s="7" t="s">
        <v>2208</v>
      </c>
      <c r="C505" s="7">
        <v>25.7</v>
      </c>
      <c r="D505" s="7">
        <v>300</v>
      </c>
      <c r="E505" s="7">
        <v>99801103</v>
      </c>
    </row>
    <row r="506" spans="1:5" ht="12.75" hidden="1">
      <c r="A506" s="131">
        <v>99796412</v>
      </c>
      <c r="B506" s="7" t="s">
        <v>2162</v>
      </c>
      <c r="C506" s="7">
        <v>25.7</v>
      </c>
      <c r="D506" s="7">
        <v>450</v>
      </c>
      <c r="E506" s="7">
        <v>99796412</v>
      </c>
    </row>
    <row r="507" spans="1:5" ht="12.75" hidden="1">
      <c r="A507" s="131">
        <v>99801087</v>
      </c>
      <c r="B507" s="7" t="s">
        <v>2196</v>
      </c>
      <c r="C507" s="7">
        <v>25.7</v>
      </c>
      <c r="D507" s="7">
        <v>450</v>
      </c>
      <c r="E507" s="7">
        <v>99801087</v>
      </c>
    </row>
    <row r="508" spans="1:5" ht="12.75" hidden="1">
      <c r="A508" s="131">
        <v>99801116</v>
      </c>
      <c r="B508" s="7" t="s">
        <v>2200</v>
      </c>
      <c r="C508" s="7">
        <v>25.8</v>
      </c>
      <c r="D508" s="7">
        <v>200</v>
      </c>
      <c r="E508" s="7">
        <v>99801116</v>
      </c>
    </row>
    <row r="509" spans="1:5" ht="12.75">
      <c r="A509" s="131">
        <v>99801117</v>
      </c>
      <c r="B509" s="7" t="s">
        <v>2202</v>
      </c>
      <c r="C509" s="7">
        <v>25.9</v>
      </c>
      <c r="D509" s="7">
        <v>250</v>
      </c>
      <c r="E509" s="7">
        <v>99801117</v>
      </c>
    </row>
    <row r="510" spans="1:5" ht="12.75">
      <c r="A510" s="131">
        <v>99801118</v>
      </c>
      <c r="B510" s="7" t="s">
        <v>2214</v>
      </c>
      <c r="C510" s="7">
        <v>25.9</v>
      </c>
      <c r="D510" s="7">
        <v>264</v>
      </c>
      <c r="E510" s="7">
        <v>99801118</v>
      </c>
    </row>
    <row r="511" spans="1:5" ht="12.75" hidden="1">
      <c r="A511" s="131">
        <v>99801103</v>
      </c>
      <c r="B511" s="7" t="s">
        <v>2208</v>
      </c>
      <c r="C511" s="7">
        <v>26</v>
      </c>
      <c r="D511" s="7">
        <v>300</v>
      </c>
      <c r="E511" s="7">
        <v>99801103</v>
      </c>
    </row>
    <row r="512" spans="1:5" ht="12.75" hidden="1">
      <c r="A512" s="131">
        <v>99817788</v>
      </c>
      <c r="B512" s="7" t="s">
        <v>2217</v>
      </c>
      <c r="C512" s="7">
        <v>26</v>
      </c>
      <c r="D512" s="7">
        <v>350</v>
      </c>
      <c r="E512" s="7">
        <v>99817788</v>
      </c>
    </row>
    <row r="513" spans="1:5" ht="12.75" hidden="1">
      <c r="A513" s="131">
        <v>99817788</v>
      </c>
      <c r="B513" s="7" t="s">
        <v>2217</v>
      </c>
      <c r="C513" s="7">
        <v>26</v>
      </c>
      <c r="D513" s="7">
        <v>375</v>
      </c>
      <c r="E513" s="7">
        <v>99817788</v>
      </c>
    </row>
    <row r="514" spans="1:5" ht="12.75" hidden="1">
      <c r="A514" s="131">
        <v>99801343</v>
      </c>
      <c r="B514" s="7" t="s">
        <v>2213</v>
      </c>
      <c r="C514" s="7">
        <v>26</v>
      </c>
      <c r="D514" s="7">
        <v>375</v>
      </c>
      <c r="E514" s="7">
        <v>99801343</v>
      </c>
    </row>
    <row r="515" spans="1:5" ht="12.75" hidden="1">
      <c r="A515" s="131">
        <v>99801328</v>
      </c>
      <c r="B515" s="7" t="s">
        <v>2218</v>
      </c>
      <c r="C515" s="7">
        <v>26.05</v>
      </c>
      <c r="D515" s="7">
        <v>80</v>
      </c>
      <c r="E515" s="7">
        <v>99801328</v>
      </c>
    </row>
    <row r="516" spans="1:5" ht="12.75">
      <c r="A516" s="131">
        <v>99801117</v>
      </c>
      <c r="B516" s="7" t="s">
        <v>2202</v>
      </c>
      <c r="C516" s="7">
        <v>26.3</v>
      </c>
      <c r="D516" s="7">
        <v>250</v>
      </c>
      <c r="E516" s="7">
        <v>99801117</v>
      </c>
    </row>
    <row r="517" spans="1:5" ht="12.75" hidden="1">
      <c r="A517" s="131">
        <v>99801103</v>
      </c>
      <c r="B517" s="7" t="s">
        <v>2208</v>
      </c>
      <c r="C517" s="7">
        <v>26.3</v>
      </c>
      <c r="D517" s="7">
        <v>300</v>
      </c>
      <c r="E517" s="7">
        <v>99801103</v>
      </c>
    </row>
    <row r="518" spans="1:5" ht="12.75" hidden="1">
      <c r="A518" s="131">
        <v>99801103</v>
      </c>
      <c r="B518" s="7" t="s">
        <v>2208</v>
      </c>
      <c r="C518" s="7">
        <v>26.3</v>
      </c>
      <c r="D518" s="7">
        <v>350</v>
      </c>
      <c r="E518" s="7">
        <v>99801103</v>
      </c>
    </row>
    <row r="519" spans="1:5" ht="12.75" hidden="1">
      <c r="A519" s="131">
        <v>99801103</v>
      </c>
      <c r="B519" s="7" t="s">
        <v>2208</v>
      </c>
      <c r="C519" s="7">
        <v>26.5</v>
      </c>
      <c r="D519" s="7">
        <v>300</v>
      </c>
      <c r="E519" s="7">
        <v>99801103</v>
      </c>
    </row>
    <row r="520" spans="1:5" ht="12.75" hidden="1">
      <c r="A520" s="131">
        <v>99801103</v>
      </c>
      <c r="B520" s="7" t="s">
        <v>2208</v>
      </c>
      <c r="C520" s="7">
        <v>26.5</v>
      </c>
      <c r="D520" s="7">
        <v>300</v>
      </c>
      <c r="E520" s="7">
        <v>99801103</v>
      </c>
    </row>
    <row r="521" spans="1:5" ht="12.75" hidden="1">
      <c r="A521" s="131">
        <v>99801117</v>
      </c>
      <c r="B521" s="7" t="s">
        <v>2202</v>
      </c>
      <c r="C521" s="7">
        <v>26.8</v>
      </c>
      <c r="D521" s="7">
        <v>220</v>
      </c>
      <c r="E521" s="7">
        <v>99801117</v>
      </c>
    </row>
    <row r="522" spans="1:5" ht="12.75" hidden="1">
      <c r="A522" s="131">
        <v>99801103</v>
      </c>
      <c r="B522" s="7" t="s">
        <v>2208</v>
      </c>
      <c r="C522" s="7">
        <v>26.8</v>
      </c>
      <c r="D522" s="7">
        <v>350</v>
      </c>
      <c r="E522" s="7">
        <v>99801103</v>
      </c>
    </row>
    <row r="523" spans="1:5" ht="12.75" hidden="1">
      <c r="A523" s="131">
        <v>99817805</v>
      </c>
      <c r="B523" s="7" t="s">
        <v>2201</v>
      </c>
      <c r="C523" s="7">
        <v>27</v>
      </c>
      <c r="D523" s="7">
        <v>150</v>
      </c>
      <c r="E523" s="7">
        <v>99817805</v>
      </c>
    </row>
    <row r="524" spans="1:5" ht="12.75" hidden="1">
      <c r="A524" s="131">
        <v>99801337</v>
      </c>
      <c r="B524" s="7" t="s">
        <v>2212</v>
      </c>
      <c r="C524" s="7">
        <v>27</v>
      </c>
      <c r="D524" s="7">
        <v>200</v>
      </c>
      <c r="E524" s="7">
        <v>99801337</v>
      </c>
    </row>
    <row r="525" spans="1:5" ht="12.75">
      <c r="A525" s="131">
        <v>99801118</v>
      </c>
      <c r="B525" s="7" t="s">
        <v>2214</v>
      </c>
      <c r="C525" s="7">
        <v>27</v>
      </c>
      <c r="D525" s="7">
        <v>280</v>
      </c>
      <c r="E525" s="7">
        <v>99801118</v>
      </c>
    </row>
    <row r="526" spans="1:5" ht="12.75" hidden="1">
      <c r="A526" s="131">
        <v>99817788</v>
      </c>
      <c r="B526" s="7" t="s">
        <v>2217</v>
      </c>
      <c r="C526" s="7">
        <v>27</v>
      </c>
      <c r="D526" s="7">
        <v>350</v>
      </c>
      <c r="E526" s="7">
        <v>99817788</v>
      </c>
    </row>
    <row r="527" spans="1:5" ht="12.75" hidden="1">
      <c r="A527" s="131">
        <v>99801341</v>
      </c>
      <c r="B527" s="7" t="s">
        <v>2219</v>
      </c>
      <c r="C527" s="7">
        <v>27</v>
      </c>
      <c r="D527" s="7">
        <v>350</v>
      </c>
      <c r="E527" s="7">
        <v>99801341</v>
      </c>
    </row>
    <row r="528" spans="1:5" ht="12.75" hidden="1">
      <c r="A528" s="131">
        <v>99801109</v>
      </c>
      <c r="B528" s="7" t="s">
        <v>2220</v>
      </c>
      <c r="C528" s="7">
        <v>27</v>
      </c>
      <c r="D528" s="7">
        <v>690</v>
      </c>
      <c r="E528" s="7">
        <v>99801109</v>
      </c>
    </row>
    <row r="529" spans="1:5" ht="12.75" hidden="1">
      <c r="A529" s="131">
        <v>99801103</v>
      </c>
      <c r="B529" s="7" t="s">
        <v>2208</v>
      </c>
      <c r="C529" s="7">
        <v>27.1</v>
      </c>
      <c r="D529" s="7">
        <v>300</v>
      </c>
      <c r="E529" s="7">
        <v>99801103</v>
      </c>
    </row>
    <row r="530" spans="1:5" ht="12.75" hidden="1">
      <c r="A530" s="131">
        <v>99801340</v>
      </c>
      <c r="B530" s="7" t="s">
        <v>2215</v>
      </c>
      <c r="C530" s="7">
        <v>27.1</v>
      </c>
      <c r="D530" s="7">
        <v>300</v>
      </c>
      <c r="E530" s="7">
        <v>99801340</v>
      </c>
    </row>
    <row r="531" spans="1:5" ht="12.75" hidden="1">
      <c r="A531" s="131">
        <v>99801116</v>
      </c>
      <c r="B531" s="7" t="s">
        <v>2200</v>
      </c>
      <c r="C531" s="7">
        <v>27.3</v>
      </c>
      <c r="D531" s="7">
        <v>200</v>
      </c>
      <c r="E531" s="7">
        <v>99801116</v>
      </c>
    </row>
    <row r="532" spans="1:5" ht="12.75">
      <c r="A532" s="131">
        <v>99801118</v>
      </c>
      <c r="B532" s="7" t="s">
        <v>2214</v>
      </c>
      <c r="C532" s="7">
        <v>27.3</v>
      </c>
      <c r="D532" s="7">
        <v>251</v>
      </c>
      <c r="E532" s="7">
        <v>99801118</v>
      </c>
    </row>
    <row r="533" spans="1:5" ht="12.75" hidden="1">
      <c r="A533" s="131">
        <v>99801103</v>
      </c>
      <c r="B533" s="7" t="s">
        <v>2208</v>
      </c>
      <c r="C533" s="7">
        <v>27.3</v>
      </c>
      <c r="D533" s="7">
        <v>350</v>
      </c>
      <c r="E533" s="7">
        <v>99801103</v>
      </c>
    </row>
    <row r="534" spans="1:5" ht="12.75" hidden="1">
      <c r="A534" s="131">
        <v>99817788</v>
      </c>
      <c r="B534" s="7" t="s">
        <v>2217</v>
      </c>
      <c r="C534" s="7">
        <v>27.3</v>
      </c>
      <c r="D534" s="7">
        <v>350</v>
      </c>
      <c r="E534" s="7">
        <v>99817788</v>
      </c>
    </row>
    <row r="535" spans="1:5" ht="12.75" hidden="1">
      <c r="A535" s="131">
        <v>99801105</v>
      </c>
      <c r="B535" s="7" t="s">
        <v>2221</v>
      </c>
      <c r="C535" s="7">
        <v>27.3</v>
      </c>
      <c r="D535" s="7">
        <v>450</v>
      </c>
      <c r="E535" s="7">
        <v>99801105</v>
      </c>
    </row>
    <row r="536" spans="1:5" ht="12.75" hidden="1">
      <c r="A536" s="131">
        <v>99801118</v>
      </c>
      <c r="B536" s="7" t="s">
        <v>2214</v>
      </c>
      <c r="C536" s="7">
        <v>27.8</v>
      </c>
      <c r="D536" s="7">
        <v>300</v>
      </c>
      <c r="E536" s="7">
        <v>99801118</v>
      </c>
    </row>
    <row r="537" spans="1:5" ht="12.75" hidden="1">
      <c r="A537" s="131">
        <v>99801354</v>
      </c>
      <c r="B537" s="7" t="s">
        <v>2216</v>
      </c>
      <c r="C537" s="7">
        <v>28</v>
      </c>
      <c r="D537" s="7">
        <v>150</v>
      </c>
      <c r="E537" s="7">
        <v>99801354</v>
      </c>
    </row>
    <row r="538" spans="1:5" ht="12.75" hidden="1">
      <c r="A538" s="131">
        <v>99801337</v>
      </c>
      <c r="B538" s="7" t="s">
        <v>2212</v>
      </c>
      <c r="C538" s="7">
        <v>28</v>
      </c>
      <c r="D538" s="7">
        <v>200</v>
      </c>
      <c r="E538" s="7">
        <v>99801337</v>
      </c>
    </row>
    <row r="539" spans="1:5" ht="12.75">
      <c r="A539" s="131">
        <v>99801117</v>
      </c>
      <c r="B539" s="7" t="s">
        <v>2202</v>
      </c>
      <c r="C539" s="7">
        <v>28</v>
      </c>
      <c r="D539" s="7">
        <v>250</v>
      </c>
      <c r="E539" s="7">
        <v>99801117</v>
      </c>
    </row>
    <row r="540" spans="1:5" ht="12.75" hidden="1">
      <c r="A540" s="131">
        <v>99801340</v>
      </c>
      <c r="B540" s="7" t="s">
        <v>2215</v>
      </c>
      <c r="C540" s="7">
        <v>28</v>
      </c>
      <c r="D540" s="7">
        <v>300</v>
      </c>
      <c r="E540" s="7">
        <v>99801340</v>
      </c>
    </row>
    <row r="541" spans="1:5" ht="12.75" hidden="1">
      <c r="A541" s="131">
        <v>99817806</v>
      </c>
      <c r="B541" s="7" t="s">
        <v>2222</v>
      </c>
      <c r="C541" s="7">
        <v>28.06</v>
      </c>
      <c r="D541" s="7">
        <v>100</v>
      </c>
      <c r="E541" s="7">
        <v>99817806</v>
      </c>
    </row>
    <row r="542" spans="1:5" ht="12.75">
      <c r="A542" s="131">
        <v>99801117</v>
      </c>
      <c r="B542" s="7" t="s">
        <v>2202</v>
      </c>
      <c r="C542" s="7">
        <v>28.1</v>
      </c>
      <c r="D542" s="7">
        <v>250</v>
      </c>
      <c r="E542" s="7">
        <v>99801117</v>
      </c>
    </row>
    <row r="543" spans="1:5" ht="12.75">
      <c r="A543" s="131">
        <v>99801339</v>
      </c>
      <c r="B543" s="7" t="s">
        <v>2223</v>
      </c>
      <c r="C543" s="7">
        <v>28.1</v>
      </c>
      <c r="D543" s="7">
        <v>250</v>
      </c>
      <c r="E543" s="7">
        <v>99801339</v>
      </c>
    </row>
    <row r="544" spans="1:5" ht="12.75" hidden="1">
      <c r="A544" s="131">
        <v>99801103</v>
      </c>
      <c r="B544" s="7" t="s">
        <v>2208</v>
      </c>
      <c r="C544" s="7">
        <v>28.3</v>
      </c>
      <c r="D544" s="7">
        <v>350</v>
      </c>
      <c r="E544" s="7">
        <v>99801103</v>
      </c>
    </row>
    <row r="545" spans="1:5" ht="12.75" hidden="1">
      <c r="A545" s="131">
        <v>99817788</v>
      </c>
      <c r="B545" s="7" t="s">
        <v>2217</v>
      </c>
      <c r="C545" s="7">
        <v>28.3</v>
      </c>
      <c r="D545" s="7">
        <v>350</v>
      </c>
      <c r="E545" s="7">
        <v>99817788</v>
      </c>
    </row>
    <row r="546" spans="1:5" ht="12.75">
      <c r="A546" s="131">
        <v>99801081</v>
      </c>
      <c r="B546" s="7" t="s">
        <v>2173</v>
      </c>
      <c r="C546" s="7">
        <v>28.51</v>
      </c>
      <c r="D546" s="7">
        <v>250</v>
      </c>
      <c r="E546" s="7">
        <v>99801081</v>
      </c>
    </row>
    <row r="547" spans="1:5" ht="12.75" hidden="1">
      <c r="A547" s="131">
        <v>99817805</v>
      </c>
      <c r="B547" s="7" t="s">
        <v>2201</v>
      </c>
      <c r="C547" s="7">
        <v>28.6</v>
      </c>
      <c r="D547" s="7">
        <v>190</v>
      </c>
      <c r="E547" s="7">
        <v>99817805</v>
      </c>
    </row>
    <row r="548" spans="1:5" ht="12.75" hidden="1">
      <c r="A548" s="131">
        <v>99817787</v>
      </c>
      <c r="B548" s="7" t="s">
        <v>2210</v>
      </c>
      <c r="C548" s="7">
        <v>28.8</v>
      </c>
      <c r="D548" s="7">
        <v>450</v>
      </c>
      <c r="E548" s="7">
        <v>99817787</v>
      </c>
    </row>
    <row r="549" spans="1:5" ht="12.75" hidden="1">
      <c r="A549" s="131">
        <v>99801117</v>
      </c>
      <c r="B549" s="7" t="s">
        <v>2202</v>
      </c>
      <c r="C549" s="7">
        <v>29</v>
      </c>
      <c r="D549" s="7">
        <v>200</v>
      </c>
      <c r="E549" s="7">
        <v>99801117</v>
      </c>
    </row>
    <row r="550" spans="1:5" ht="12.75">
      <c r="A550" s="131">
        <v>99801117</v>
      </c>
      <c r="B550" s="7" t="s">
        <v>2202</v>
      </c>
      <c r="C550" s="7">
        <v>29</v>
      </c>
      <c r="D550" s="7">
        <v>250</v>
      </c>
      <c r="E550" s="7">
        <v>99801117</v>
      </c>
    </row>
    <row r="551" spans="1:5" ht="12.75">
      <c r="A551" s="131">
        <v>99801118</v>
      </c>
      <c r="B551" s="7" t="s">
        <v>2214</v>
      </c>
      <c r="C551" s="7">
        <v>29</v>
      </c>
      <c r="D551" s="7">
        <v>265</v>
      </c>
      <c r="E551" s="7">
        <v>99801118</v>
      </c>
    </row>
    <row r="552" spans="1:5" ht="12.75">
      <c r="A552" s="131">
        <v>99801339</v>
      </c>
      <c r="B552" s="7" t="s">
        <v>2223</v>
      </c>
      <c r="C552" s="7">
        <v>29</v>
      </c>
      <c r="D552" s="7">
        <v>265</v>
      </c>
      <c r="E552" s="7">
        <v>99801339</v>
      </c>
    </row>
    <row r="553" spans="1:5" ht="12.75" hidden="1">
      <c r="A553" s="131">
        <v>99801104</v>
      </c>
      <c r="B553" s="7" t="s">
        <v>2207</v>
      </c>
      <c r="C553" s="7">
        <v>29</v>
      </c>
      <c r="D553" s="7">
        <v>350</v>
      </c>
      <c r="E553" s="7">
        <v>99801104</v>
      </c>
    </row>
    <row r="554" spans="1:5" ht="12.75" hidden="1">
      <c r="A554" s="131">
        <v>99801118</v>
      </c>
      <c r="B554" s="7" t="s">
        <v>2214</v>
      </c>
      <c r="C554" s="7">
        <v>29.1</v>
      </c>
      <c r="D554" s="7">
        <v>300</v>
      </c>
      <c r="E554" s="7">
        <v>99801118</v>
      </c>
    </row>
    <row r="555" spans="1:5" ht="12.75" hidden="1">
      <c r="A555" s="131">
        <v>99801103</v>
      </c>
      <c r="B555" s="7" t="s">
        <v>2208</v>
      </c>
      <c r="C555" s="7">
        <v>29.1</v>
      </c>
      <c r="D555" s="7">
        <v>310</v>
      </c>
      <c r="E555" s="7">
        <v>99801103</v>
      </c>
    </row>
    <row r="556" spans="1:5" ht="12.75" hidden="1">
      <c r="A556" s="131">
        <v>99801339</v>
      </c>
      <c r="B556" s="7" t="s">
        <v>2223</v>
      </c>
      <c r="C556" s="7">
        <v>29.3</v>
      </c>
      <c r="D556" s="7">
        <v>300</v>
      </c>
      <c r="E556" s="7">
        <v>99801339</v>
      </c>
    </row>
    <row r="557" spans="1:5" ht="12.75" hidden="1">
      <c r="A557" s="131">
        <v>99817805</v>
      </c>
      <c r="B557" s="7" t="s">
        <v>2201</v>
      </c>
      <c r="C557" s="7">
        <v>29.5</v>
      </c>
      <c r="D557" s="7">
        <v>150</v>
      </c>
      <c r="E557" s="7">
        <v>99817805</v>
      </c>
    </row>
    <row r="558" spans="1:5" ht="12.75" hidden="1">
      <c r="A558" s="131">
        <v>99801117</v>
      </c>
      <c r="B558" s="7" t="s">
        <v>2202</v>
      </c>
      <c r="C558" s="7">
        <v>29.5</v>
      </c>
      <c r="D558" s="7">
        <v>200</v>
      </c>
      <c r="E558" s="7">
        <v>99801117</v>
      </c>
    </row>
    <row r="559" spans="1:5" ht="12.75" hidden="1">
      <c r="A559" s="131">
        <v>99801337</v>
      </c>
      <c r="B559" s="7" t="s">
        <v>2212</v>
      </c>
      <c r="C559" s="7">
        <v>29.7</v>
      </c>
      <c r="D559" s="7">
        <v>220</v>
      </c>
      <c r="E559" s="7">
        <v>99801337</v>
      </c>
    </row>
    <row r="560" spans="1:5" ht="12.75" hidden="1">
      <c r="A560" s="131">
        <v>99801104</v>
      </c>
      <c r="B560" s="7" t="s">
        <v>2207</v>
      </c>
      <c r="C560" s="7">
        <v>29.8</v>
      </c>
      <c r="D560" s="7">
        <v>400</v>
      </c>
      <c r="E560" s="7">
        <v>99801104</v>
      </c>
    </row>
    <row r="561" spans="1:5" ht="12.75" hidden="1">
      <c r="A561" s="131">
        <v>99801104</v>
      </c>
      <c r="B561" s="7" t="s">
        <v>2207</v>
      </c>
      <c r="C561" s="7">
        <v>29.8</v>
      </c>
      <c r="D561" s="7">
        <v>405</v>
      </c>
      <c r="E561" s="7">
        <v>99801104</v>
      </c>
    </row>
    <row r="562" spans="1:5" ht="12.75" hidden="1">
      <c r="A562" s="131">
        <v>99801105</v>
      </c>
      <c r="B562" s="7" t="s">
        <v>2221</v>
      </c>
      <c r="C562" s="7">
        <v>29.81</v>
      </c>
      <c r="D562" s="7">
        <v>405</v>
      </c>
      <c r="E562" s="7">
        <v>99801105</v>
      </c>
    </row>
    <row r="563" spans="1:5" ht="12.75" hidden="1">
      <c r="A563" s="131">
        <v>99801337</v>
      </c>
      <c r="B563" s="7" t="s">
        <v>2212</v>
      </c>
      <c r="C563" s="7">
        <v>29.9</v>
      </c>
      <c r="D563" s="7">
        <v>220</v>
      </c>
      <c r="E563" s="7">
        <v>99801337</v>
      </c>
    </row>
    <row r="564" spans="1:5" ht="12.75" hidden="1">
      <c r="A564" s="131">
        <v>99801118</v>
      </c>
      <c r="B564" s="7" t="s">
        <v>2214</v>
      </c>
      <c r="C564" s="7">
        <v>29.9</v>
      </c>
      <c r="D564" s="7">
        <v>300</v>
      </c>
      <c r="E564" s="7">
        <v>99801118</v>
      </c>
    </row>
    <row r="565" spans="1:5" ht="12.75" hidden="1">
      <c r="A565" s="131">
        <v>99801118</v>
      </c>
      <c r="B565" s="7" t="s">
        <v>2214</v>
      </c>
      <c r="C565" s="7">
        <v>29.9</v>
      </c>
      <c r="D565" s="7">
        <v>300</v>
      </c>
      <c r="E565" s="7">
        <v>99801118</v>
      </c>
    </row>
    <row r="566" spans="1:5" ht="12.75" hidden="1">
      <c r="A566" s="131">
        <v>99801119</v>
      </c>
      <c r="B566" s="7" t="s">
        <v>2224</v>
      </c>
      <c r="C566" s="7">
        <v>30</v>
      </c>
      <c r="D566" s="7">
        <v>170</v>
      </c>
      <c r="E566" s="7">
        <v>99801119</v>
      </c>
    </row>
    <row r="567" spans="1:5" ht="12.75" hidden="1">
      <c r="A567" s="131">
        <v>99817805</v>
      </c>
      <c r="B567" s="7" t="s">
        <v>2201</v>
      </c>
      <c r="C567" s="7">
        <v>30</v>
      </c>
      <c r="D567" s="7">
        <v>170</v>
      </c>
      <c r="E567" s="7">
        <v>99817805</v>
      </c>
    </row>
    <row r="568" spans="1:5" ht="12.75" hidden="1">
      <c r="A568" s="131">
        <v>99801117</v>
      </c>
      <c r="B568" s="7" t="s">
        <v>2202</v>
      </c>
      <c r="C568" s="7">
        <v>30</v>
      </c>
      <c r="D568" s="7">
        <v>200</v>
      </c>
      <c r="E568" s="7">
        <v>99801117</v>
      </c>
    </row>
    <row r="569" spans="1:5" ht="12.75" hidden="1">
      <c r="A569" s="131">
        <v>99801117</v>
      </c>
      <c r="B569" s="7" t="s">
        <v>2202</v>
      </c>
      <c r="C569" s="7">
        <v>30</v>
      </c>
      <c r="D569" s="7">
        <v>200</v>
      </c>
      <c r="E569" s="7">
        <v>99801117</v>
      </c>
    </row>
    <row r="570" spans="1:5" ht="12.75" hidden="1">
      <c r="A570" s="131">
        <v>99801118</v>
      </c>
      <c r="B570" s="7" t="s">
        <v>2214</v>
      </c>
      <c r="C570" s="7">
        <v>30</v>
      </c>
      <c r="D570" s="7">
        <v>300</v>
      </c>
      <c r="E570" s="7">
        <v>99801118</v>
      </c>
    </row>
    <row r="571" spans="1:5" ht="12.75" hidden="1">
      <c r="A571" s="131">
        <v>99801118</v>
      </c>
      <c r="B571" s="7" t="s">
        <v>2214</v>
      </c>
      <c r="C571" s="7">
        <v>30</v>
      </c>
      <c r="D571" s="7">
        <v>300</v>
      </c>
      <c r="E571" s="7">
        <v>99801118</v>
      </c>
    </row>
    <row r="572" spans="1:5" ht="12.75" hidden="1">
      <c r="A572" s="131">
        <v>99801104</v>
      </c>
      <c r="B572" s="7" t="s">
        <v>2207</v>
      </c>
      <c r="C572" s="7">
        <v>30</v>
      </c>
      <c r="D572" s="7">
        <v>365</v>
      </c>
      <c r="E572" s="7">
        <v>99801104</v>
      </c>
    </row>
    <row r="573" spans="1:5" ht="12.75" hidden="1">
      <c r="A573" s="131">
        <v>99801105</v>
      </c>
      <c r="B573" s="7" t="s">
        <v>2221</v>
      </c>
      <c r="C573" s="7">
        <v>30</v>
      </c>
      <c r="D573" s="7">
        <v>400</v>
      </c>
      <c r="E573" s="7">
        <v>99801105</v>
      </c>
    </row>
    <row r="574" spans="1:5" ht="12.75" hidden="1">
      <c r="A574" s="131">
        <v>99801105</v>
      </c>
      <c r="B574" s="7" t="s">
        <v>2221</v>
      </c>
      <c r="C574" s="7">
        <v>30</v>
      </c>
      <c r="D574" s="7">
        <v>450</v>
      </c>
      <c r="E574" s="7">
        <v>99801105</v>
      </c>
    </row>
    <row r="575" spans="1:5" ht="12.75" hidden="1">
      <c r="A575" s="131">
        <v>99801118</v>
      </c>
      <c r="B575" s="7" t="s">
        <v>2214</v>
      </c>
      <c r="C575" s="7">
        <v>30.4</v>
      </c>
      <c r="D575" s="7">
        <v>305</v>
      </c>
      <c r="E575" s="7">
        <v>99801118</v>
      </c>
    </row>
    <row r="576" spans="1:5" ht="12.75" hidden="1">
      <c r="A576" s="131">
        <v>99817787</v>
      </c>
      <c r="B576" s="7" t="s">
        <v>2210</v>
      </c>
      <c r="C576" s="7">
        <v>30.5</v>
      </c>
      <c r="D576" s="7">
        <v>520</v>
      </c>
      <c r="E576" s="7">
        <v>99817787</v>
      </c>
    </row>
    <row r="577" spans="1:5" ht="12.75" hidden="1">
      <c r="A577" s="131">
        <v>99801350</v>
      </c>
      <c r="B577" s="7" t="s">
        <v>2225</v>
      </c>
      <c r="C577" s="7">
        <v>30.6</v>
      </c>
      <c r="D577" s="7">
        <v>80</v>
      </c>
      <c r="E577" s="7">
        <v>99801350</v>
      </c>
    </row>
    <row r="578" spans="1:5" ht="12.75" hidden="1">
      <c r="A578" s="131">
        <v>99817788</v>
      </c>
      <c r="B578" s="7" t="s">
        <v>2217</v>
      </c>
      <c r="C578" s="7">
        <v>30.6</v>
      </c>
      <c r="D578" s="7">
        <v>350</v>
      </c>
      <c r="E578" s="7">
        <v>99817788</v>
      </c>
    </row>
    <row r="579" spans="1:5" ht="12.75" hidden="1">
      <c r="A579" s="131">
        <v>99801351</v>
      </c>
      <c r="B579" s="7" t="s">
        <v>2226</v>
      </c>
      <c r="C579" s="7">
        <v>30.8</v>
      </c>
      <c r="D579" s="7">
        <v>120</v>
      </c>
      <c r="E579" s="7">
        <v>99801351</v>
      </c>
    </row>
    <row r="580" spans="1:5" ht="12.75" hidden="1">
      <c r="A580" s="131">
        <v>99801354</v>
      </c>
      <c r="B580" s="7" t="s">
        <v>2216</v>
      </c>
      <c r="C580" s="7">
        <v>30.9</v>
      </c>
      <c r="D580" s="7">
        <v>130</v>
      </c>
      <c r="E580" s="7">
        <v>99801354</v>
      </c>
    </row>
    <row r="581" spans="1:5" ht="12.75" hidden="1">
      <c r="A581" s="131">
        <v>99801117</v>
      </c>
      <c r="B581" s="7" t="s">
        <v>2202</v>
      </c>
      <c r="C581" s="7">
        <v>31</v>
      </c>
      <c r="D581" s="7">
        <v>200</v>
      </c>
      <c r="E581" s="7">
        <v>99801117</v>
      </c>
    </row>
    <row r="582" spans="1:5" ht="12.75">
      <c r="A582" s="131">
        <v>99801117</v>
      </c>
      <c r="B582" s="7" t="s">
        <v>2202</v>
      </c>
      <c r="C582" s="7">
        <v>31</v>
      </c>
      <c r="D582" s="7">
        <v>250</v>
      </c>
      <c r="E582" s="7">
        <v>99801117</v>
      </c>
    </row>
    <row r="583" spans="1:5" ht="12.75" hidden="1">
      <c r="A583" s="131">
        <v>99801104</v>
      </c>
      <c r="B583" s="7" t="s">
        <v>2207</v>
      </c>
      <c r="C583" s="7">
        <v>31</v>
      </c>
      <c r="D583" s="7">
        <v>350</v>
      </c>
      <c r="E583" s="7">
        <v>99801104</v>
      </c>
    </row>
    <row r="584" spans="1:5" ht="12.75" hidden="1">
      <c r="A584" s="131">
        <v>99801105</v>
      </c>
      <c r="B584" s="7" t="s">
        <v>2221</v>
      </c>
      <c r="C584" s="7">
        <v>31</v>
      </c>
      <c r="D584" s="7">
        <v>450</v>
      </c>
      <c r="E584" s="7">
        <v>99801105</v>
      </c>
    </row>
    <row r="585" spans="1:5" ht="12.75" hidden="1">
      <c r="A585" s="131">
        <v>99801344</v>
      </c>
      <c r="B585" s="7" t="s">
        <v>2209</v>
      </c>
      <c r="C585" s="7">
        <v>31</v>
      </c>
      <c r="D585" s="7">
        <v>450</v>
      </c>
      <c r="E585" s="7">
        <v>99801344</v>
      </c>
    </row>
    <row r="586" spans="1:5" ht="12.75" hidden="1">
      <c r="A586" s="131">
        <v>99817787</v>
      </c>
      <c r="B586" s="7" t="s">
        <v>2210</v>
      </c>
      <c r="C586" s="7">
        <v>31</v>
      </c>
      <c r="D586" s="7">
        <v>550</v>
      </c>
      <c r="E586" s="7">
        <v>99817787</v>
      </c>
    </row>
    <row r="587" spans="1:5" ht="12.75" hidden="1">
      <c r="A587" s="131">
        <v>99801375</v>
      </c>
      <c r="B587" s="7" t="s">
        <v>2227</v>
      </c>
      <c r="C587" s="7">
        <v>31</v>
      </c>
      <c r="D587" s="7">
        <v>550</v>
      </c>
      <c r="E587" s="7">
        <v>99801375</v>
      </c>
    </row>
    <row r="588" spans="1:5" ht="12.75">
      <c r="A588" s="131">
        <v>99801339</v>
      </c>
      <c r="B588" s="7" t="s">
        <v>2223</v>
      </c>
      <c r="C588" s="7">
        <v>31.1</v>
      </c>
      <c r="D588" s="7">
        <v>270</v>
      </c>
      <c r="E588" s="7">
        <v>99801339</v>
      </c>
    </row>
    <row r="589" spans="1:5" ht="12.75" hidden="1">
      <c r="A589" s="131">
        <v>99801118</v>
      </c>
      <c r="B589" s="7" t="s">
        <v>2214</v>
      </c>
      <c r="C589" s="7">
        <v>31.4</v>
      </c>
      <c r="D589" s="7">
        <v>300</v>
      </c>
      <c r="E589" s="7">
        <v>99801118</v>
      </c>
    </row>
    <row r="590" spans="1:5" ht="12.75" hidden="1">
      <c r="A590" s="131">
        <v>99801105</v>
      </c>
      <c r="B590" s="7" t="s">
        <v>2221</v>
      </c>
      <c r="C590" s="7">
        <v>31.4</v>
      </c>
      <c r="D590" s="7">
        <v>400</v>
      </c>
      <c r="E590" s="7">
        <v>99801105</v>
      </c>
    </row>
    <row r="591" spans="1:5" ht="12.75" hidden="1">
      <c r="A591" s="131">
        <v>99801103</v>
      </c>
      <c r="B591" s="7" t="s">
        <v>2208</v>
      </c>
      <c r="C591" s="7">
        <v>31.5</v>
      </c>
      <c r="D591" s="7">
        <v>300</v>
      </c>
      <c r="E591" s="7">
        <v>99801103</v>
      </c>
    </row>
    <row r="592" spans="1:5" ht="12.75" hidden="1">
      <c r="A592" s="131">
        <v>99801104</v>
      </c>
      <c r="B592" s="7" t="s">
        <v>2207</v>
      </c>
      <c r="C592" s="7">
        <v>31.56</v>
      </c>
      <c r="D592" s="7">
        <v>300</v>
      </c>
      <c r="E592" s="7">
        <v>99801104</v>
      </c>
    </row>
    <row r="593" spans="1:5" ht="12.75" hidden="1">
      <c r="A593" s="131">
        <v>99801341</v>
      </c>
      <c r="B593" s="7" t="s">
        <v>2219</v>
      </c>
      <c r="C593" s="7">
        <v>31.56</v>
      </c>
      <c r="D593" s="7">
        <v>300</v>
      </c>
      <c r="E593" s="7">
        <v>99801341</v>
      </c>
    </row>
    <row r="594" spans="1:5" ht="12.75">
      <c r="A594" s="131">
        <v>99801118</v>
      </c>
      <c r="B594" s="7" t="s">
        <v>2214</v>
      </c>
      <c r="C594" s="7">
        <v>31.8</v>
      </c>
      <c r="D594" s="7">
        <v>250</v>
      </c>
      <c r="E594" s="7">
        <v>99801118</v>
      </c>
    </row>
    <row r="595" spans="1:5" ht="12.75" hidden="1">
      <c r="A595" s="131">
        <v>99801104</v>
      </c>
      <c r="B595" s="7" t="s">
        <v>2207</v>
      </c>
      <c r="C595" s="7">
        <v>31.8</v>
      </c>
      <c r="D595" s="7">
        <v>380</v>
      </c>
      <c r="E595" s="7">
        <v>99801104</v>
      </c>
    </row>
    <row r="596" spans="1:5" ht="12.75" hidden="1">
      <c r="A596" s="131">
        <v>99801104</v>
      </c>
      <c r="B596" s="7" t="s">
        <v>2207</v>
      </c>
      <c r="C596" s="7">
        <v>31.9</v>
      </c>
      <c r="D596" s="7">
        <v>350</v>
      </c>
      <c r="E596" s="7">
        <v>99801104</v>
      </c>
    </row>
    <row r="597" spans="1:5" ht="12.75" hidden="1">
      <c r="A597" s="131">
        <v>99801117</v>
      </c>
      <c r="B597" s="7" t="s">
        <v>2202</v>
      </c>
      <c r="C597" s="7">
        <v>32.1</v>
      </c>
      <c r="D597" s="7">
        <v>200</v>
      </c>
      <c r="E597" s="7">
        <v>99801117</v>
      </c>
    </row>
    <row r="598" spans="1:5" ht="12.75">
      <c r="A598" s="131">
        <v>99801118</v>
      </c>
      <c r="B598" s="7" t="s">
        <v>2214</v>
      </c>
      <c r="C598" s="7">
        <v>32.44</v>
      </c>
      <c r="D598" s="7">
        <v>265</v>
      </c>
      <c r="E598" s="7">
        <v>99801118</v>
      </c>
    </row>
    <row r="599" spans="1:5" ht="12.75" hidden="1">
      <c r="A599" s="131">
        <v>99801355</v>
      </c>
      <c r="B599" s="7" t="s">
        <v>2228</v>
      </c>
      <c r="C599" s="7">
        <v>32.700000000000003</v>
      </c>
      <c r="D599" s="7">
        <v>200</v>
      </c>
      <c r="E599" s="7">
        <v>99801355</v>
      </c>
    </row>
    <row r="600" spans="1:5" ht="12.75" hidden="1">
      <c r="A600" s="131">
        <v>99801117</v>
      </c>
      <c r="B600" s="7" t="s">
        <v>2202</v>
      </c>
      <c r="C600" s="7">
        <v>32.799999999999997</v>
      </c>
      <c r="D600" s="7">
        <v>200</v>
      </c>
      <c r="E600" s="7">
        <v>99801117</v>
      </c>
    </row>
    <row r="601" spans="1:5" ht="12.75" hidden="1">
      <c r="A601" s="131">
        <v>99801117</v>
      </c>
      <c r="B601" s="7" t="s">
        <v>2202</v>
      </c>
      <c r="C601" s="7">
        <v>32.799999999999997</v>
      </c>
      <c r="D601" s="7">
        <v>216</v>
      </c>
      <c r="E601" s="7">
        <v>99801117</v>
      </c>
    </row>
    <row r="602" spans="1:5" ht="12.75">
      <c r="A602" s="131">
        <v>99801121</v>
      </c>
      <c r="B602" s="7" t="s">
        <v>2229</v>
      </c>
      <c r="C602" s="7">
        <v>32.9</v>
      </c>
      <c r="D602" s="7">
        <v>250</v>
      </c>
      <c r="E602" s="7">
        <v>99801121</v>
      </c>
    </row>
    <row r="603" spans="1:5" ht="12.75">
      <c r="A603" s="131">
        <v>99801118</v>
      </c>
      <c r="B603" s="7" t="s">
        <v>2214</v>
      </c>
      <c r="C603" s="7">
        <v>33</v>
      </c>
      <c r="D603" s="7">
        <v>250</v>
      </c>
      <c r="E603" s="7">
        <v>99801118</v>
      </c>
    </row>
    <row r="604" spans="1:5" ht="12.75">
      <c r="A604" s="131">
        <v>99801339</v>
      </c>
      <c r="B604" s="7" t="s">
        <v>2223</v>
      </c>
      <c r="C604" s="7">
        <v>33</v>
      </c>
      <c r="D604" s="7">
        <v>250</v>
      </c>
      <c r="E604" s="7">
        <v>99801339</v>
      </c>
    </row>
    <row r="605" spans="1:5" ht="12.75" hidden="1">
      <c r="A605" s="131">
        <v>99801118</v>
      </c>
      <c r="B605" s="7" t="s">
        <v>2214</v>
      </c>
      <c r="C605" s="7">
        <v>33</v>
      </c>
      <c r="D605" s="7">
        <v>290</v>
      </c>
      <c r="E605" s="7">
        <v>99801118</v>
      </c>
    </row>
    <row r="606" spans="1:5" ht="12.75" hidden="1">
      <c r="A606" s="131">
        <v>99801339</v>
      </c>
      <c r="B606" s="7" t="s">
        <v>2223</v>
      </c>
      <c r="C606" s="7">
        <v>33</v>
      </c>
      <c r="D606" s="7">
        <v>290</v>
      </c>
      <c r="E606" s="7">
        <v>99801339</v>
      </c>
    </row>
    <row r="607" spans="1:5" ht="12.75" hidden="1">
      <c r="A607" s="131">
        <v>99801360</v>
      </c>
      <c r="B607" s="7" t="s">
        <v>2230</v>
      </c>
      <c r="C607" s="7">
        <v>33</v>
      </c>
      <c r="D607" s="7">
        <v>400</v>
      </c>
      <c r="E607" s="7">
        <v>99801360</v>
      </c>
    </row>
    <row r="608" spans="1:5" ht="12.75" hidden="1">
      <c r="A608" s="131">
        <v>99801352</v>
      </c>
      <c r="B608" s="7" t="s">
        <v>2231</v>
      </c>
      <c r="C608" s="7">
        <v>33.01</v>
      </c>
      <c r="D608" s="7">
        <v>150</v>
      </c>
      <c r="E608" s="7">
        <v>99801352</v>
      </c>
    </row>
    <row r="609" spans="1:5" ht="12.75" hidden="1">
      <c r="A609" s="131">
        <v>99801337</v>
      </c>
      <c r="B609" s="7" t="s">
        <v>2212</v>
      </c>
      <c r="C609" s="7">
        <v>33.01</v>
      </c>
      <c r="D609" s="7">
        <v>200</v>
      </c>
      <c r="E609" s="7">
        <v>99801337</v>
      </c>
    </row>
    <row r="610" spans="1:5" ht="12.75">
      <c r="A610" s="131">
        <v>99801118</v>
      </c>
      <c r="B610" s="7" t="s">
        <v>2214</v>
      </c>
      <c r="C610" s="7">
        <v>33.1</v>
      </c>
      <c r="D610" s="7">
        <v>250</v>
      </c>
      <c r="E610" s="7">
        <v>99801118</v>
      </c>
    </row>
    <row r="611" spans="1:5" ht="12.75">
      <c r="A611" s="131">
        <v>99801118</v>
      </c>
      <c r="B611" s="7" t="s">
        <v>2214</v>
      </c>
      <c r="C611" s="7">
        <v>33.1</v>
      </c>
      <c r="D611" s="7">
        <v>260</v>
      </c>
      <c r="E611" s="7">
        <v>99801118</v>
      </c>
    </row>
    <row r="612" spans="1:5" ht="12.75" hidden="1">
      <c r="A612" s="131">
        <v>99801118</v>
      </c>
      <c r="B612" s="7" t="s">
        <v>2214</v>
      </c>
      <c r="C612" s="7">
        <v>33.1</v>
      </c>
      <c r="D612" s="7">
        <v>300</v>
      </c>
      <c r="E612" s="7">
        <v>99801118</v>
      </c>
    </row>
    <row r="613" spans="1:5" ht="12.75" hidden="1">
      <c r="A613" s="131">
        <v>99801105</v>
      </c>
      <c r="B613" s="7" t="s">
        <v>2221</v>
      </c>
      <c r="C613" s="7">
        <v>33.1</v>
      </c>
      <c r="D613" s="7">
        <v>380</v>
      </c>
      <c r="E613" s="7">
        <v>99801105</v>
      </c>
    </row>
    <row r="614" spans="1:5" ht="12.75">
      <c r="A614" s="131">
        <v>99801118</v>
      </c>
      <c r="B614" s="7" t="s">
        <v>2214</v>
      </c>
      <c r="C614" s="7">
        <v>33.4</v>
      </c>
      <c r="D614" s="7">
        <v>265</v>
      </c>
      <c r="E614" s="7">
        <v>99801118</v>
      </c>
    </row>
    <row r="615" spans="1:5" ht="12.75">
      <c r="A615" s="131">
        <v>99801118</v>
      </c>
      <c r="B615" s="7" t="s">
        <v>2214</v>
      </c>
      <c r="C615" s="7">
        <v>33.5</v>
      </c>
      <c r="D615" s="7">
        <v>250</v>
      </c>
      <c r="E615" s="7">
        <v>99801118</v>
      </c>
    </row>
    <row r="616" spans="1:5" ht="12.75">
      <c r="A616" s="131">
        <v>99801339</v>
      </c>
      <c r="B616" s="7" t="s">
        <v>2223</v>
      </c>
      <c r="C616" s="7">
        <v>33.5</v>
      </c>
      <c r="D616" s="7">
        <v>250</v>
      </c>
      <c r="E616" s="7">
        <v>99801339</v>
      </c>
    </row>
    <row r="617" spans="1:5" ht="12.75" hidden="1">
      <c r="A617" s="131">
        <v>99817788</v>
      </c>
      <c r="B617" s="7" t="s">
        <v>2217</v>
      </c>
      <c r="C617" s="7">
        <v>33.5</v>
      </c>
      <c r="D617" s="7">
        <v>300</v>
      </c>
      <c r="E617" s="7">
        <v>99817788</v>
      </c>
    </row>
    <row r="618" spans="1:5" ht="12.75" hidden="1">
      <c r="A618" s="131">
        <v>99801354</v>
      </c>
      <c r="B618" s="7" t="s">
        <v>2216</v>
      </c>
      <c r="C618" s="7">
        <v>33.6</v>
      </c>
      <c r="D618" s="7">
        <v>150</v>
      </c>
      <c r="E618" s="7">
        <v>99801354</v>
      </c>
    </row>
    <row r="619" spans="1:5" ht="12.75" hidden="1">
      <c r="A619" s="131">
        <v>99801105</v>
      </c>
      <c r="B619" s="7" t="s">
        <v>2221</v>
      </c>
      <c r="C619" s="7">
        <v>33.83</v>
      </c>
      <c r="D619" s="7">
        <v>430</v>
      </c>
      <c r="E619" s="7">
        <v>99801105</v>
      </c>
    </row>
    <row r="620" spans="1:5" ht="12.75">
      <c r="A620" s="131">
        <v>99801118</v>
      </c>
      <c r="B620" s="7" t="s">
        <v>2214</v>
      </c>
      <c r="C620" s="7">
        <v>33.9</v>
      </c>
      <c r="D620" s="7">
        <v>250</v>
      </c>
      <c r="E620" s="7">
        <v>99801118</v>
      </c>
    </row>
    <row r="621" spans="1:5" ht="12.75" hidden="1">
      <c r="A621" s="131">
        <v>99817788</v>
      </c>
      <c r="B621" s="7" t="s">
        <v>2217</v>
      </c>
      <c r="C621" s="7">
        <v>33.9</v>
      </c>
      <c r="D621" s="7">
        <v>350</v>
      </c>
      <c r="E621" s="7">
        <v>99817788</v>
      </c>
    </row>
    <row r="622" spans="1:5" ht="12.75">
      <c r="A622" s="131">
        <v>99801118</v>
      </c>
      <c r="B622" s="7" t="s">
        <v>2214</v>
      </c>
      <c r="C622" s="7">
        <v>34</v>
      </c>
      <c r="D622" s="7">
        <v>250</v>
      </c>
      <c r="E622" s="7">
        <v>99801118</v>
      </c>
    </row>
    <row r="623" spans="1:5" ht="12.75">
      <c r="A623" s="131">
        <v>99801118</v>
      </c>
      <c r="B623" s="7" t="s">
        <v>2214</v>
      </c>
      <c r="C623" s="7">
        <v>34</v>
      </c>
      <c r="D623" s="7">
        <v>260</v>
      </c>
      <c r="E623" s="7">
        <v>99801118</v>
      </c>
    </row>
    <row r="624" spans="1:5" ht="12.75">
      <c r="A624" s="131">
        <v>99801339</v>
      </c>
      <c r="B624" s="7" t="s">
        <v>2223</v>
      </c>
      <c r="C624" s="7">
        <v>34</v>
      </c>
      <c r="D624" s="7">
        <v>260</v>
      </c>
      <c r="E624" s="7">
        <v>99801339</v>
      </c>
    </row>
    <row r="625" spans="1:5" ht="12.75" hidden="1">
      <c r="A625" s="131">
        <v>99801340</v>
      </c>
      <c r="B625" s="7" t="s">
        <v>2215</v>
      </c>
      <c r="C625" s="7">
        <v>34</v>
      </c>
      <c r="D625" s="7">
        <v>300</v>
      </c>
      <c r="E625" s="7">
        <v>99801340</v>
      </c>
    </row>
    <row r="626" spans="1:5" ht="12.75" hidden="1">
      <c r="A626" s="131">
        <v>99801125</v>
      </c>
      <c r="B626" s="7" t="s">
        <v>2206</v>
      </c>
      <c r="C626" s="7">
        <v>34</v>
      </c>
      <c r="D626" s="7">
        <v>350</v>
      </c>
      <c r="E626" s="7">
        <v>99801125</v>
      </c>
    </row>
    <row r="627" spans="1:5" ht="12.75" hidden="1">
      <c r="A627" s="131">
        <v>99801120</v>
      </c>
      <c r="B627" s="7" t="s">
        <v>2232</v>
      </c>
      <c r="C627" s="7">
        <v>34.1</v>
      </c>
      <c r="D627" s="7">
        <v>200</v>
      </c>
      <c r="E627" s="7">
        <v>99801120</v>
      </c>
    </row>
    <row r="628" spans="1:5" ht="12.75">
      <c r="A628" s="131">
        <v>99801120</v>
      </c>
      <c r="B628" s="7" t="s">
        <v>2232</v>
      </c>
      <c r="C628" s="7">
        <v>34.1</v>
      </c>
      <c r="D628" s="7">
        <v>250</v>
      </c>
      <c r="E628" s="7">
        <v>99801120</v>
      </c>
    </row>
    <row r="629" spans="1:5" ht="12.75">
      <c r="A629" s="131">
        <v>99801118</v>
      </c>
      <c r="B629" s="7" t="s">
        <v>2214</v>
      </c>
      <c r="C629" s="7">
        <v>34.1</v>
      </c>
      <c r="D629" s="7">
        <v>250</v>
      </c>
      <c r="E629" s="7">
        <v>99801118</v>
      </c>
    </row>
    <row r="630" spans="1:5" ht="12.75">
      <c r="A630" s="131">
        <v>99801121</v>
      </c>
      <c r="B630" s="7" t="s">
        <v>2229</v>
      </c>
      <c r="C630" s="7">
        <v>34.1</v>
      </c>
      <c r="D630" s="7">
        <v>250</v>
      </c>
      <c r="E630" s="7">
        <v>99801121</v>
      </c>
    </row>
    <row r="631" spans="1:5" ht="12.75" hidden="1">
      <c r="A631" s="131">
        <v>99817787</v>
      </c>
      <c r="B631" s="7" t="s">
        <v>2210</v>
      </c>
      <c r="C631" s="7">
        <v>34.1</v>
      </c>
      <c r="D631" s="7">
        <v>450</v>
      </c>
      <c r="E631" s="7">
        <v>99817787</v>
      </c>
    </row>
    <row r="632" spans="1:5" ht="12.75" hidden="1">
      <c r="A632" s="131">
        <v>99801344</v>
      </c>
      <c r="B632" s="7" t="s">
        <v>2209</v>
      </c>
      <c r="C632" s="7">
        <v>34.1</v>
      </c>
      <c r="D632" s="7">
        <v>450</v>
      </c>
      <c r="E632" s="7">
        <v>99801344</v>
      </c>
    </row>
    <row r="633" spans="1:5" ht="12.75">
      <c r="A633" s="131">
        <v>99801339</v>
      </c>
      <c r="B633" s="7" t="s">
        <v>2223</v>
      </c>
      <c r="C633" s="7">
        <v>34.270000000000003</v>
      </c>
      <c r="D633" s="7">
        <v>270</v>
      </c>
      <c r="E633" s="7">
        <v>99801339</v>
      </c>
    </row>
    <row r="634" spans="1:5" ht="12.75" hidden="1">
      <c r="A634" s="131">
        <v>99817806</v>
      </c>
      <c r="B634" s="7" t="s">
        <v>2222</v>
      </c>
      <c r="C634" s="7">
        <v>34.299999999999997</v>
      </c>
      <c r="D634" s="7">
        <v>100</v>
      </c>
      <c r="E634" s="7">
        <v>99817806</v>
      </c>
    </row>
    <row r="635" spans="1:5" ht="12.75">
      <c r="A635" s="131">
        <v>99801121</v>
      </c>
      <c r="B635" s="7" t="s">
        <v>2229</v>
      </c>
      <c r="C635" s="7">
        <v>34.299999999999997</v>
      </c>
      <c r="D635" s="7">
        <v>250</v>
      </c>
      <c r="E635" s="7">
        <v>99801121</v>
      </c>
    </row>
    <row r="636" spans="1:5" ht="12.75" hidden="1">
      <c r="A636" s="131">
        <v>99817806</v>
      </c>
      <c r="B636" s="7" t="s">
        <v>2222</v>
      </c>
      <c r="C636" s="7">
        <v>34.49</v>
      </c>
      <c r="D636" s="7">
        <v>105</v>
      </c>
      <c r="E636" s="7">
        <v>99817806</v>
      </c>
    </row>
    <row r="637" spans="1:5" ht="12.75" hidden="1">
      <c r="A637" s="131">
        <v>99801125</v>
      </c>
      <c r="B637" s="7" t="s">
        <v>2206</v>
      </c>
      <c r="C637" s="7">
        <v>34.6</v>
      </c>
      <c r="D637" s="7">
        <v>368</v>
      </c>
      <c r="E637" s="7">
        <v>99801125</v>
      </c>
    </row>
    <row r="638" spans="1:5" ht="12.75" hidden="1">
      <c r="A638" s="131">
        <v>99817787</v>
      </c>
      <c r="B638" s="7" t="s">
        <v>2210</v>
      </c>
      <c r="C638" s="7">
        <v>34.700000000000003</v>
      </c>
      <c r="D638" s="7">
        <v>500</v>
      </c>
      <c r="E638" s="7">
        <v>99817787</v>
      </c>
    </row>
    <row r="639" spans="1:5" ht="12.75" hidden="1">
      <c r="A639" s="131">
        <v>99801118</v>
      </c>
      <c r="B639" s="7" t="s">
        <v>2214</v>
      </c>
      <c r="C639" s="7">
        <v>34.89</v>
      </c>
      <c r="D639" s="7">
        <v>285</v>
      </c>
      <c r="E639" s="7">
        <v>99801118</v>
      </c>
    </row>
    <row r="640" spans="1:5" ht="12.75">
      <c r="A640" s="131">
        <v>99801118</v>
      </c>
      <c r="B640" s="7" t="s">
        <v>2214</v>
      </c>
      <c r="C640" s="7">
        <v>35</v>
      </c>
      <c r="D640" s="7">
        <v>250</v>
      </c>
      <c r="E640" s="7">
        <v>99801118</v>
      </c>
    </row>
    <row r="641" spans="1:5" ht="12.75" hidden="1">
      <c r="A641" s="131">
        <v>99817788</v>
      </c>
      <c r="B641" s="7" t="s">
        <v>2217</v>
      </c>
      <c r="C641" s="7">
        <v>35</v>
      </c>
      <c r="D641" s="7">
        <v>300</v>
      </c>
      <c r="E641" s="7">
        <v>99817788</v>
      </c>
    </row>
    <row r="642" spans="1:5" ht="12.75" hidden="1">
      <c r="A642" s="131">
        <v>99817788</v>
      </c>
      <c r="B642" s="7" t="s">
        <v>2217</v>
      </c>
      <c r="C642" s="7">
        <v>35</v>
      </c>
      <c r="D642" s="7">
        <v>300</v>
      </c>
      <c r="E642" s="7">
        <v>99817788</v>
      </c>
    </row>
    <row r="643" spans="1:5" ht="12.75" hidden="1">
      <c r="A643" s="131">
        <v>99801354</v>
      </c>
      <c r="B643" s="7" t="s">
        <v>2216</v>
      </c>
      <c r="C643" s="7">
        <v>35.01</v>
      </c>
      <c r="D643" s="7">
        <v>150</v>
      </c>
      <c r="E643" s="7">
        <v>99801354</v>
      </c>
    </row>
    <row r="644" spans="1:5" ht="12.75" hidden="1">
      <c r="A644" s="131">
        <v>99817787</v>
      </c>
      <c r="B644" s="7" t="s">
        <v>2210</v>
      </c>
      <c r="C644" s="7">
        <v>35.76</v>
      </c>
      <c r="D644" s="7">
        <v>430</v>
      </c>
      <c r="E644" s="7">
        <v>99817787</v>
      </c>
    </row>
    <row r="645" spans="1:5" ht="12.75" hidden="1">
      <c r="A645" s="131">
        <v>99801354</v>
      </c>
      <c r="B645" s="7" t="s">
        <v>2233</v>
      </c>
      <c r="C645" s="7">
        <v>35.799999999999997</v>
      </c>
      <c r="D645" s="7">
        <v>160</v>
      </c>
      <c r="E645" s="7">
        <v>99801354</v>
      </c>
    </row>
    <row r="646" spans="1:5" ht="12.75" hidden="1">
      <c r="A646" s="131">
        <v>99801120</v>
      </c>
      <c r="B646" s="7" t="s">
        <v>2232</v>
      </c>
      <c r="C646" s="7">
        <v>35.799999999999997</v>
      </c>
      <c r="D646" s="7">
        <v>200</v>
      </c>
      <c r="E646" s="7">
        <v>99801120</v>
      </c>
    </row>
    <row r="647" spans="1:5" ht="12.75" hidden="1">
      <c r="A647" s="131">
        <v>99801351</v>
      </c>
      <c r="B647" s="7" t="s">
        <v>2226</v>
      </c>
      <c r="C647" s="7">
        <v>35.9</v>
      </c>
      <c r="D647" s="7">
        <v>125</v>
      </c>
      <c r="E647" s="7">
        <v>99801351</v>
      </c>
    </row>
    <row r="648" spans="1:5" ht="12.75" hidden="1">
      <c r="A648" s="131">
        <v>99801340</v>
      </c>
      <c r="B648" s="7" t="s">
        <v>2215</v>
      </c>
      <c r="C648" s="7">
        <v>36</v>
      </c>
      <c r="D648" s="7">
        <v>300</v>
      </c>
      <c r="E648" s="7">
        <v>99801340</v>
      </c>
    </row>
    <row r="649" spans="1:5" ht="12.75" hidden="1">
      <c r="A649" s="131">
        <v>99817788</v>
      </c>
      <c r="B649" s="7" t="s">
        <v>2217</v>
      </c>
      <c r="C649" s="7">
        <v>36</v>
      </c>
      <c r="D649" s="7">
        <v>320</v>
      </c>
      <c r="E649" s="7">
        <v>99817788</v>
      </c>
    </row>
    <row r="650" spans="1:5" ht="12.75" hidden="1">
      <c r="A650" s="131">
        <v>99817787</v>
      </c>
      <c r="B650" s="7" t="s">
        <v>2210</v>
      </c>
      <c r="C650" s="7">
        <v>36</v>
      </c>
      <c r="D650" s="7">
        <v>450</v>
      </c>
      <c r="E650" s="7">
        <v>99817787</v>
      </c>
    </row>
    <row r="651" spans="1:5" ht="12.75" hidden="1">
      <c r="A651" s="131">
        <v>99801344</v>
      </c>
      <c r="B651" s="7" t="s">
        <v>2209</v>
      </c>
      <c r="C651" s="7">
        <v>36</v>
      </c>
      <c r="D651" s="7">
        <v>450</v>
      </c>
      <c r="E651" s="7">
        <v>99801344</v>
      </c>
    </row>
    <row r="652" spans="1:5" ht="12.75" hidden="1">
      <c r="A652" s="131">
        <v>99801340</v>
      </c>
      <c r="B652" s="7" t="s">
        <v>2215</v>
      </c>
      <c r="C652" s="7">
        <v>36.1</v>
      </c>
      <c r="D652" s="7">
        <v>300</v>
      </c>
      <c r="E652" s="7">
        <v>99801340</v>
      </c>
    </row>
    <row r="653" spans="1:5" ht="12.75" hidden="1">
      <c r="A653" s="131">
        <v>99801351</v>
      </c>
      <c r="B653" s="7" t="s">
        <v>2226</v>
      </c>
      <c r="C653" s="7">
        <v>36.200000000000003</v>
      </c>
      <c r="D653" s="7">
        <v>125</v>
      </c>
      <c r="E653" s="7">
        <v>99801351</v>
      </c>
    </row>
    <row r="654" spans="1:5" ht="12.75" hidden="1">
      <c r="A654" s="131">
        <v>99801354</v>
      </c>
      <c r="B654" s="7" t="s">
        <v>2216</v>
      </c>
      <c r="C654" s="7">
        <v>36.200000000000003</v>
      </c>
      <c r="D654" s="7">
        <v>150</v>
      </c>
      <c r="E654" s="7">
        <v>99801354</v>
      </c>
    </row>
    <row r="655" spans="1:5" ht="12.75" hidden="1">
      <c r="A655" s="131">
        <v>99801125</v>
      </c>
      <c r="B655" s="7" t="s">
        <v>2206</v>
      </c>
      <c r="C655" s="7">
        <v>36.200000000000003</v>
      </c>
      <c r="D655" s="7">
        <v>350</v>
      </c>
      <c r="E655" s="7">
        <v>99801125</v>
      </c>
    </row>
    <row r="656" spans="1:5" ht="12.75" hidden="1">
      <c r="A656" s="131">
        <v>99801341</v>
      </c>
      <c r="B656" s="7" t="s">
        <v>2219</v>
      </c>
      <c r="C656" s="7">
        <v>36.200000000000003</v>
      </c>
      <c r="D656" s="7">
        <v>350</v>
      </c>
      <c r="E656" s="7">
        <v>99801341</v>
      </c>
    </row>
    <row r="657" spans="1:5" ht="12.75" hidden="1">
      <c r="A657" s="131">
        <v>99801111</v>
      </c>
      <c r="B657" s="7" t="s">
        <v>2234</v>
      </c>
      <c r="C657" s="7">
        <v>36.200000000000003</v>
      </c>
      <c r="D657" s="7">
        <v>775</v>
      </c>
      <c r="E657" s="7">
        <v>99801111</v>
      </c>
    </row>
    <row r="658" spans="1:5" ht="12.75" hidden="1">
      <c r="A658" s="131">
        <v>99801351</v>
      </c>
      <c r="B658" s="7" t="s">
        <v>2226</v>
      </c>
      <c r="C658" s="7">
        <v>36.6</v>
      </c>
      <c r="D658" s="7">
        <v>125</v>
      </c>
      <c r="E658" s="7">
        <v>99801351</v>
      </c>
    </row>
    <row r="659" spans="1:5" ht="12.75" hidden="1">
      <c r="A659" s="131">
        <v>99801111</v>
      </c>
      <c r="B659" s="7" t="s">
        <v>2234</v>
      </c>
      <c r="C659" s="7">
        <v>36.6</v>
      </c>
      <c r="D659" s="7">
        <v>750</v>
      </c>
      <c r="E659" s="7">
        <v>99801111</v>
      </c>
    </row>
    <row r="660" spans="1:5" ht="12.75" hidden="1">
      <c r="A660" s="131">
        <v>99801120</v>
      </c>
      <c r="B660" s="7" t="s">
        <v>2232</v>
      </c>
      <c r="C660" s="7">
        <v>36.700000000000003</v>
      </c>
      <c r="D660" s="7">
        <v>220</v>
      </c>
      <c r="E660" s="7">
        <v>99801120</v>
      </c>
    </row>
    <row r="661" spans="1:5" ht="12.75" hidden="1">
      <c r="A661" s="131">
        <v>99817787</v>
      </c>
      <c r="B661" s="7" t="s">
        <v>2210</v>
      </c>
      <c r="C661" s="7">
        <v>36.700000000000003</v>
      </c>
      <c r="D661" s="7">
        <v>430</v>
      </c>
      <c r="E661" s="7">
        <v>99817787</v>
      </c>
    </row>
    <row r="662" spans="1:5" ht="12.75" hidden="1">
      <c r="A662" s="131">
        <v>99801120</v>
      </c>
      <c r="B662" s="7" t="s">
        <v>2232</v>
      </c>
      <c r="C662" s="7">
        <v>36.799999999999997</v>
      </c>
      <c r="D662" s="7">
        <v>150</v>
      </c>
      <c r="E662" s="7">
        <v>99801120</v>
      </c>
    </row>
    <row r="663" spans="1:5" ht="12.75" hidden="1">
      <c r="A663" s="131">
        <v>99801341</v>
      </c>
      <c r="B663" s="7" t="s">
        <v>2219</v>
      </c>
      <c r="C663" s="7">
        <v>36.9</v>
      </c>
      <c r="D663" s="7">
        <v>345</v>
      </c>
      <c r="E663" s="7">
        <v>99801341</v>
      </c>
    </row>
    <row r="664" spans="1:5" ht="12.75" hidden="1">
      <c r="A664" s="131">
        <v>99801360</v>
      </c>
      <c r="B664" s="7" t="s">
        <v>2230</v>
      </c>
      <c r="C664" s="7">
        <v>36.9</v>
      </c>
      <c r="D664" s="7">
        <v>400</v>
      </c>
      <c r="E664" s="7">
        <v>99801360</v>
      </c>
    </row>
    <row r="665" spans="1:5" ht="12.75" hidden="1">
      <c r="A665" s="131">
        <v>99801125</v>
      </c>
      <c r="B665" s="7" t="s">
        <v>2206</v>
      </c>
      <c r="C665" s="7">
        <v>36.9</v>
      </c>
      <c r="D665" s="7">
        <v>400</v>
      </c>
      <c r="E665" s="7">
        <v>99801125</v>
      </c>
    </row>
    <row r="666" spans="1:5" ht="12.75" hidden="1">
      <c r="A666" s="131">
        <v>99801354</v>
      </c>
      <c r="B666" s="7" t="s">
        <v>2216</v>
      </c>
      <c r="C666" s="7">
        <v>37</v>
      </c>
      <c r="D666" s="7">
        <v>150</v>
      </c>
      <c r="E666" s="7">
        <v>99801354</v>
      </c>
    </row>
    <row r="667" spans="1:5" ht="12.75" hidden="1">
      <c r="A667" s="131">
        <v>99801120</v>
      </c>
      <c r="B667" s="7" t="s">
        <v>2232</v>
      </c>
      <c r="C667" s="7">
        <v>37</v>
      </c>
      <c r="D667" s="7">
        <v>200</v>
      </c>
      <c r="E667" s="7">
        <v>99801120</v>
      </c>
    </row>
    <row r="668" spans="1:5" ht="12.75">
      <c r="A668" s="131">
        <v>99801339</v>
      </c>
      <c r="B668" s="7" t="s">
        <v>2223</v>
      </c>
      <c r="C668" s="7">
        <v>37</v>
      </c>
      <c r="D668" s="7">
        <v>250</v>
      </c>
      <c r="E668" s="7">
        <v>99801339</v>
      </c>
    </row>
    <row r="669" spans="1:5" ht="12.75">
      <c r="A669" s="131">
        <v>99801121</v>
      </c>
      <c r="B669" s="7" t="s">
        <v>2229</v>
      </c>
      <c r="C669" s="7">
        <v>37</v>
      </c>
      <c r="D669" s="7">
        <v>250</v>
      </c>
      <c r="E669" s="7">
        <v>99801121</v>
      </c>
    </row>
    <row r="670" spans="1:5" ht="12.75">
      <c r="A670" s="131">
        <v>99801340</v>
      </c>
      <c r="B670" s="7" t="s">
        <v>2215</v>
      </c>
      <c r="C670" s="7">
        <v>37</v>
      </c>
      <c r="D670" s="7">
        <v>250</v>
      </c>
      <c r="E670" s="7">
        <v>99801340</v>
      </c>
    </row>
    <row r="671" spans="1:5" ht="12.75" hidden="1">
      <c r="A671" s="131">
        <v>99801125</v>
      </c>
      <c r="B671" s="7" t="s">
        <v>2206</v>
      </c>
      <c r="C671" s="7">
        <v>37</v>
      </c>
      <c r="D671" s="7">
        <v>350</v>
      </c>
      <c r="E671" s="7">
        <v>99801125</v>
      </c>
    </row>
    <row r="672" spans="1:5" ht="12.75" hidden="1">
      <c r="A672" s="131">
        <v>99801125</v>
      </c>
      <c r="B672" s="7" t="s">
        <v>2206</v>
      </c>
      <c r="C672" s="7">
        <v>37</v>
      </c>
      <c r="D672" s="7">
        <v>360</v>
      </c>
      <c r="E672" s="7">
        <v>99801125</v>
      </c>
    </row>
    <row r="673" spans="1:5" ht="12.75" hidden="1">
      <c r="A673" s="131">
        <v>99801125</v>
      </c>
      <c r="B673" s="7" t="s">
        <v>2206</v>
      </c>
      <c r="C673" s="7">
        <v>37.1</v>
      </c>
      <c r="D673" s="7">
        <v>350</v>
      </c>
      <c r="E673" s="7">
        <v>99801125</v>
      </c>
    </row>
    <row r="674" spans="1:5" ht="12.75" hidden="1">
      <c r="A674" s="131">
        <v>99801124</v>
      </c>
      <c r="B674" s="7" t="s">
        <v>2235</v>
      </c>
      <c r="C674" s="7">
        <v>37.4</v>
      </c>
      <c r="D674" s="7">
        <v>300</v>
      </c>
      <c r="E674" s="7">
        <v>99801124</v>
      </c>
    </row>
    <row r="675" spans="1:5" ht="12.75" hidden="1">
      <c r="A675" s="131">
        <v>99801341</v>
      </c>
      <c r="B675" s="7" t="s">
        <v>2219</v>
      </c>
      <c r="C675" s="7">
        <v>37.43</v>
      </c>
      <c r="D675" s="7">
        <v>300</v>
      </c>
      <c r="E675" s="7">
        <v>99801341</v>
      </c>
    </row>
    <row r="676" spans="1:5" ht="12.75" hidden="1">
      <c r="A676" s="131">
        <v>99801365</v>
      </c>
      <c r="B676" s="7" t="s">
        <v>2236</v>
      </c>
      <c r="C676" s="7">
        <v>37.5</v>
      </c>
      <c r="D676" s="7">
        <v>75</v>
      </c>
      <c r="E676" s="7">
        <v>99801365</v>
      </c>
    </row>
    <row r="677" spans="1:5" ht="12.75" hidden="1">
      <c r="A677" s="131">
        <v>99801354</v>
      </c>
      <c r="B677" s="7" t="s">
        <v>2216</v>
      </c>
      <c r="C677" s="7">
        <v>37.799999999999997</v>
      </c>
      <c r="D677" s="7">
        <v>150</v>
      </c>
      <c r="E677" s="7">
        <v>99801354</v>
      </c>
    </row>
    <row r="678" spans="1:5" ht="12.75" hidden="1">
      <c r="A678" s="131">
        <v>99801120</v>
      </c>
      <c r="B678" s="7" t="s">
        <v>2232</v>
      </c>
      <c r="C678" s="7">
        <v>38</v>
      </c>
      <c r="D678" s="7">
        <v>200</v>
      </c>
      <c r="E678" s="7">
        <v>99801120</v>
      </c>
    </row>
    <row r="679" spans="1:5" ht="12.75" hidden="1">
      <c r="A679" s="131">
        <v>99817788</v>
      </c>
      <c r="B679" s="7" t="s">
        <v>2217</v>
      </c>
      <c r="C679" s="7">
        <v>38</v>
      </c>
      <c r="D679" s="7">
        <v>300</v>
      </c>
      <c r="E679" s="7">
        <v>99817788</v>
      </c>
    </row>
    <row r="680" spans="1:5" ht="12.75" hidden="1">
      <c r="A680" s="131">
        <v>99801124</v>
      </c>
      <c r="B680" s="7" t="s">
        <v>2235</v>
      </c>
      <c r="C680" s="7">
        <v>38</v>
      </c>
      <c r="D680" s="7">
        <v>300</v>
      </c>
      <c r="E680" s="7">
        <v>99801124</v>
      </c>
    </row>
    <row r="681" spans="1:5" ht="12.75" hidden="1">
      <c r="A681" s="131">
        <v>99801120</v>
      </c>
      <c r="B681" s="7" t="s">
        <v>2232</v>
      </c>
      <c r="C681" s="7">
        <v>38.200000000000003</v>
      </c>
      <c r="D681" s="7">
        <v>190</v>
      </c>
      <c r="E681" s="7">
        <v>99801120</v>
      </c>
    </row>
    <row r="682" spans="1:5" ht="12.75">
      <c r="A682" s="131">
        <v>99801121</v>
      </c>
      <c r="B682" s="7" t="s">
        <v>2229</v>
      </c>
      <c r="C682" s="7">
        <v>38.200000000000003</v>
      </c>
      <c r="D682" s="7">
        <v>250</v>
      </c>
      <c r="E682" s="7">
        <v>99801121</v>
      </c>
    </row>
    <row r="683" spans="1:5" ht="12.75">
      <c r="A683" s="131">
        <v>99801340</v>
      </c>
      <c r="B683" s="7" t="s">
        <v>2215</v>
      </c>
      <c r="C683" s="7">
        <v>38.200000000000003</v>
      </c>
      <c r="D683" s="7">
        <v>250</v>
      </c>
      <c r="E683" s="7">
        <v>99801340</v>
      </c>
    </row>
    <row r="684" spans="1:5" ht="12.75" hidden="1">
      <c r="A684" s="131">
        <v>99801352</v>
      </c>
      <c r="B684" s="7" t="s">
        <v>2231</v>
      </c>
      <c r="C684" s="7">
        <v>38.4</v>
      </c>
      <c r="D684" s="7">
        <v>150</v>
      </c>
      <c r="E684" s="7">
        <v>99801352</v>
      </c>
    </row>
    <row r="685" spans="1:5" ht="12.75">
      <c r="A685" s="131">
        <v>99801121</v>
      </c>
      <c r="B685" s="7" t="s">
        <v>2229</v>
      </c>
      <c r="C685" s="7">
        <v>38.5</v>
      </c>
      <c r="D685" s="7">
        <v>250</v>
      </c>
      <c r="E685" s="7">
        <v>99801121</v>
      </c>
    </row>
    <row r="686" spans="1:5" ht="12.75" hidden="1">
      <c r="A686" s="131">
        <v>99801120</v>
      </c>
      <c r="B686" s="7" t="s">
        <v>2232</v>
      </c>
      <c r="C686" s="7">
        <v>38.700000000000003</v>
      </c>
      <c r="D686" s="7">
        <v>200</v>
      </c>
      <c r="E686" s="7">
        <v>99801120</v>
      </c>
    </row>
    <row r="687" spans="1:5" ht="12.75">
      <c r="A687" s="131">
        <v>99801121</v>
      </c>
      <c r="B687" s="7" t="s">
        <v>2229</v>
      </c>
      <c r="C687" s="7">
        <v>38.700000000000003</v>
      </c>
      <c r="D687" s="7">
        <v>250</v>
      </c>
      <c r="E687" s="7">
        <v>99801121</v>
      </c>
    </row>
    <row r="688" spans="1:5" ht="12.75" hidden="1">
      <c r="A688" s="131">
        <v>99801341</v>
      </c>
      <c r="B688" s="7" t="s">
        <v>2219</v>
      </c>
      <c r="C688" s="7">
        <v>38.700000000000003</v>
      </c>
      <c r="D688" s="7">
        <v>320</v>
      </c>
      <c r="E688" s="7">
        <v>99801341</v>
      </c>
    </row>
    <row r="689" spans="1:5" ht="12.75" hidden="1">
      <c r="A689" s="131">
        <v>99817787</v>
      </c>
      <c r="B689" s="7" t="s">
        <v>2210</v>
      </c>
      <c r="C689" s="7">
        <v>38.909999999999997</v>
      </c>
      <c r="D689" s="7">
        <v>455</v>
      </c>
      <c r="E689" s="7">
        <v>99817787</v>
      </c>
    </row>
    <row r="690" spans="1:5" ht="12.75" hidden="1">
      <c r="A690" s="131">
        <v>99801119</v>
      </c>
      <c r="B690" s="7" t="s">
        <v>2224</v>
      </c>
      <c r="C690" s="7">
        <v>39</v>
      </c>
      <c r="D690" s="7">
        <v>150</v>
      </c>
      <c r="E690" s="7">
        <v>99801119</v>
      </c>
    </row>
    <row r="691" spans="1:5" ht="12.75" hidden="1">
      <c r="A691" s="131">
        <v>99801354</v>
      </c>
      <c r="B691" s="7" t="s">
        <v>2216</v>
      </c>
      <c r="C691" s="7">
        <v>39</v>
      </c>
      <c r="D691" s="7">
        <v>150</v>
      </c>
      <c r="E691" s="7">
        <v>99801354</v>
      </c>
    </row>
    <row r="692" spans="1:5" ht="12.75" hidden="1">
      <c r="A692" s="131">
        <v>99801119</v>
      </c>
      <c r="B692" s="7" t="s">
        <v>2224</v>
      </c>
      <c r="C692" s="7">
        <v>39</v>
      </c>
      <c r="D692" s="7">
        <v>150</v>
      </c>
      <c r="E692" s="7">
        <v>99801119</v>
      </c>
    </row>
    <row r="693" spans="1:5" ht="12.75" hidden="1">
      <c r="A693" s="131">
        <v>99801120</v>
      </c>
      <c r="B693" s="7" t="s">
        <v>2232</v>
      </c>
      <c r="C693" s="7">
        <v>39</v>
      </c>
      <c r="D693" s="7">
        <v>200</v>
      </c>
      <c r="E693" s="7">
        <v>99801120</v>
      </c>
    </row>
    <row r="694" spans="1:5" ht="12.75" hidden="1">
      <c r="A694" s="131">
        <v>99801125</v>
      </c>
      <c r="B694" s="7" t="s">
        <v>2206</v>
      </c>
      <c r="C694" s="7">
        <v>39</v>
      </c>
      <c r="D694" s="7">
        <v>350</v>
      </c>
      <c r="E694" s="7">
        <v>99801125</v>
      </c>
    </row>
    <row r="695" spans="1:5" ht="12.75" hidden="1">
      <c r="A695" s="131">
        <v>99801127</v>
      </c>
      <c r="B695" s="7" t="s">
        <v>2237</v>
      </c>
      <c r="C695" s="7">
        <v>39</v>
      </c>
      <c r="D695" s="7">
        <v>550</v>
      </c>
      <c r="E695" s="7">
        <v>99801127</v>
      </c>
    </row>
    <row r="696" spans="1:5" ht="12.75" hidden="1">
      <c r="A696" s="131">
        <v>99801124</v>
      </c>
      <c r="B696" s="7" t="s">
        <v>2235</v>
      </c>
      <c r="C696" s="7">
        <v>39.619999999999997</v>
      </c>
      <c r="D696" s="7">
        <v>300</v>
      </c>
      <c r="E696" s="7">
        <v>99801124</v>
      </c>
    </row>
    <row r="697" spans="1:5" ht="12.75" hidden="1">
      <c r="A697" s="131">
        <v>99801341</v>
      </c>
      <c r="B697" s="7" t="s">
        <v>2219</v>
      </c>
      <c r="C697" s="7">
        <v>39.619999999999997</v>
      </c>
      <c r="D697" s="7">
        <v>300</v>
      </c>
      <c r="E697" s="7">
        <v>99801341</v>
      </c>
    </row>
    <row r="698" spans="1:5" ht="12.75" hidden="1">
      <c r="A698" s="131">
        <v>99801120</v>
      </c>
      <c r="B698" s="7" t="s">
        <v>2232</v>
      </c>
      <c r="C698" s="7">
        <v>39.9</v>
      </c>
      <c r="D698" s="7">
        <v>200</v>
      </c>
      <c r="E698" s="7">
        <v>99801120</v>
      </c>
    </row>
    <row r="699" spans="1:5" ht="12.75">
      <c r="A699" s="131">
        <v>99801121</v>
      </c>
      <c r="B699" s="7" t="s">
        <v>2229</v>
      </c>
      <c r="C699" s="7">
        <v>39.9</v>
      </c>
      <c r="D699" s="7">
        <v>250</v>
      </c>
      <c r="E699" s="7">
        <v>99801121</v>
      </c>
    </row>
    <row r="700" spans="1:5" ht="12.75" hidden="1">
      <c r="A700" s="131">
        <v>99801125</v>
      </c>
      <c r="B700" s="7" t="s">
        <v>2206</v>
      </c>
      <c r="C700" s="7">
        <v>40.270000000000003</v>
      </c>
      <c r="D700" s="7">
        <v>400</v>
      </c>
      <c r="E700" s="7">
        <v>99801125</v>
      </c>
    </row>
    <row r="701" spans="1:5" ht="12.75" hidden="1">
      <c r="A701" s="131">
        <v>99801120</v>
      </c>
      <c r="B701" s="7" t="s">
        <v>2232</v>
      </c>
      <c r="C701" s="7">
        <v>40.5</v>
      </c>
      <c r="D701" s="7">
        <v>150</v>
      </c>
      <c r="E701" s="7">
        <v>99801120</v>
      </c>
    </row>
    <row r="702" spans="1:5" ht="12.75" hidden="1">
      <c r="A702" s="131">
        <v>99801124</v>
      </c>
      <c r="B702" s="7" t="s">
        <v>2235</v>
      </c>
      <c r="C702" s="7">
        <v>40.81</v>
      </c>
      <c r="D702" s="7">
        <v>300</v>
      </c>
      <c r="E702" s="7">
        <v>99801124</v>
      </c>
    </row>
    <row r="703" spans="1:5" ht="12.75" hidden="1">
      <c r="A703" s="131">
        <v>99801120</v>
      </c>
      <c r="B703" s="7" t="s">
        <v>2232</v>
      </c>
      <c r="C703" s="7">
        <v>40.9</v>
      </c>
      <c r="D703" s="7">
        <v>164</v>
      </c>
      <c r="E703" s="7">
        <v>99801120</v>
      </c>
    </row>
    <row r="704" spans="1:5" ht="12.75" hidden="1">
      <c r="A704" s="131">
        <v>99801355</v>
      </c>
      <c r="B704" s="7" t="s">
        <v>2228</v>
      </c>
      <c r="C704" s="7">
        <v>41</v>
      </c>
      <c r="D704" s="7">
        <v>150</v>
      </c>
      <c r="E704" s="7">
        <v>99801355</v>
      </c>
    </row>
    <row r="705" spans="1:5" ht="12.75" hidden="1">
      <c r="A705" s="131">
        <v>99801120</v>
      </c>
      <c r="B705" s="7" t="s">
        <v>2232</v>
      </c>
      <c r="C705" s="7">
        <v>41</v>
      </c>
      <c r="D705" s="7">
        <v>150</v>
      </c>
      <c r="E705" s="7">
        <v>99801120</v>
      </c>
    </row>
    <row r="706" spans="1:5" ht="12.75" hidden="1">
      <c r="A706" s="131">
        <v>99801362</v>
      </c>
      <c r="B706" s="7" t="s">
        <v>2238</v>
      </c>
      <c r="C706" s="7">
        <v>41.1</v>
      </c>
      <c r="D706" s="7">
        <v>450</v>
      </c>
      <c r="E706" s="7">
        <v>99801362</v>
      </c>
    </row>
    <row r="707" spans="1:5" ht="12.75" hidden="1">
      <c r="A707" s="131">
        <v>99817807</v>
      </c>
      <c r="B707" s="7" t="s">
        <v>2239</v>
      </c>
      <c r="C707" s="7">
        <v>41.73</v>
      </c>
      <c r="D707" s="7">
        <v>350</v>
      </c>
      <c r="E707" s="7">
        <v>99817807</v>
      </c>
    </row>
    <row r="708" spans="1:5" ht="12.75" hidden="1">
      <c r="A708" s="131">
        <v>99801120</v>
      </c>
      <c r="B708" s="7" t="s">
        <v>2232</v>
      </c>
      <c r="C708" s="7">
        <v>42</v>
      </c>
      <c r="D708" s="7">
        <v>200</v>
      </c>
      <c r="E708" s="7">
        <v>99801120</v>
      </c>
    </row>
    <row r="709" spans="1:5" ht="12.75" hidden="1">
      <c r="A709" s="131">
        <v>99801125</v>
      </c>
      <c r="B709" s="7" t="s">
        <v>2206</v>
      </c>
      <c r="C709" s="7">
        <v>42</v>
      </c>
      <c r="D709" s="7">
        <v>380</v>
      </c>
      <c r="E709" s="7">
        <v>99801125</v>
      </c>
    </row>
    <row r="710" spans="1:5" ht="12.75" hidden="1">
      <c r="A710" s="131">
        <v>99801354</v>
      </c>
      <c r="B710" s="7" t="s">
        <v>2233</v>
      </c>
      <c r="C710" s="7">
        <v>42.18</v>
      </c>
      <c r="D710" s="7">
        <v>150</v>
      </c>
      <c r="E710" s="7">
        <v>99801354</v>
      </c>
    </row>
    <row r="711" spans="1:5" ht="12.75" hidden="1">
      <c r="A711" s="131">
        <v>99801122</v>
      </c>
      <c r="B711" s="7" t="s">
        <v>2240</v>
      </c>
      <c r="C711" s="7">
        <v>42.18</v>
      </c>
      <c r="D711" s="7">
        <v>300</v>
      </c>
      <c r="E711" s="7">
        <v>99801122</v>
      </c>
    </row>
    <row r="712" spans="1:5" ht="12.75" hidden="1">
      <c r="A712" s="131">
        <v>99801124</v>
      </c>
      <c r="B712" s="7" t="s">
        <v>2235</v>
      </c>
      <c r="C712" s="7">
        <v>42.18</v>
      </c>
      <c r="D712" s="7">
        <v>300</v>
      </c>
      <c r="E712" s="7">
        <v>99801124</v>
      </c>
    </row>
    <row r="713" spans="1:5" ht="12.75" hidden="1">
      <c r="A713" s="131">
        <v>99801126</v>
      </c>
      <c r="B713" s="7" t="s">
        <v>2241</v>
      </c>
      <c r="C713" s="7">
        <v>42.74</v>
      </c>
      <c r="D713" s="7">
        <v>460</v>
      </c>
      <c r="E713" s="7">
        <v>99801126</v>
      </c>
    </row>
    <row r="714" spans="1:5" ht="12.75" hidden="1">
      <c r="A714" s="131">
        <v>99801126</v>
      </c>
      <c r="B714" s="7" t="s">
        <v>2241</v>
      </c>
      <c r="C714" s="7">
        <v>42.77</v>
      </c>
      <c r="D714" s="7">
        <v>460</v>
      </c>
      <c r="E714" s="7">
        <v>99801126</v>
      </c>
    </row>
    <row r="715" spans="1:5" ht="12.75" hidden="1">
      <c r="A715" s="131">
        <v>99801126</v>
      </c>
      <c r="B715" s="7" t="s">
        <v>2241</v>
      </c>
      <c r="C715" s="7">
        <v>42.79</v>
      </c>
      <c r="D715" s="7">
        <v>455</v>
      </c>
      <c r="E715" s="7">
        <v>99801126</v>
      </c>
    </row>
    <row r="716" spans="1:5" ht="12.75" hidden="1">
      <c r="A716" s="131">
        <v>99801125</v>
      </c>
      <c r="B716" s="7" t="s">
        <v>2206</v>
      </c>
      <c r="C716" s="7">
        <v>42.92</v>
      </c>
      <c r="D716" s="7">
        <v>400</v>
      </c>
      <c r="E716" s="7">
        <v>99801125</v>
      </c>
    </row>
    <row r="717" spans="1:5" ht="12.75" hidden="1">
      <c r="A717" s="131">
        <v>99801121</v>
      </c>
      <c r="B717" s="7" t="s">
        <v>2229</v>
      </c>
      <c r="C717" s="7">
        <v>43</v>
      </c>
      <c r="D717" s="7">
        <v>150</v>
      </c>
      <c r="E717" s="7">
        <v>99801121</v>
      </c>
    </row>
    <row r="718" spans="1:5" ht="12.75" hidden="1">
      <c r="A718" s="131">
        <v>99801125</v>
      </c>
      <c r="B718" s="7" t="s">
        <v>2206</v>
      </c>
      <c r="C718" s="7">
        <v>43</v>
      </c>
      <c r="D718" s="7">
        <v>350</v>
      </c>
      <c r="E718" s="7">
        <v>99801125</v>
      </c>
    </row>
    <row r="719" spans="1:5" ht="12.75" hidden="1">
      <c r="A719" s="131">
        <v>99801358</v>
      </c>
      <c r="B719" s="7" t="s">
        <v>2242</v>
      </c>
      <c r="C719" s="7">
        <v>43.35</v>
      </c>
      <c r="D719" s="7">
        <v>300</v>
      </c>
      <c r="E719" s="7">
        <v>99801358</v>
      </c>
    </row>
    <row r="720" spans="1:5" ht="12.75">
      <c r="A720" s="131">
        <v>99817807</v>
      </c>
      <c r="B720" s="7" t="s">
        <v>2239</v>
      </c>
      <c r="C720" s="7">
        <v>43.7</v>
      </c>
      <c r="D720" s="7">
        <v>250</v>
      </c>
      <c r="E720" s="7">
        <v>99817807</v>
      </c>
    </row>
    <row r="721" spans="1:5" ht="12.75">
      <c r="A721" s="131">
        <v>99801125</v>
      </c>
      <c r="B721" s="7" t="s">
        <v>2206</v>
      </c>
      <c r="C721" s="7">
        <v>43.7</v>
      </c>
      <c r="D721" s="7">
        <v>250</v>
      </c>
      <c r="E721" s="7">
        <v>99801125</v>
      </c>
    </row>
    <row r="722" spans="1:5" ht="12.75" hidden="1">
      <c r="A722" s="131">
        <v>99801125</v>
      </c>
      <c r="B722" s="7" t="s">
        <v>2206</v>
      </c>
      <c r="C722" s="7">
        <v>43.7</v>
      </c>
      <c r="D722" s="7">
        <v>350</v>
      </c>
      <c r="E722" s="7">
        <v>99801125</v>
      </c>
    </row>
    <row r="723" spans="1:5" ht="12.75" hidden="1">
      <c r="A723" s="131">
        <v>99801361</v>
      </c>
      <c r="B723" s="7" t="s">
        <v>2243</v>
      </c>
      <c r="C723" s="7">
        <v>43.8</v>
      </c>
      <c r="D723" s="7">
        <v>450</v>
      </c>
      <c r="E723" s="7">
        <v>99801361</v>
      </c>
    </row>
    <row r="724" spans="1:5" ht="12.75" hidden="1">
      <c r="A724" s="131">
        <v>99801126</v>
      </c>
      <c r="B724" s="7" t="s">
        <v>2241</v>
      </c>
      <c r="C724" s="7">
        <v>43.8</v>
      </c>
      <c r="D724" s="7">
        <v>450</v>
      </c>
      <c r="E724" s="7">
        <v>99801126</v>
      </c>
    </row>
    <row r="725" spans="1:5" ht="12.75" hidden="1">
      <c r="A725" s="131">
        <v>99817806</v>
      </c>
      <c r="B725" s="7" t="s">
        <v>2222</v>
      </c>
      <c r="C725" s="7">
        <v>44</v>
      </c>
      <c r="D725" s="7">
        <v>80</v>
      </c>
      <c r="E725" s="7">
        <v>99817806</v>
      </c>
    </row>
    <row r="726" spans="1:5" ht="12.75" hidden="1">
      <c r="A726" s="131">
        <v>99801120</v>
      </c>
      <c r="B726" s="7" t="s">
        <v>2232</v>
      </c>
      <c r="C726" s="7">
        <v>44</v>
      </c>
      <c r="D726" s="7">
        <v>170</v>
      </c>
      <c r="E726" s="7">
        <v>99801120</v>
      </c>
    </row>
    <row r="727" spans="1:5" ht="12.75" hidden="1">
      <c r="A727" s="131">
        <v>99801122</v>
      </c>
      <c r="B727" s="7" t="s">
        <v>2240</v>
      </c>
      <c r="C727" s="7">
        <v>44</v>
      </c>
      <c r="D727" s="7">
        <v>400</v>
      </c>
      <c r="E727" s="7">
        <v>99801122</v>
      </c>
    </row>
    <row r="728" spans="1:5" ht="12.75">
      <c r="A728" s="131">
        <v>99801121</v>
      </c>
      <c r="B728" s="7" t="s">
        <v>2229</v>
      </c>
      <c r="C728" s="7">
        <v>44.1</v>
      </c>
      <c r="D728" s="7">
        <v>250</v>
      </c>
      <c r="E728" s="7">
        <v>99801121</v>
      </c>
    </row>
    <row r="729" spans="1:5" ht="12.75" hidden="1">
      <c r="A729" s="131">
        <v>99801354</v>
      </c>
      <c r="B729" s="7" t="s">
        <v>2216</v>
      </c>
      <c r="C729" s="7">
        <v>44.3</v>
      </c>
      <c r="D729" s="7">
        <v>155</v>
      </c>
      <c r="E729" s="7">
        <v>99801354</v>
      </c>
    </row>
    <row r="730" spans="1:5" ht="12.75" hidden="1">
      <c r="A730" s="131">
        <v>99801120</v>
      </c>
      <c r="B730" s="7" t="s">
        <v>2232</v>
      </c>
      <c r="C730" s="7">
        <v>44.3</v>
      </c>
      <c r="D730" s="7">
        <v>200</v>
      </c>
      <c r="E730" s="7">
        <v>99801120</v>
      </c>
    </row>
    <row r="731" spans="1:5" ht="12.75" hidden="1">
      <c r="A731" s="131">
        <v>99801125</v>
      </c>
      <c r="B731" s="7" t="s">
        <v>2206</v>
      </c>
      <c r="C731" s="7">
        <v>44.3</v>
      </c>
      <c r="D731" s="7">
        <v>350</v>
      </c>
      <c r="E731" s="7">
        <v>99801125</v>
      </c>
    </row>
    <row r="732" spans="1:5" ht="12.75" hidden="1">
      <c r="A732" s="131">
        <v>99801375</v>
      </c>
      <c r="B732" s="7" t="s">
        <v>2227</v>
      </c>
      <c r="C732" s="7">
        <v>45</v>
      </c>
      <c r="D732" s="7">
        <v>300</v>
      </c>
      <c r="E732" s="7">
        <v>99801375</v>
      </c>
    </row>
    <row r="733" spans="1:5" ht="12.75" hidden="1">
      <c r="A733" s="131">
        <v>99817807</v>
      </c>
      <c r="B733" s="7" t="s">
        <v>2239</v>
      </c>
      <c r="C733" s="7">
        <v>45</v>
      </c>
      <c r="D733" s="7">
        <v>350</v>
      </c>
      <c r="E733" s="7">
        <v>99817807</v>
      </c>
    </row>
    <row r="734" spans="1:5" ht="12.75" hidden="1">
      <c r="A734" s="131">
        <v>99801125</v>
      </c>
      <c r="B734" s="7" t="s">
        <v>2206</v>
      </c>
      <c r="C734" s="7">
        <v>45</v>
      </c>
      <c r="D734" s="7">
        <v>350</v>
      </c>
      <c r="E734" s="7">
        <v>99801125</v>
      </c>
    </row>
    <row r="735" spans="1:5" ht="12.75" hidden="1">
      <c r="A735" s="131">
        <v>99801120</v>
      </c>
      <c r="B735" s="7" t="s">
        <v>2232</v>
      </c>
      <c r="C735" s="7">
        <v>45.4</v>
      </c>
      <c r="D735" s="7">
        <v>200</v>
      </c>
      <c r="E735" s="7">
        <v>99801120</v>
      </c>
    </row>
    <row r="736" spans="1:5" ht="12.75">
      <c r="A736" s="131">
        <v>99801121</v>
      </c>
      <c r="B736" s="7" t="s">
        <v>2229</v>
      </c>
      <c r="C736" s="7">
        <v>45.4</v>
      </c>
      <c r="D736" s="7">
        <v>250</v>
      </c>
      <c r="E736" s="7">
        <v>99801121</v>
      </c>
    </row>
    <row r="737" spans="1:5" ht="12.75" hidden="1">
      <c r="A737" s="131">
        <v>99801122</v>
      </c>
      <c r="B737" s="7" t="s">
        <v>2240</v>
      </c>
      <c r="C737" s="7">
        <v>45.69</v>
      </c>
      <c r="D737" s="7">
        <v>300</v>
      </c>
      <c r="E737" s="7">
        <v>99801122</v>
      </c>
    </row>
    <row r="738" spans="1:5" ht="12.75" hidden="1">
      <c r="A738" s="131">
        <v>99801120</v>
      </c>
      <c r="B738" s="7" t="s">
        <v>2232</v>
      </c>
      <c r="C738" s="7">
        <v>45.76</v>
      </c>
      <c r="D738" s="7">
        <v>180</v>
      </c>
      <c r="E738" s="7">
        <v>99801120</v>
      </c>
    </row>
    <row r="739" spans="1:5" ht="12.75" hidden="1">
      <c r="A739" s="131">
        <v>99801354</v>
      </c>
      <c r="B739" s="7" t="s">
        <v>2216</v>
      </c>
      <c r="C739" s="7">
        <v>46</v>
      </c>
      <c r="D739" s="7">
        <v>145</v>
      </c>
      <c r="E739" s="7">
        <v>99801354</v>
      </c>
    </row>
    <row r="740" spans="1:5" ht="12.75" hidden="1">
      <c r="A740" s="131">
        <v>99801355</v>
      </c>
      <c r="B740" s="7" t="s">
        <v>2228</v>
      </c>
      <c r="C740" s="7">
        <v>46</v>
      </c>
      <c r="D740" s="7">
        <v>190</v>
      </c>
      <c r="E740" s="7">
        <v>99801355</v>
      </c>
    </row>
    <row r="741" spans="1:5" ht="12.75" hidden="1">
      <c r="A741" s="131">
        <v>99801125</v>
      </c>
      <c r="B741" s="7" t="s">
        <v>2206</v>
      </c>
      <c r="C741" s="7">
        <v>46</v>
      </c>
      <c r="D741" s="7">
        <v>350</v>
      </c>
      <c r="E741" s="7">
        <v>99801125</v>
      </c>
    </row>
    <row r="742" spans="1:5" ht="12.75" hidden="1">
      <c r="A742" s="131">
        <v>99801125</v>
      </c>
      <c r="B742" s="7" t="s">
        <v>2206</v>
      </c>
      <c r="C742" s="7">
        <v>46.1</v>
      </c>
      <c r="D742" s="7">
        <v>400</v>
      </c>
      <c r="E742" s="7">
        <v>99801125</v>
      </c>
    </row>
    <row r="743" spans="1:5" ht="12.75" hidden="1">
      <c r="A743" s="131">
        <v>99801126</v>
      </c>
      <c r="B743" s="7" t="s">
        <v>2241</v>
      </c>
      <c r="C743" s="7">
        <v>46.2</v>
      </c>
      <c r="D743" s="7">
        <v>450</v>
      </c>
      <c r="E743" s="7">
        <v>99801126</v>
      </c>
    </row>
    <row r="744" spans="1:5" ht="12.75" hidden="1">
      <c r="A744" s="131">
        <v>99801121</v>
      </c>
      <c r="B744" s="7" t="s">
        <v>2229</v>
      </c>
      <c r="C744" s="7">
        <v>46.3</v>
      </c>
      <c r="D744" s="7">
        <v>205</v>
      </c>
      <c r="E744" s="7">
        <v>99801121</v>
      </c>
    </row>
    <row r="745" spans="1:5" ht="12.75" hidden="1">
      <c r="A745" s="131">
        <v>99801127</v>
      </c>
      <c r="B745" s="7" t="s">
        <v>2237</v>
      </c>
      <c r="C745" s="7">
        <v>47</v>
      </c>
      <c r="D745" s="7">
        <v>500</v>
      </c>
      <c r="E745" s="7">
        <v>99801127</v>
      </c>
    </row>
    <row r="746" spans="1:5" ht="12.75" hidden="1">
      <c r="A746" s="131">
        <v>99801130</v>
      </c>
      <c r="B746" s="7" t="s">
        <v>2244</v>
      </c>
      <c r="C746" s="7">
        <v>47</v>
      </c>
      <c r="D746" s="7">
        <v>600</v>
      </c>
      <c r="E746" s="7">
        <v>99801130</v>
      </c>
    </row>
    <row r="747" spans="1:5" ht="12.75" hidden="1">
      <c r="A747" s="131">
        <v>99801363</v>
      </c>
      <c r="B747" s="7" t="s">
        <v>2245</v>
      </c>
      <c r="C747" s="7">
        <v>47.2</v>
      </c>
      <c r="D747" s="7">
        <v>500</v>
      </c>
      <c r="E747" s="7">
        <v>99801363</v>
      </c>
    </row>
    <row r="748" spans="1:5" ht="12.75" hidden="1">
      <c r="A748" s="131">
        <v>99801130</v>
      </c>
      <c r="B748" s="7" t="s">
        <v>2244</v>
      </c>
      <c r="C748" s="7">
        <v>47.2</v>
      </c>
      <c r="D748" s="7">
        <v>650</v>
      </c>
      <c r="E748" s="7">
        <v>99801130</v>
      </c>
    </row>
    <row r="749" spans="1:5" ht="12.75" hidden="1">
      <c r="A749" s="131">
        <v>99801125</v>
      </c>
      <c r="B749" s="7" t="s">
        <v>2206</v>
      </c>
      <c r="C749" s="7">
        <v>47.8</v>
      </c>
      <c r="D749" s="7">
        <v>350</v>
      </c>
      <c r="E749" s="7">
        <v>99801125</v>
      </c>
    </row>
    <row r="750" spans="1:5" ht="12.75" hidden="1">
      <c r="A750" s="131">
        <v>99801379</v>
      </c>
      <c r="B750" s="7" t="s">
        <v>2246</v>
      </c>
      <c r="C750" s="7">
        <v>47.8</v>
      </c>
      <c r="D750" s="7">
        <v>440</v>
      </c>
      <c r="E750" s="7">
        <v>99801379</v>
      </c>
    </row>
    <row r="751" spans="1:5" ht="12.75" hidden="1">
      <c r="A751" s="131">
        <v>99801125</v>
      </c>
      <c r="B751" s="7" t="s">
        <v>2206</v>
      </c>
      <c r="C751" s="7">
        <v>48</v>
      </c>
      <c r="D751" s="7">
        <v>350</v>
      </c>
      <c r="E751" s="7">
        <v>99801125</v>
      </c>
    </row>
    <row r="752" spans="1:5" ht="12.75" hidden="1">
      <c r="A752" s="131">
        <v>99801360</v>
      </c>
      <c r="B752" s="7" t="s">
        <v>2247</v>
      </c>
      <c r="C752" s="7">
        <v>48</v>
      </c>
      <c r="D752" s="7">
        <v>370</v>
      </c>
      <c r="E752" s="7">
        <v>99801360</v>
      </c>
    </row>
    <row r="753" spans="1:5" ht="12.75" hidden="1">
      <c r="A753" s="131">
        <v>99801358</v>
      </c>
      <c r="B753" s="7" t="s">
        <v>2242</v>
      </c>
      <c r="C753" s="7">
        <v>48.49</v>
      </c>
      <c r="D753" s="7">
        <v>300</v>
      </c>
      <c r="E753" s="7">
        <v>99801358</v>
      </c>
    </row>
    <row r="754" spans="1:5" ht="12.75" hidden="1">
      <c r="A754" s="131">
        <v>99801125</v>
      </c>
      <c r="B754" s="7" t="s">
        <v>2206</v>
      </c>
      <c r="C754" s="7">
        <v>48.49</v>
      </c>
      <c r="D754" s="7">
        <v>300</v>
      </c>
      <c r="E754" s="7">
        <v>99801125</v>
      </c>
    </row>
    <row r="755" spans="1:5" ht="12.75" hidden="1">
      <c r="A755" s="131">
        <v>99801125</v>
      </c>
      <c r="B755" s="7" t="s">
        <v>2206</v>
      </c>
      <c r="C755" s="7">
        <v>48.7</v>
      </c>
      <c r="D755" s="7">
        <v>300</v>
      </c>
      <c r="E755" s="7">
        <v>99801125</v>
      </c>
    </row>
    <row r="756" spans="1:5" ht="12.75" hidden="1">
      <c r="A756" s="131">
        <v>99801126</v>
      </c>
      <c r="B756" s="7" t="s">
        <v>2241</v>
      </c>
      <c r="C756" s="7">
        <v>48.7</v>
      </c>
      <c r="D756" s="7">
        <v>450</v>
      </c>
      <c r="E756" s="7">
        <v>99801126</v>
      </c>
    </row>
    <row r="757" spans="1:5" ht="12.75">
      <c r="A757" s="131">
        <v>99801121</v>
      </c>
      <c r="B757" s="7" t="s">
        <v>2229</v>
      </c>
      <c r="C757" s="7">
        <v>49</v>
      </c>
      <c r="D757" s="7">
        <v>250</v>
      </c>
      <c r="E757" s="7">
        <v>99801121</v>
      </c>
    </row>
    <row r="758" spans="1:5" ht="12.75" hidden="1">
      <c r="A758" s="131">
        <v>99801123</v>
      </c>
      <c r="B758" s="7" t="s">
        <v>2248</v>
      </c>
      <c r="C758" s="7">
        <v>49</v>
      </c>
      <c r="D758" s="7">
        <v>300</v>
      </c>
      <c r="E758" s="7">
        <v>99801123</v>
      </c>
    </row>
    <row r="759" spans="1:5" ht="12.75" hidden="1">
      <c r="A759" s="131">
        <v>99801125</v>
      </c>
      <c r="B759" s="7" t="s">
        <v>2206</v>
      </c>
      <c r="C759" s="7">
        <v>49</v>
      </c>
      <c r="D759" s="7">
        <v>300</v>
      </c>
      <c r="E759" s="7">
        <v>99801125</v>
      </c>
    </row>
    <row r="760" spans="1:5" ht="12.75" hidden="1">
      <c r="A760" s="131">
        <v>99801126</v>
      </c>
      <c r="B760" s="7" t="s">
        <v>2241</v>
      </c>
      <c r="C760" s="7">
        <v>49</v>
      </c>
      <c r="D760" s="7">
        <v>400</v>
      </c>
      <c r="E760" s="7">
        <v>99801126</v>
      </c>
    </row>
    <row r="761" spans="1:5" ht="12.75" hidden="1">
      <c r="A761" s="131">
        <v>99817807</v>
      </c>
      <c r="B761" s="7" t="s">
        <v>2239</v>
      </c>
      <c r="C761" s="7">
        <v>49.35</v>
      </c>
      <c r="D761" s="7">
        <v>300</v>
      </c>
      <c r="E761" s="7">
        <v>99817807</v>
      </c>
    </row>
    <row r="762" spans="1:5" ht="12.75" hidden="1">
      <c r="A762" s="131">
        <v>99801125</v>
      </c>
      <c r="B762" s="7" t="s">
        <v>2206</v>
      </c>
      <c r="C762" s="7">
        <v>49.35</v>
      </c>
      <c r="D762" s="7">
        <v>300</v>
      </c>
      <c r="E762" s="7">
        <v>99801125</v>
      </c>
    </row>
    <row r="763" spans="1:5" ht="12.75" hidden="1">
      <c r="A763" s="131">
        <v>99801358</v>
      </c>
      <c r="B763" s="7" t="s">
        <v>2242</v>
      </c>
      <c r="C763" s="7">
        <v>49.7</v>
      </c>
      <c r="D763" s="7">
        <v>230</v>
      </c>
      <c r="E763" s="7">
        <v>99801358</v>
      </c>
    </row>
    <row r="764" spans="1:5" ht="12.75" hidden="1">
      <c r="A764" s="131">
        <v>99801121</v>
      </c>
      <c r="B764" s="7" t="s">
        <v>2229</v>
      </c>
      <c r="C764" s="7">
        <v>49.7</v>
      </c>
      <c r="D764" s="7">
        <v>230</v>
      </c>
      <c r="E764" s="7">
        <v>99801121</v>
      </c>
    </row>
    <row r="765" spans="1:5" ht="12.75" hidden="1">
      <c r="A765" s="131">
        <v>99801357</v>
      </c>
      <c r="B765" s="7" t="s">
        <v>2249</v>
      </c>
      <c r="C765" s="7">
        <v>49.7</v>
      </c>
      <c r="D765" s="7">
        <v>240</v>
      </c>
      <c r="E765" s="7">
        <v>99801357</v>
      </c>
    </row>
    <row r="766" spans="1:5" ht="12.75" hidden="1">
      <c r="A766" s="131">
        <v>99801358</v>
      </c>
      <c r="B766" s="7" t="s">
        <v>2242</v>
      </c>
      <c r="C766" s="7">
        <v>49.7</v>
      </c>
      <c r="D766" s="7">
        <v>240</v>
      </c>
      <c r="E766" s="7">
        <v>99801358</v>
      </c>
    </row>
    <row r="767" spans="1:5" ht="12.75" hidden="1">
      <c r="A767" s="131">
        <v>99796427</v>
      </c>
      <c r="B767" s="7" t="s">
        <v>2167</v>
      </c>
      <c r="C767" s="7">
        <v>49.7</v>
      </c>
      <c r="D767" s="7">
        <v>240</v>
      </c>
      <c r="E767" s="7">
        <v>99796427</v>
      </c>
    </row>
    <row r="768" spans="1:5" ht="12.75" hidden="1">
      <c r="A768" s="131">
        <v>99801120</v>
      </c>
      <c r="B768" s="7" t="s">
        <v>2232</v>
      </c>
      <c r="C768" s="7">
        <v>50</v>
      </c>
      <c r="D768" s="7">
        <v>200</v>
      </c>
      <c r="E768" s="7">
        <v>99801120</v>
      </c>
    </row>
    <row r="769" spans="1:5" ht="12.75" hidden="1">
      <c r="A769" s="131">
        <v>99801126</v>
      </c>
      <c r="B769" s="7" t="s">
        <v>2241</v>
      </c>
      <c r="C769" s="7">
        <v>50</v>
      </c>
      <c r="D769" s="7">
        <v>400</v>
      </c>
      <c r="E769" s="7">
        <v>99801126</v>
      </c>
    </row>
    <row r="770" spans="1:5" ht="12.75" hidden="1">
      <c r="A770" s="131">
        <v>99801361</v>
      </c>
      <c r="B770" s="7" t="s">
        <v>2243</v>
      </c>
      <c r="C770" s="7">
        <v>50</v>
      </c>
      <c r="D770" s="7">
        <v>400</v>
      </c>
      <c r="E770" s="7">
        <v>99801361</v>
      </c>
    </row>
    <row r="771" spans="1:5" ht="12.75" hidden="1">
      <c r="A771" s="131">
        <v>99801126</v>
      </c>
      <c r="B771" s="7" t="s">
        <v>2241</v>
      </c>
      <c r="C771" s="7">
        <v>50</v>
      </c>
      <c r="D771" s="7">
        <v>400</v>
      </c>
      <c r="E771" s="7">
        <v>99801126</v>
      </c>
    </row>
    <row r="772" spans="1:5" ht="12.75" hidden="1">
      <c r="A772" s="131">
        <v>99801121</v>
      </c>
      <c r="B772" s="7" t="s">
        <v>2229</v>
      </c>
      <c r="C772" s="7">
        <v>50.3</v>
      </c>
      <c r="D772" s="7">
        <v>200</v>
      </c>
      <c r="E772" s="7">
        <v>99801121</v>
      </c>
    </row>
    <row r="773" spans="1:5" ht="12.75" hidden="1">
      <c r="A773" s="131">
        <v>99801121</v>
      </c>
      <c r="B773" s="7" t="s">
        <v>2229</v>
      </c>
      <c r="C773" s="7">
        <v>50.9</v>
      </c>
      <c r="D773" s="7">
        <v>200</v>
      </c>
      <c r="E773" s="7">
        <v>99801121</v>
      </c>
    </row>
    <row r="774" spans="1:5" ht="12.75" hidden="1">
      <c r="A774" s="131">
        <v>99801125</v>
      </c>
      <c r="B774" s="7" t="s">
        <v>2206</v>
      </c>
      <c r="C774" s="7">
        <v>51</v>
      </c>
      <c r="D774" s="7">
        <v>350</v>
      </c>
      <c r="E774" s="7">
        <v>99801125</v>
      </c>
    </row>
    <row r="775" spans="1:5" ht="12.75" hidden="1">
      <c r="A775" s="131">
        <v>99801361</v>
      </c>
      <c r="B775" s="7" t="s">
        <v>2250</v>
      </c>
      <c r="C775" s="7">
        <v>51</v>
      </c>
      <c r="D775" s="7">
        <v>400</v>
      </c>
      <c r="E775" s="7">
        <v>99801361</v>
      </c>
    </row>
    <row r="776" spans="1:5" ht="12.75" hidden="1">
      <c r="A776" s="131">
        <v>99801126</v>
      </c>
      <c r="B776" s="7" t="s">
        <v>2241</v>
      </c>
      <c r="C776" s="7">
        <v>51</v>
      </c>
      <c r="D776" s="7">
        <v>400</v>
      </c>
      <c r="E776" s="7">
        <v>99801126</v>
      </c>
    </row>
    <row r="777" spans="1:5" ht="12.75" hidden="1">
      <c r="A777" s="131">
        <v>99801127</v>
      </c>
      <c r="B777" s="7" t="s">
        <v>2237</v>
      </c>
      <c r="C777" s="7">
        <v>51</v>
      </c>
      <c r="D777" s="7">
        <v>480</v>
      </c>
      <c r="E777" s="7">
        <v>99801127</v>
      </c>
    </row>
    <row r="778" spans="1:5" ht="12.75" hidden="1">
      <c r="A778" s="131">
        <v>99801121</v>
      </c>
      <c r="B778" s="7" t="s">
        <v>2229</v>
      </c>
      <c r="C778" s="7">
        <v>51.4</v>
      </c>
      <c r="D778" s="7">
        <v>200</v>
      </c>
      <c r="E778" s="7">
        <v>99801121</v>
      </c>
    </row>
    <row r="779" spans="1:5" ht="12.75">
      <c r="A779" s="131">
        <v>99801358</v>
      </c>
      <c r="B779" s="7" t="s">
        <v>2242</v>
      </c>
      <c r="C779" s="7">
        <v>52</v>
      </c>
      <c r="D779" s="7">
        <v>280</v>
      </c>
      <c r="E779" s="7">
        <v>99801358</v>
      </c>
    </row>
    <row r="780" spans="1:5" ht="12.75">
      <c r="A780" s="131">
        <v>99801123</v>
      </c>
      <c r="B780" s="7" t="s">
        <v>2248</v>
      </c>
      <c r="C780" s="7">
        <v>52</v>
      </c>
      <c r="D780" s="7">
        <v>280</v>
      </c>
      <c r="E780" s="7">
        <v>99801123</v>
      </c>
    </row>
    <row r="781" spans="1:5" ht="12.75" hidden="1">
      <c r="A781" s="131">
        <v>99801126</v>
      </c>
      <c r="B781" s="7" t="s">
        <v>2241</v>
      </c>
      <c r="C781" s="7">
        <v>52</v>
      </c>
      <c r="D781" s="7">
        <v>400</v>
      </c>
      <c r="E781" s="7">
        <v>99801126</v>
      </c>
    </row>
    <row r="782" spans="1:5" ht="12.75">
      <c r="A782" s="131">
        <v>99801122</v>
      </c>
      <c r="B782" s="7" t="s">
        <v>2240</v>
      </c>
      <c r="C782" s="7">
        <v>52.1</v>
      </c>
      <c r="D782" s="7">
        <v>250</v>
      </c>
      <c r="E782" s="7">
        <v>99801122</v>
      </c>
    </row>
    <row r="783" spans="1:5" ht="12.75" hidden="1">
      <c r="A783" s="131">
        <v>99801126</v>
      </c>
      <c r="B783" s="7" t="s">
        <v>2241</v>
      </c>
      <c r="C783" s="7">
        <v>52.1</v>
      </c>
      <c r="D783" s="7">
        <v>400</v>
      </c>
      <c r="E783" s="7">
        <v>99801126</v>
      </c>
    </row>
    <row r="784" spans="1:5" ht="12.75" hidden="1">
      <c r="A784" s="131">
        <v>99801127</v>
      </c>
      <c r="B784" s="7" t="s">
        <v>2237</v>
      </c>
      <c r="C784" s="7">
        <v>52.1</v>
      </c>
      <c r="D784" s="7">
        <v>450</v>
      </c>
      <c r="E784" s="7">
        <v>99801127</v>
      </c>
    </row>
    <row r="785" spans="1:5" ht="12.75" hidden="1">
      <c r="A785" s="131">
        <v>99801125</v>
      </c>
      <c r="B785" s="7" t="s">
        <v>2206</v>
      </c>
      <c r="C785" s="7">
        <v>52.63</v>
      </c>
      <c r="D785" s="7">
        <v>300</v>
      </c>
      <c r="E785" s="7">
        <v>99801125</v>
      </c>
    </row>
    <row r="786" spans="1:5" ht="12.75" hidden="1">
      <c r="A786" s="131">
        <v>99801365</v>
      </c>
      <c r="B786" s="7" t="s">
        <v>2236</v>
      </c>
      <c r="C786" s="7">
        <v>52.7</v>
      </c>
      <c r="D786" s="7">
        <v>80</v>
      </c>
      <c r="E786" s="7">
        <v>99801365</v>
      </c>
    </row>
    <row r="787" spans="1:5" ht="12.75" hidden="1">
      <c r="A787" s="131">
        <v>99801120</v>
      </c>
      <c r="B787" s="7" t="s">
        <v>2232</v>
      </c>
      <c r="C787" s="7">
        <v>53</v>
      </c>
      <c r="D787" s="7">
        <v>150</v>
      </c>
      <c r="E787" s="7">
        <v>99801120</v>
      </c>
    </row>
    <row r="788" spans="1:5" ht="12.75">
      <c r="A788" s="131">
        <v>99801122</v>
      </c>
      <c r="B788" s="7" t="s">
        <v>2240</v>
      </c>
      <c r="C788" s="7">
        <v>53</v>
      </c>
      <c r="D788" s="7">
        <v>250</v>
      </c>
      <c r="E788" s="7">
        <v>99801122</v>
      </c>
    </row>
    <row r="789" spans="1:5" ht="12.75" hidden="1">
      <c r="A789" s="131">
        <v>99801139</v>
      </c>
      <c r="B789" s="7" t="s">
        <v>2251</v>
      </c>
      <c r="C789" s="7">
        <v>53</v>
      </c>
      <c r="D789" s="7">
        <v>350</v>
      </c>
      <c r="E789" s="7">
        <v>99801139</v>
      </c>
    </row>
    <row r="790" spans="1:5" ht="12.75" hidden="1">
      <c r="A790" s="131">
        <v>99801121</v>
      </c>
      <c r="B790" s="7" t="s">
        <v>2229</v>
      </c>
      <c r="C790" s="7">
        <v>53.2</v>
      </c>
      <c r="D790" s="7">
        <v>220</v>
      </c>
      <c r="E790" s="7">
        <v>99801121</v>
      </c>
    </row>
    <row r="791" spans="1:5" ht="12.75" hidden="1">
      <c r="A791" s="131">
        <v>99801123</v>
      </c>
      <c r="B791" s="7" t="s">
        <v>2248</v>
      </c>
      <c r="C791" s="7">
        <v>53.2</v>
      </c>
      <c r="D791" s="7">
        <v>300</v>
      </c>
      <c r="E791" s="7">
        <v>99801123</v>
      </c>
    </row>
    <row r="792" spans="1:5" ht="12.75" hidden="1">
      <c r="A792" s="131">
        <v>99801139</v>
      </c>
      <c r="B792" s="7" t="s">
        <v>2251</v>
      </c>
      <c r="C792" s="7">
        <v>53.2</v>
      </c>
      <c r="D792" s="7">
        <v>350</v>
      </c>
      <c r="E792" s="7">
        <v>99801139</v>
      </c>
    </row>
    <row r="793" spans="1:5" ht="12.75" hidden="1">
      <c r="A793" s="131">
        <v>99801123</v>
      </c>
      <c r="B793" s="7" t="s">
        <v>2248</v>
      </c>
      <c r="C793" s="7">
        <v>54</v>
      </c>
      <c r="D793" s="7">
        <v>300</v>
      </c>
      <c r="E793" s="7">
        <v>99801123</v>
      </c>
    </row>
    <row r="794" spans="1:5" ht="12.75" hidden="1">
      <c r="A794" s="131">
        <v>99801376</v>
      </c>
      <c r="B794" s="7" t="s">
        <v>2252</v>
      </c>
      <c r="C794" s="7">
        <v>55</v>
      </c>
      <c r="D794" s="7">
        <v>350</v>
      </c>
      <c r="E794" s="7">
        <v>99801376</v>
      </c>
    </row>
    <row r="795" spans="1:5" ht="12.75" hidden="1">
      <c r="A795" s="131">
        <v>99801121</v>
      </c>
      <c r="B795" s="7" t="s">
        <v>2229</v>
      </c>
      <c r="C795" s="7">
        <v>55.06</v>
      </c>
      <c r="D795" s="7">
        <v>183</v>
      </c>
      <c r="E795" s="7">
        <v>99801121</v>
      </c>
    </row>
    <row r="796" spans="1:5" ht="12.75" hidden="1">
      <c r="A796" s="131">
        <v>99801123</v>
      </c>
      <c r="B796" s="7" t="s">
        <v>2248</v>
      </c>
      <c r="C796" s="7">
        <v>55.57</v>
      </c>
      <c r="D796" s="7">
        <v>305</v>
      </c>
      <c r="E796" s="7">
        <v>99801123</v>
      </c>
    </row>
    <row r="797" spans="1:5" ht="12.75" hidden="1">
      <c r="A797" s="131">
        <v>99801121</v>
      </c>
      <c r="B797" s="7" t="s">
        <v>2229</v>
      </c>
      <c r="C797" s="7">
        <v>55.8</v>
      </c>
      <c r="D797" s="7">
        <v>200</v>
      </c>
      <c r="E797" s="7">
        <v>99801121</v>
      </c>
    </row>
    <row r="798" spans="1:5" ht="12.75">
      <c r="A798" s="131">
        <v>99801123</v>
      </c>
      <c r="B798" s="7" t="s">
        <v>2248</v>
      </c>
      <c r="C798" s="7">
        <v>56</v>
      </c>
      <c r="D798" s="7">
        <v>280</v>
      </c>
      <c r="E798" s="7">
        <v>99801123</v>
      </c>
    </row>
    <row r="799" spans="1:5" ht="12.75" hidden="1">
      <c r="A799" s="131">
        <v>99801123</v>
      </c>
      <c r="B799" s="7" t="s">
        <v>2248</v>
      </c>
      <c r="C799" s="7">
        <v>56</v>
      </c>
      <c r="D799" s="7">
        <v>300</v>
      </c>
      <c r="E799" s="7">
        <v>99801123</v>
      </c>
    </row>
    <row r="800" spans="1:5" ht="12.75">
      <c r="A800" s="131">
        <v>99801123</v>
      </c>
      <c r="B800" s="7" t="s">
        <v>2248</v>
      </c>
      <c r="C800" s="7">
        <v>56.18</v>
      </c>
      <c r="D800" s="7">
        <v>250</v>
      </c>
      <c r="E800" s="7">
        <v>99801123</v>
      </c>
    </row>
    <row r="801" spans="1:5" ht="12.75" hidden="1">
      <c r="A801" s="131">
        <v>99801139</v>
      </c>
      <c r="B801" s="7" t="s">
        <v>2251</v>
      </c>
      <c r="C801" s="7">
        <v>56.5</v>
      </c>
      <c r="D801" s="7">
        <v>325</v>
      </c>
      <c r="E801" s="7">
        <v>99801139</v>
      </c>
    </row>
    <row r="802" spans="1:5" ht="12.75" hidden="1">
      <c r="A802" s="131">
        <v>99801127</v>
      </c>
      <c r="B802" s="7" t="s">
        <v>2237</v>
      </c>
      <c r="C802" s="7">
        <v>56.81</v>
      </c>
      <c r="D802" s="7">
        <v>500</v>
      </c>
      <c r="E802" s="7">
        <v>99801127</v>
      </c>
    </row>
    <row r="803" spans="1:5" ht="12.75" hidden="1">
      <c r="A803" s="131">
        <v>99801370</v>
      </c>
      <c r="B803" s="7" t="s">
        <v>2253</v>
      </c>
      <c r="C803" s="7">
        <v>57.36</v>
      </c>
      <c r="D803" s="7">
        <v>150</v>
      </c>
      <c r="E803" s="7">
        <v>99801370</v>
      </c>
    </row>
    <row r="804" spans="1:5" ht="12.75" hidden="1">
      <c r="A804" s="131">
        <v>99801375</v>
      </c>
      <c r="B804" s="7" t="s">
        <v>2227</v>
      </c>
      <c r="C804" s="7">
        <v>57.8</v>
      </c>
      <c r="D804" s="7">
        <v>300</v>
      </c>
      <c r="E804" s="7">
        <v>99801375</v>
      </c>
    </row>
    <row r="805" spans="1:5" ht="12.75" hidden="1">
      <c r="A805" s="131">
        <v>99801139</v>
      </c>
      <c r="B805" s="7" t="s">
        <v>2251</v>
      </c>
      <c r="C805" s="7">
        <v>57.8</v>
      </c>
      <c r="D805" s="7">
        <v>350</v>
      </c>
      <c r="E805" s="7">
        <v>99801139</v>
      </c>
    </row>
    <row r="806" spans="1:5" ht="12.75" hidden="1">
      <c r="A806" s="131">
        <v>99801369</v>
      </c>
      <c r="B806" s="7" t="s">
        <v>2254</v>
      </c>
      <c r="C806" s="7">
        <v>58</v>
      </c>
      <c r="D806" s="7">
        <v>150</v>
      </c>
      <c r="E806" s="7">
        <v>99801369</v>
      </c>
    </row>
    <row r="807" spans="1:5" ht="12.75">
      <c r="A807" s="131">
        <v>99801122</v>
      </c>
      <c r="B807" s="7" t="s">
        <v>2240</v>
      </c>
      <c r="C807" s="7">
        <v>58</v>
      </c>
      <c r="D807" s="7">
        <v>250</v>
      </c>
      <c r="E807" s="7">
        <v>99801122</v>
      </c>
    </row>
    <row r="808" spans="1:5" ht="12.75" hidden="1">
      <c r="A808" s="131">
        <v>99801138</v>
      </c>
      <c r="B808" s="7" t="s">
        <v>2255</v>
      </c>
      <c r="C808" s="7">
        <v>58</v>
      </c>
      <c r="D808" s="7">
        <v>300</v>
      </c>
      <c r="E808" s="7">
        <v>99801138</v>
      </c>
    </row>
    <row r="809" spans="1:5" ht="12.75" hidden="1">
      <c r="A809" s="131">
        <v>99801121</v>
      </c>
      <c r="B809" s="7" t="s">
        <v>2229</v>
      </c>
      <c r="C809" s="7">
        <v>58.4</v>
      </c>
      <c r="D809" s="7">
        <v>200</v>
      </c>
      <c r="E809" s="7">
        <v>99801121</v>
      </c>
    </row>
    <row r="810" spans="1:5" ht="12.75" hidden="1">
      <c r="A810" s="131">
        <v>99801123</v>
      </c>
      <c r="B810" s="7" t="s">
        <v>2248</v>
      </c>
      <c r="C810" s="7">
        <v>58.85</v>
      </c>
      <c r="D810" s="7">
        <v>300</v>
      </c>
      <c r="E810" s="7">
        <v>99801123</v>
      </c>
    </row>
    <row r="811" spans="1:5" ht="12.75" hidden="1">
      <c r="A811" s="131">
        <v>99801121</v>
      </c>
      <c r="B811" s="7" t="s">
        <v>2229</v>
      </c>
      <c r="C811" s="7">
        <v>59.2</v>
      </c>
      <c r="D811" s="7">
        <v>196.1</v>
      </c>
      <c r="E811" s="7">
        <v>99801121</v>
      </c>
    </row>
    <row r="812" spans="1:5" ht="12.75" hidden="1">
      <c r="A812" s="131">
        <v>99801121</v>
      </c>
      <c r="B812" s="7" t="s">
        <v>2229</v>
      </c>
      <c r="C812" s="7">
        <v>59.2</v>
      </c>
      <c r="D812" s="7">
        <v>196.1</v>
      </c>
      <c r="E812" s="7">
        <v>99801121</v>
      </c>
    </row>
    <row r="813" spans="1:5" ht="12.75" hidden="1">
      <c r="A813" s="131">
        <v>99801371</v>
      </c>
      <c r="B813" s="7" t="s">
        <v>2256</v>
      </c>
      <c r="C813" s="7">
        <v>59.8</v>
      </c>
      <c r="D813" s="7">
        <v>150</v>
      </c>
      <c r="E813" s="7">
        <v>99801371</v>
      </c>
    </row>
    <row r="814" spans="1:5" ht="12.75" hidden="1">
      <c r="A814" s="131">
        <v>99801374</v>
      </c>
      <c r="B814" s="7" t="s">
        <v>2257</v>
      </c>
      <c r="C814" s="7">
        <v>59.8</v>
      </c>
      <c r="D814" s="7">
        <v>220</v>
      </c>
      <c r="E814" s="7">
        <v>99801374</v>
      </c>
    </row>
    <row r="815" spans="1:5" ht="12.75" hidden="1">
      <c r="A815" s="131">
        <v>99801141</v>
      </c>
      <c r="B815" s="7" t="s">
        <v>2258</v>
      </c>
      <c r="C815" s="7">
        <v>59.8</v>
      </c>
      <c r="D815" s="7">
        <v>550</v>
      </c>
      <c r="E815" s="7">
        <v>99801141</v>
      </c>
    </row>
    <row r="816" spans="1:5" ht="12.75" hidden="1">
      <c r="A816" s="131">
        <v>99801139</v>
      </c>
      <c r="B816" s="7" t="s">
        <v>2251</v>
      </c>
      <c r="C816" s="7">
        <v>60</v>
      </c>
      <c r="D816" s="7">
        <v>350</v>
      </c>
      <c r="E816" s="7">
        <v>99801139</v>
      </c>
    </row>
    <row r="817" spans="1:5" ht="12.75" hidden="1">
      <c r="A817" s="131">
        <v>99801138</v>
      </c>
      <c r="B817" s="7" t="s">
        <v>2255</v>
      </c>
      <c r="C817" s="7">
        <v>60.9</v>
      </c>
      <c r="D817" s="7">
        <v>315</v>
      </c>
      <c r="E817" s="7">
        <v>99801138</v>
      </c>
    </row>
    <row r="818" spans="1:5" ht="12.75" hidden="1">
      <c r="A818" s="131">
        <v>99801130</v>
      </c>
      <c r="B818" s="7" t="s">
        <v>2244</v>
      </c>
      <c r="C818" s="7">
        <v>60.9</v>
      </c>
      <c r="D818" s="7">
        <v>575</v>
      </c>
      <c r="E818" s="7">
        <v>99801130</v>
      </c>
    </row>
    <row r="819" spans="1:5" ht="12.75" hidden="1">
      <c r="A819" s="131">
        <v>99801139</v>
      </c>
      <c r="B819" s="7" t="s">
        <v>2251</v>
      </c>
      <c r="C819" s="7">
        <v>61.5</v>
      </c>
      <c r="D819" s="7">
        <v>355</v>
      </c>
      <c r="E819" s="7">
        <v>99801139</v>
      </c>
    </row>
    <row r="820" spans="1:5" ht="12.75" hidden="1">
      <c r="A820" s="131">
        <v>99801371</v>
      </c>
      <c r="B820" s="7" t="s">
        <v>2256</v>
      </c>
      <c r="C820" s="7">
        <v>62.45</v>
      </c>
      <c r="D820" s="7">
        <v>150</v>
      </c>
      <c r="E820" s="7">
        <v>99801371</v>
      </c>
    </row>
    <row r="821" spans="1:5" ht="12.75" hidden="1">
      <c r="A821" s="131">
        <v>99801369</v>
      </c>
      <c r="B821" s="7" t="s">
        <v>2254</v>
      </c>
      <c r="C821" s="7">
        <v>64</v>
      </c>
      <c r="D821" s="7">
        <v>150</v>
      </c>
      <c r="E821" s="7">
        <v>99801369</v>
      </c>
    </row>
    <row r="822" spans="1:5" ht="12.75" hidden="1">
      <c r="A822" s="131">
        <v>99801374</v>
      </c>
      <c r="B822" s="7" t="s">
        <v>2257</v>
      </c>
      <c r="C822" s="7">
        <v>64</v>
      </c>
      <c r="D822" s="7">
        <v>200</v>
      </c>
      <c r="E822" s="7">
        <v>99801374</v>
      </c>
    </row>
    <row r="823" spans="1:5" ht="12.75" hidden="1">
      <c r="A823" s="131">
        <v>99801139</v>
      </c>
      <c r="B823" s="7" t="s">
        <v>2251</v>
      </c>
      <c r="C823" s="7">
        <v>64.5</v>
      </c>
      <c r="D823" s="7">
        <v>300</v>
      </c>
      <c r="E823" s="7">
        <v>99801139</v>
      </c>
    </row>
    <row r="824" spans="1:5" ht="12.75" hidden="1">
      <c r="A824" s="131">
        <v>99801371</v>
      </c>
      <c r="B824" s="7" t="s">
        <v>2256</v>
      </c>
      <c r="C824" s="7">
        <v>65</v>
      </c>
      <c r="D824" s="7">
        <v>170</v>
      </c>
      <c r="E824" s="7">
        <v>99801371</v>
      </c>
    </row>
    <row r="825" spans="1:5" ht="12.75">
      <c r="A825" s="131">
        <v>99801138</v>
      </c>
      <c r="B825" s="7" t="s">
        <v>2255</v>
      </c>
      <c r="C825" s="7">
        <v>65</v>
      </c>
      <c r="D825" s="7">
        <v>250</v>
      </c>
      <c r="E825" s="7">
        <v>99801138</v>
      </c>
    </row>
    <row r="826" spans="1:5" ht="12.75">
      <c r="A826" s="131">
        <v>99801375</v>
      </c>
      <c r="B826" s="7" t="s">
        <v>2227</v>
      </c>
      <c r="C826" s="7">
        <v>65</v>
      </c>
      <c r="D826" s="7">
        <v>250</v>
      </c>
      <c r="E826" s="7">
        <v>99801375</v>
      </c>
    </row>
    <row r="827" spans="1:5" ht="12.75" hidden="1">
      <c r="A827" s="131">
        <v>99801140</v>
      </c>
      <c r="B827" s="7" t="s">
        <v>2259</v>
      </c>
      <c r="C827" s="7">
        <v>65.099999999999994</v>
      </c>
      <c r="D827" s="7">
        <v>400</v>
      </c>
      <c r="E827" s="7">
        <v>99801140</v>
      </c>
    </row>
    <row r="828" spans="1:5" ht="12.75" hidden="1">
      <c r="A828" s="131">
        <v>99801379</v>
      </c>
      <c r="B828" s="7" t="s">
        <v>2246</v>
      </c>
      <c r="C828" s="7">
        <v>65.099999999999994</v>
      </c>
      <c r="D828" s="7">
        <v>400</v>
      </c>
      <c r="E828" s="7">
        <v>99801379</v>
      </c>
    </row>
    <row r="829" spans="1:5" ht="12.75" hidden="1">
      <c r="A829" s="131">
        <v>99801138</v>
      </c>
      <c r="B829" s="7" t="s">
        <v>2255</v>
      </c>
      <c r="C829" s="7">
        <v>66</v>
      </c>
      <c r="D829" s="7">
        <v>230</v>
      </c>
      <c r="E829" s="7">
        <v>99801138</v>
      </c>
    </row>
    <row r="830" spans="1:5" ht="12.75" hidden="1">
      <c r="A830" s="131">
        <v>99801139</v>
      </c>
      <c r="B830" s="7" t="s">
        <v>2251</v>
      </c>
      <c r="C830" s="7">
        <v>66.5</v>
      </c>
      <c r="D830" s="7">
        <v>350</v>
      </c>
      <c r="E830" s="7">
        <v>99801139</v>
      </c>
    </row>
    <row r="831" spans="1:5" ht="12.75" hidden="1">
      <c r="A831" s="131">
        <v>99801373</v>
      </c>
      <c r="B831" s="7" t="s">
        <v>2260</v>
      </c>
      <c r="C831" s="7">
        <v>66.849999999999994</v>
      </c>
      <c r="D831" s="7">
        <v>180</v>
      </c>
      <c r="E831" s="7">
        <v>99801373</v>
      </c>
    </row>
    <row r="832" spans="1:5" ht="12.75" hidden="1">
      <c r="A832" s="131">
        <v>99801140</v>
      </c>
      <c r="B832" s="7" t="s">
        <v>2259</v>
      </c>
      <c r="C832" s="7">
        <v>67.7</v>
      </c>
      <c r="D832" s="7">
        <v>350</v>
      </c>
      <c r="E832" s="7">
        <v>99801140</v>
      </c>
    </row>
    <row r="833" spans="1:5" ht="12.75" hidden="1">
      <c r="A833" s="131">
        <v>99801371</v>
      </c>
      <c r="B833" s="7" t="s">
        <v>2256</v>
      </c>
      <c r="C833" s="7">
        <v>68</v>
      </c>
      <c r="D833" s="7">
        <v>180</v>
      </c>
      <c r="E833" s="7">
        <v>99801371</v>
      </c>
    </row>
    <row r="834" spans="1:5" ht="12.75" hidden="1">
      <c r="A834" s="131">
        <v>99801375</v>
      </c>
      <c r="B834" s="7" t="s">
        <v>2227</v>
      </c>
      <c r="C834" s="7">
        <v>68</v>
      </c>
      <c r="D834" s="7">
        <v>290</v>
      </c>
      <c r="E834" s="7">
        <v>99801375</v>
      </c>
    </row>
    <row r="835" spans="1:5" ht="12.75" hidden="1">
      <c r="A835" s="131">
        <v>99801380</v>
      </c>
      <c r="B835" s="7" t="s">
        <v>2261</v>
      </c>
      <c r="C835" s="7">
        <v>68</v>
      </c>
      <c r="D835" s="7">
        <v>400</v>
      </c>
      <c r="E835" s="7">
        <v>99801380</v>
      </c>
    </row>
    <row r="836" spans="1:5" ht="12.75" hidden="1">
      <c r="A836" s="131">
        <v>99801141</v>
      </c>
      <c r="B836" s="7" t="s">
        <v>2258</v>
      </c>
      <c r="C836" s="7">
        <v>68.2</v>
      </c>
      <c r="D836" s="7">
        <v>580</v>
      </c>
      <c r="E836" s="7">
        <v>99801141</v>
      </c>
    </row>
    <row r="837" spans="1:5" ht="12.75" hidden="1">
      <c r="A837" s="131">
        <v>99801370</v>
      </c>
      <c r="B837" s="7" t="s">
        <v>2253</v>
      </c>
      <c r="C837" s="7">
        <v>70</v>
      </c>
      <c r="D837" s="7">
        <v>150</v>
      </c>
      <c r="E837" s="7">
        <v>99801370</v>
      </c>
    </row>
    <row r="838" spans="1:5" ht="12.75" hidden="1">
      <c r="A838" s="131">
        <v>99801139</v>
      </c>
      <c r="B838" s="7" t="s">
        <v>2251</v>
      </c>
      <c r="C838" s="7">
        <v>70</v>
      </c>
      <c r="D838" s="7">
        <v>300</v>
      </c>
      <c r="E838" s="7">
        <v>99801139</v>
      </c>
    </row>
    <row r="839" spans="1:5" ht="12.75" hidden="1">
      <c r="A839" s="131">
        <v>99801139</v>
      </c>
      <c r="B839" s="7" t="s">
        <v>2251</v>
      </c>
      <c r="C839" s="7">
        <v>70.81</v>
      </c>
      <c r="D839" s="7">
        <v>340</v>
      </c>
      <c r="E839" s="7">
        <v>99801139</v>
      </c>
    </row>
    <row r="840" spans="1:5" ht="12.75" hidden="1">
      <c r="A840" s="131">
        <v>99801138</v>
      </c>
      <c r="B840" s="7" t="s">
        <v>2255</v>
      </c>
      <c r="C840" s="7">
        <v>71</v>
      </c>
      <c r="D840" s="7">
        <v>240</v>
      </c>
      <c r="E840" s="7">
        <v>99801138</v>
      </c>
    </row>
    <row r="841" spans="1:5" ht="12.75" hidden="1">
      <c r="A841" s="131">
        <v>99801140</v>
      </c>
      <c r="B841" s="7" t="s">
        <v>2259</v>
      </c>
      <c r="C841" s="7">
        <v>71.239999999999995</v>
      </c>
      <c r="D841" s="7">
        <v>340</v>
      </c>
      <c r="E841" s="7">
        <v>99801140</v>
      </c>
    </row>
    <row r="842" spans="1:5" ht="12.75" hidden="1">
      <c r="A842" s="131">
        <v>99801144</v>
      </c>
      <c r="B842" s="7" t="s">
        <v>2262</v>
      </c>
      <c r="C842" s="7">
        <v>71.599999999999994</v>
      </c>
      <c r="D842" s="7">
        <v>620</v>
      </c>
      <c r="E842" s="7">
        <v>99801144</v>
      </c>
    </row>
    <row r="843" spans="1:5" ht="12.75" hidden="1">
      <c r="A843" s="131">
        <v>99801139</v>
      </c>
      <c r="B843" s="7" t="s">
        <v>2251</v>
      </c>
      <c r="C843" s="7">
        <v>71.650000000000006</v>
      </c>
      <c r="D843" s="7">
        <v>300</v>
      </c>
      <c r="E843" s="7">
        <v>99801139</v>
      </c>
    </row>
    <row r="844" spans="1:5" ht="12.75" hidden="1">
      <c r="A844" s="131">
        <v>99801376</v>
      </c>
      <c r="B844" s="7" t="s">
        <v>2252</v>
      </c>
      <c r="C844" s="7">
        <v>71.650000000000006</v>
      </c>
      <c r="D844" s="7">
        <v>300</v>
      </c>
      <c r="E844" s="7">
        <v>99801376</v>
      </c>
    </row>
    <row r="845" spans="1:5" ht="12.75" hidden="1">
      <c r="A845" s="131">
        <v>99801140</v>
      </c>
      <c r="B845" s="7" t="s">
        <v>2259</v>
      </c>
      <c r="C845" s="7">
        <v>71.8</v>
      </c>
      <c r="D845" s="7">
        <v>400</v>
      </c>
      <c r="E845" s="7">
        <v>99801140</v>
      </c>
    </row>
    <row r="846" spans="1:5" ht="12.75" hidden="1">
      <c r="A846" s="131">
        <v>99817789</v>
      </c>
      <c r="B846" s="7" t="s">
        <v>2263</v>
      </c>
      <c r="C846" s="7">
        <v>72</v>
      </c>
      <c r="D846" s="7">
        <v>450</v>
      </c>
      <c r="E846" s="7">
        <v>99817789</v>
      </c>
    </row>
    <row r="847" spans="1:5" ht="12.75" hidden="1">
      <c r="A847" s="131">
        <v>99801380</v>
      </c>
      <c r="B847" s="7" t="s">
        <v>2261</v>
      </c>
      <c r="C847" s="7">
        <v>72</v>
      </c>
      <c r="D847" s="7">
        <v>450</v>
      </c>
      <c r="E847" s="7">
        <v>99801380</v>
      </c>
    </row>
    <row r="848" spans="1:5" ht="12.75" hidden="1">
      <c r="A848" s="131">
        <v>99801381</v>
      </c>
      <c r="B848" s="7" t="s">
        <v>2264</v>
      </c>
      <c r="C848" s="7">
        <v>73.900000000000006</v>
      </c>
      <c r="D848" s="7">
        <v>500</v>
      </c>
      <c r="E848" s="7">
        <v>99801381</v>
      </c>
    </row>
    <row r="849" spans="1:5" ht="12.75" hidden="1">
      <c r="A849" s="131">
        <v>99801370</v>
      </c>
      <c r="B849" s="7" t="s">
        <v>2253</v>
      </c>
      <c r="C849" s="7">
        <v>75.19</v>
      </c>
      <c r="D849" s="7">
        <v>150</v>
      </c>
      <c r="E849" s="7">
        <v>99801370</v>
      </c>
    </row>
    <row r="850" spans="1:5" ht="12.75">
      <c r="A850" s="131">
        <v>99801375</v>
      </c>
      <c r="B850" s="7" t="s">
        <v>2227</v>
      </c>
      <c r="C850" s="7">
        <v>75.489999999999995</v>
      </c>
      <c r="D850" s="7">
        <v>250</v>
      </c>
      <c r="E850" s="7">
        <v>99801375</v>
      </c>
    </row>
    <row r="851" spans="1:5" ht="12.75" hidden="1">
      <c r="A851" s="131">
        <v>99801372</v>
      </c>
      <c r="B851" s="7" t="s">
        <v>2265</v>
      </c>
      <c r="C851" s="7">
        <v>76</v>
      </c>
      <c r="D851" s="7">
        <v>200</v>
      </c>
      <c r="E851" s="7">
        <v>99801372</v>
      </c>
    </row>
    <row r="852" spans="1:5" ht="12.75" hidden="1">
      <c r="A852" s="131">
        <v>99801139</v>
      </c>
      <c r="B852" s="7" t="s">
        <v>2251</v>
      </c>
      <c r="C852" s="7">
        <v>77</v>
      </c>
      <c r="D852" s="7">
        <v>300</v>
      </c>
      <c r="E852" s="7">
        <v>99801139</v>
      </c>
    </row>
    <row r="853" spans="1:5" ht="12.75" hidden="1">
      <c r="A853" s="131">
        <v>99801376</v>
      </c>
      <c r="B853" s="7" t="s">
        <v>2252</v>
      </c>
      <c r="C853" s="7">
        <v>77</v>
      </c>
      <c r="D853" s="7">
        <v>300</v>
      </c>
      <c r="E853" s="7">
        <v>99801376</v>
      </c>
    </row>
    <row r="854" spans="1:5" ht="12.75" hidden="1">
      <c r="A854" s="131">
        <v>99817789</v>
      </c>
      <c r="B854" s="7" t="s">
        <v>2263</v>
      </c>
      <c r="C854" s="7">
        <v>77.02</v>
      </c>
      <c r="D854" s="7">
        <v>403</v>
      </c>
      <c r="E854" s="7">
        <v>99817789</v>
      </c>
    </row>
    <row r="855" spans="1:5" ht="12.75" hidden="1">
      <c r="A855" s="131">
        <v>99801117</v>
      </c>
      <c r="B855" s="7" t="s">
        <v>2202</v>
      </c>
      <c r="C855" s="7">
        <v>79.400000000000006</v>
      </c>
      <c r="D855" s="7">
        <v>220</v>
      </c>
      <c r="E855" s="7">
        <v>99801117</v>
      </c>
    </row>
    <row r="856" spans="1:5" ht="12.75" hidden="1">
      <c r="A856" s="131">
        <v>99801381</v>
      </c>
      <c r="B856" s="7" t="s">
        <v>2264</v>
      </c>
      <c r="C856" s="7">
        <v>79.459999999999994</v>
      </c>
      <c r="D856" s="7">
        <v>600</v>
      </c>
      <c r="E856" s="7">
        <v>99801381</v>
      </c>
    </row>
    <row r="857" spans="1:5" ht="12.75" hidden="1">
      <c r="A857" s="131">
        <v>99801376</v>
      </c>
      <c r="B857" s="7" t="s">
        <v>2252</v>
      </c>
      <c r="C857" s="7">
        <v>79.5</v>
      </c>
      <c r="D857" s="7">
        <v>300</v>
      </c>
      <c r="E857" s="7">
        <v>99801376</v>
      </c>
    </row>
    <row r="858" spans="1:5" ht="12.75" hidden="1">
      <c r="A858" s="131">
        <v>99801140</v>
      </c>
      <c r="B858" s="7" t="s">
        <v>2259</v>
      </c>
      <c r="C858" s="7">
        <v>79.55</v>
      </c>
      <c r="D858" s="7">
        <v>350</v>
      </c>
      <c r="E858" s="7">
        <v>99801140</v>
      </c>
    </row>
    <row r="859" spans="1:5" ht="12.75" hidden="1">
      <c r="A859" s="131">
        <v>99801371</v>
      </c>
      <c r="B859" s="7" t="s">
        <v>2256</v>
      </c>
      <c r="C859" s="7">
        <v>81.2</v>
      </c>
      <c r="D859" s="7">
        <v>150</v>
      </c>
      <c r="E859" s="7">
        <v>99801371</v>
      </c>
    </row>
    <row r="860" spans="1:5" ht="12.75">
      <c r="A860" s="131">
        <v>99801376</v>
      </c>
      <c r="B860" s="7" t="s">
        <v>2252</v>
      </c>
      <c r="C860" s="7">
        <v>82</v>
      </c>
      <c r="D860" s="7">
        <v>260</v>
      </c>
      <c r="E860" s="7">
        <v>99801376</v>
      </c>
    </row>
    <row r="861" spans="1:5" ht="12.75" hidden="1">
      <c r="A861" s="131">
        <v>99801138</v>
      </c>
      <c r="B861" s="7" t="s">
        <v>2255</v>
      </c>
      <c r="C861" s="7">
        <v>83.2</v>
      </c>
      <c r="D861" s="7">
        <v>340</v>
      </c>
      <c r="E861" s="7">
        <v>99801138</v>
      </c>
    </row>
    <row r="862" spans="1:5" ht="12.75" hidden="1">
      <c r="A862" s="131">
        <v>99801372</v>
      </c>
      <c r="B862" s="7" t="s">
        <v>2265</v>
      </c>
      <c r="C862" s="7">
        <v>84</v>
      </c>
      <c r="D862" s="7">
        <v>200</v>
      </c>
      <c r="E862" s="7">
        <v>99801372</v>
      </c>
    </row>
    <row r="863" spans="1:5" ht="12.75" hidden="1">
      <c r="A863" s="131">
        <v>99801140</v>
      </c>
      <c r="B863" s="7" t="s">
        <v>2259</v>
      </c>
      <c r="C863" s="7">
        <v>84</v>
      </c>
      <c r="D863" s="7">
        <v>350</v>
      </c>
      <c r="E863" s="7">
        <v>99801140</v>
      </c>
    </row>
    <row r="864" spans="1:5" ht="12.75" hidden="1">
      <c r="A864" s="131">
        <v>99801372</v>
      </c>
      <c r="B864" s="7" t="s">
        <v>2265</v>
      </c>
      <c r="C864" s="7">
        <v>85</v>
      </c>
      <c r="D864" s="7">
        <v>200</v>
      </c>
      <c r="E864" s="7">
        <v>99801372</v>
      </c>
    </row>
    <row r="865" spans="1:5" ht="12.75">
      <c r="A865" s="131">
        <v>99801375</v>
      </c>
      <c r="B865" s="7" t="s">
        <v>2227</v>
      </c>
      <c r="C865" s="7">
        <v>85</v>
      </c>
      <c r="D865" s="7">
        <v>250</v>
      </c>
      <c r="E865" s="7">
        <v>99801375</v>
      </c>
    </row>
    <row r="866" spans="1:5" ht="12.75" hidden="1">
      <c r="A866" s="131">
        <v>99801376</v>
      </c>
      <c r="B866" s="7" t="s">
        <v>2252</v>
      </c>
      <c r="C866" s="7">
        <v>85</v>
      </c>
      <c r="D866" s="7">
        <v>300</v>
      </c>
      <c r="E866" s="7">
        <v>99801376</v>
      </c>
    </row>
    <row r="867" spans="1:5" ht="12.75" hidden="1">
      <c r="A867" s="131">
        <v>99801376</v>
      </c>
      <c r="B867" s="7" t="s">
        <v>2252</v>
      </c>
      <c r="C867" s="7">
        <v>85</v>
      </c>
      <c r="D867" s="7">
        <v>300</v>
      </c>
      <c r="E867" s="7">
        <v>99801376</v>
      </c>
    </row>
    <row r="868" spans="1:5" ht="12.75" hidden="1">
      <c r="A868" s="131">
        <v>99801140</v>
      </c>
      <c r="B868" s="7" t="s">
        <v>2259</v>
      </c>
      <c r="C868" s="7">
        <v>85</v>
      </c>
      <c r="D868" s="7">
        <v>350</v>
      </c>
      <c r="E868" s="7">
        <v>99801140</v>
      </c>
    </row>
    <row r="869" spans="1:5" ht="12.75" hidden="1">
      <c r="A869" s="131">
        <v>99801372</v>
      </c>
      <c r="B869" s="7" t="s">
        <v>2265</v>
      </c>
      <c r="C869" s="7">
        <v>85.7</v>
      </c>
      <c r="D869" s="7">
        <v>200</v>
      </c>
      <c r="E869" s="7">
        <v>99801372</v>
      </c>
    </row>
    <row r="870" spans="1:5" ht="12.75" hidden="1">
      <c r="A870" s="131">
        <v>99801376</v>
      </c>
      <c r="B870" s="7" t="s">
        <v>2252</v>
      </c>
      <c r="C870" s="7">
        <v>88</v>
      </c>
      <c r="D870" s="7">
        <v>300</v>
      </c>
      <c r="E870" s="7">
        <v>99801376</v>
      </c>
    </row>
    <row r="871" spans="1:5" ht="12.75" hidden="1">
      <c r="A871" s="131">
        <v>99796409</v>
      </c>
      <c r="B871" s="7" t="s">
        <v>2154</v>
      </c>
      <c r="C871" s="7">
        <v>88</v>
      </c>
      <c r="D871" s="7">
        <v>300</v>
      </c>
      <c r="E871" s="7">
        <v>99796409</v>
      </c>
    </row>
    <row r="872" spans="1:5" ht="12.75" hidden="1">
      <c r="A872" s="131">
        <v>99801376</v>
      </c>
      <c r="B872" s="7" t="s">
        <v>2252</v>
      </c>
      <c r="C872" s="7">
        <v>88.59</v>
      </c>
      <c r="D872" s="7">
        <v>300</v>
      </c>
      <c r="E872" s="7">
        <v>99801376</v>
      </c>
    </row>
    <row r="873" spans="1:5" ht="12.75" hidden="1">
      <c r="A873" s="131">
        <v>99801376</v>
      </c>
      <c r="B873" s="7" t="s">
        <v>2252</v>
      </c>
      <c r="C873" s="7">
        <v>88.66</v>
      </c>
      <c r="D873" s="7">
        <v>300</v>
      </c>
      <c r="E873" s="7">
        <v>99801376</v>
      </c>
    </row>
    <row r="874" spans="1:5" ht="12.75" hidden="1">
      <c r="A874" s="131">
        <v>99801149</v>
      </c>
      <c r="B874" s="7" t="s">
        <v>2266</v>
      </c>
      <c r="C874" s="7">
        <v>92</v>
      </c>
      <c r="D874" s="7">
        <v>550</v>
      </c>
      <c r="E874" s="7">
        <v>99801149</v>
      </c>
    </row>
    <row r="875" spans="1:5" ht="12.75" hidden="1">
      <c r="A875" s="131">
        <v>99801139</v>
      </c>
      <c r="B875" s="7" t="s">
        <v>2251</v>
      </c>
      <c r="C875" s="7">
        <v>93</v>
      </c>
      <c r="D875" s="7">
        <v>300</v>
      </c>
      <c r="E875" s="7">
        <v>99801139</v>
      </c>
    </row>
    <row r="876" spans="1:5" ht="12.75" hidden="1">
      <c r="A876" s="131">
        <v>99801393</v>
      </c>
      <c r="B876" s="7" t="s">
        <v>2267</v>
      </c>
      <c r="C876" s="7">
        <v>93</v>
      </c>
      <c r="D876" s="7">
        <v>300</v>
      </c>
      <c r="E876" s="7">
        <v>99801393</v>
      </c>
    </row>
    <row r="877" spans="1:5" ht="12.75" hidden="1">
      <c r="A877" s="131">
        <v>99801372</v>
      </c>
      <c r="B877" s="7" t="s">
        <v>2265</v>
      </c>
      <c r="C877" s="7">
        <v>94</v>
      </c>
      <c r="D877" s="7">
        <v>150</v>
      </c>
      <c r="E877" s="7">
        <v>99801372</v>
      </c>
    </row>
    <row r="878" spans="1:5" ht="12.75">
      <c r="A878" s="131">
        <v>99801393</v>
      </c>
      <c r="B878" s="7" t="s">
        <v>2267</v>
      </c>
      <c r="C878" s="7">
        <v>95.6</v>
      </c>
      <c r="D878" s="7">
        <v>250</v>
      </c>
      <c r="E878" s="7">
        <v>99801393</v>
      </c>
    </row>
    <row r="879" spans="1:5" ht="12.75" hidden="1">
      <c r="A879" s="131">
        <v>99801141</v>
      </c>
      <c r="B879" s="7" t="s">
        <v>2258</v>
      </c>
      <c r="C879" s="7">
        <v>96</v>
      </c>
      <c r="D879" s="7">
        <v>450</v>
      </c>
      <c r="E879" s="7">
        <v>99801141</v>
      </c>
    </row>
    <row r="880" spans="1:5" ht="12.75">
      <c r="A880" s="131">
        <v>99801393</v>
      </c>
      <c r="B880" s="7" t="s">
        <v>2267</v>
      </c>
      <c r="C880" s="7">
        <v>96.53</v>
      </c>
      <c r="D880" s="7">
        <v>255</v>
      </c>
      <c r="E880" s="7">
        <v>99801393</v>
      </c>
    </row>
    <row r="881" spans="1:5" ht="12.75">
      <c r="A881" s="131">
        <v>99801393</v>
      </c>
      <c r="B881" s="7" t="s">
        <v>2267</v>
      </c>
      <c r="C881" s="7">
        <v>97.14</v>
      </c>
      <c r="D881" s="7">
        <v>255</v>
      </c>
      <c r="E881" s="7">
        <v>99801393</v>
      </c>
    </row>
    <row r="882" spans="1:5" ht="12.75" hidden="1">
      <c r="A882" s="131">
        <v>99801147</v>
      </c>
      <c r="B882" s="7" t="s">
        <v>2268</v>
      </c>
      <c r="C882" s="7">
        <v>99.9</v>
      </c>
      <c r="D882" s="7">
        <v>350</v>
      </c>
      <c r="E882" s="7">
        <v>99801147</v>
      </c>
    </row>
    <row r="883" spans="1:5" ht="12.75" hidden="1">
      <c r="A883" s="131">
        <v>99801147</v>
      </c>
      <c r="B883" s="7" t="s">
        <v>2268</v>
      </c>
      <c r="C883" s="7">
        <v>100</v>
      </c>
      <c r="D883" s="7">
        <v>450</v>
      </c>
      <c r="E883" s="7">
        <v>99801147</v>
      </c>
    </row>
    <row r="884" spans="1:5" ht="12.75" hidden="1">
      <c r="A884" s="131">
        <v>99801394</v>
      </c>
      <c r="B884" s="7" t="s">
        <v>2269</v>
      </c>
      <c r="C884" s="7">
        <v>104.45</v>
      </c>
      <c r="D884" s="7">
        <v>300</v>
      </c>
      <c r="E884" s="7">
        <v>99801394</v>
      </c>
    </row>
    <row r="885" spans="1:5" ht="12.75" hidden="1">
      <c r="A885" s="131">
        <v>99801147</v>
      </c>
      <c r="B885" s="7" t="s">
        <v>2270</v>
      </c>
      <c r="C885" s="7">
        <v>105</v>
      </c>
      <c r="D885" s="7">
        <v>300</v>
      </c>
      <c r="E885" s="7">
        <v>99801147</v>
      </c>
    </row>
    <row r="886" spans="1:5" ht="12.75" hidden="1">
      <c r="A886" s="131">
        <v>99801148</v>
      </c>
      <c r="B886" s="7" t="s">
        <v>2271</v>
      </c>
      <c r="C886" s="7">
        <v>105</v>
      </c>
      <c r="D886" s="7">
        <v>500</v>
      </c>
      <c r="E886" s="7">
        <v>99801148</v>
      </c>
    </row>
    <row r="887" spans="1:5" ht="12.75" hidden="1">
      <c r="A887" s="131">
        <v>99801393</v>
      </c>
      <c r="B887" s="7" t="s">
        <v>2267</v>
      </c>
      <c r="C887" s="7">
        <v>106.2</v>
      </c>
      <c r="D887" s="7">
        <v>200</v>
      </c>
      <c r="E887" s="7">
        <v>99801393</v>
      </c>
    </row>
    <row r="888" spans="1:5" ht="12.75" hidden="1">
      <c r="A888" s="131">
        <v>99801147</v>
      </c>
      <c r="B888" s="7" t="s">
        <v>2268</v>
      </c>
      <c r="C888" s="7">
        <v>110</v>
      </c>
      <c r="D888" s="7">
        <v>350</v>
      </c>
      <c r="E888" s="7">
        <v>99801147</v>
      </c>
    </row>
    <row r="889" spans="1:5" ht="12.75" hidden="1">
      <c r="A889" s="131">
        <v>99801147</v>
      </c>
      <c r="B889" s="7" t="s">
        <v>2268</v>
      </c>
      <c r="C889" s="7">
        <v>111</v>
      </c>
      <c r="D889" s="7">
        <v>351.6</v>
      </c>
      <c r="E889" s="7">
        <v>99801147</v>
      </c>
    </row>
    <row r="890" spans="1:5" ht="12.75">
      <c r="A890" s="131">
        <v>99801393</v>
      </c>
      <c r="B890" s="7" t="s">
        <v>2267</v>
      </c>
      <c r="C890" s="7">
        <v>119.2</v>
      </c>
      <c r="D890" s="7">
        <v>250</v>
      </c>
      <c r="E890" s="7">
        <v>99801393</v>
      </c>
    </row>
    <row r="891" spans="1:5" ht="12.75" hidden="1">
      <c r="A891" s="131">
        <v>99801389</v>
      </c>
      <c r="B891" s="7" t="s">
        <v>2272</v>
      </c>
      <c r="C891" s="7">
        <v>120</v>
      </c>
      <c r="D891" s="7">
        <v>180</v>
      </c>
      <c r="E891" s="7">
        <v>99801389</v>
      </c>
    </row>
    <row r="892" spans="1:5" ht="12.75" hidden="1">
      <c r="A892" s="131">
        <v>99801147</v>
      </c>
      <c r="B892" s="7" t="s">
        <v>2270</v>
      </c>
      <c r="C892" s="7">
        <v>121.3</v>
      </c>
      <c r="D892" s="7">
        <v>350</v>
      </c>
      <c r="E892" s="7">
        <v>99801147</v>
      </c>
    </row>
    <row r="893" spans="1:5" ht="12.75" hidden="1">
      <c r="A893" s="131">
        <v>99801388</v>
      </c>
      <c r="B893" s="7" t="s">
        <v>2273</v>
      </c>
      <c r="C893" s="7">
        <v>122</v>
      </c>
      <c r="D893" s="7">
        <v>150</v>
      </c>
      <c r="E893" s="7">
        <v>99801388</v>
      </c>
    </row>
    <row r="894" spans="1:5" ht="12.75">
      <c r="A894" s="131">
        <v>99801393</v>
      </c>
      <c r="B894" s="7" t="s">
        <v>2267</v>
      </c>
      <c r="C894" s="7">
        <v>122.3</v>
      </c>
      <c r="D894" s="7">
        <v>265</v>
      </c>
      <c r="E894" s="7">
        <v>99801393</v>
      </c>
    </row>
    <row r="895" spans="1:5" ht="12.75" hidden="1">
      <c r="A895" s="131">
        <v>99801148</v>
      </c>
      <c r="B895" s="7" t="s">
        <v>2271</v>
      </c>
      <c r="C895" s="7">
        <v>127</v>
      </c>
      <c r="D895" s="7">
        <v>450</v>
      </c>
      <c r="E895" s="7">
        <v>99801148</v>
      </c>
    </row>
    <row r="896" spans="1:5" ht="12.75" hidden="1">
      <c r="A896" s="131">
        <v>99801397</v>
      </c>
      <c r="B896" s="7" t="s">
        <v>2274</v>
      </c>
      <c r="C896" s="7">
        <v>127</v>
      </c>
      <c r="D896" s="7">
        <v>450</v>
      </c>
      <c r="E896" s="7">
        <v>99801397</v>
      </c>
    </row>
    <row r="897" spans="1:5" ht="12.75" hidden="1">
      <c r="A897" s="131">
        <v>99801394</v>
      </c>
      <c r="B897" s="7" t="s">
        <v>2269</v>
      </c>
      <c r="C897" s="7">
        <v>129.4</v>
      </c>
      <c r="D897" s="7">
        <v>300</v>
      </c>
      <c r="E897" s="7">
        <v>99801394</v>
      </c>
    </row>
    <row r="898" spans="1:5" ht="12.75" hidden="1">
      <c r="A898" s="131">
        <v>99801148</v>
      </c>
      <c r="B898" s="7" t="s">
        <v>2275</v>
      </c>
      <c r="C898" s="7">
        <v>132.4</v>
      </c>
      <c r="D898" s="7">
        <v>500</v>
      </c>
      <c r="E898" s="7">
        <v>99801148</v>
      </c>
    </row>
    <row r="899" spans="1:5" ht="12.75" hidden="1">
      <c r="A899" s="131">
        <v>99801394</v>
      </c>
      <c r="B899" s="7" t="s">
        <v>2269</v>
      </c>
      <c r="C899" s="7">
        <v>132.80000000000001</v>
      </c>
      <c r="D899" s="7">
        <v>325</v>
      </c>
      <c r="E899" s="7">
        <v>99801394</v>
      </c>
    </row>
    <row r="900" spans="1:5" ht="12.75" hidden="1">
      <c r="A900" s="131">
        <v>99801394</v>
      </c>
      <c r="B900" s="7" t="s">
        <v>2269</v>
      </c>
      <c r="C900" s="7">
        <v>143.5</v>
      </c>
      <c r="D900" s="7">
        <v>300</v>
      </c>
      <c r="E900" s="7">
        <v>99801394</v>
      </c>
    </row>
    <row r="901" spans="1:5" ht="12.75" hidden="1">
      <c r="A901" s="131">
        <v>99803630</v>
      </c>
      <c r="B901" s="7" t="s">
        <v>2276</v>
      </c>
      <c r="C901" s="7">
        <v>147</v>
      </c>
      <c r="D901" s="7">
        <v>150</v>
      </c>
      <c r="E901" s="7">
        <v>99803630</v>
      </c>
    </row>
    <row r="902" spans="1:5" ht="12.75">
      <c r="A902" s="131">
        <v>99801394</v>
      </c>
      <c r="B902" s="7" t="s">
        <v>2269</v>
      </c>
      <c r="C902" s="7">
        <v>151.19999999999999</v>
      </c>
      <c r="D902" s="7">
        <v>250</v>
      </c>
      <c r="E902" s="7">
        <v>99801394</v>
      </c>
    </row>
    <row r="903" spans="1:5" ht="12.75">
      <c r="A903" s="131">
        <v>99801394</v>
      </c>
      <c r="B903" s="7" t="s">
        <v>2269</v>
      </c>
      <c r="C903" s="7">
        <v>155</v>
      </c>
      <c r="D903" s="7">
        <v>250</v>
      </c>
      <c r="E903" s="7">
        <v>99801394</v>
      </c>
    </row>
    <row r="904" spans="1:5" ht="12.75" hidden="1">
      <c r="A904" s="131">
        <v>99803651</v>
      </c>
      <c r="B904" s="7" t="s">
        <v>2277</v>
      </c>
      <c r="C904" s="7">
        <v>175</v>
      </c>
      <c r="D904" s="7">
        <v>500</v>
      </c>
      <c r="E904" s="7">
        <v>99803651</v>
      </c>
    </row>
    <row r="905" spans="1:5" ht="12.75" hidden="1">
      <c r="A905" s="131">
        <v>99801151</v>
      </c>
      <c r="B905" s="7" t="s">
        <v>2278</v>
      </c>
      <c r="C905" s="7">
        <v>180.8</v>
      </c>
      <c r="D905" s="7">
        <v>300</v>
      </c>
      <c r="E905" s="7">
        <v>99801151</v>
      </c>
    </row>
    <row r="906" spans="1:5" ht="12.75" hidden="1">
      <c r="A906" s="131">
        <v>99801151</v>
      </c>
      <c r="B906" s="7" t="s">
        <v>2278</v>
      </c>
      <c r="C906" s="7">
        <v>180.8</v>
      </c>
      <c r="D906" s="7">
        <v>350</v>
      </c>
      <c r="E906" s="7">
        <v>99801151</v>
      </c>
    </row>
    <row r="907" spans="1:5" ht="12.75" hidden="1">
      <c r="A907" s="20"/>
    </row>
    <row r="908" spans="1:5" ht="12.75" hidden="1">
      <c r="A908" s="20"/>
    </row>
    <row r="909" spans="1:5" ht="12.75" hidden="1">
      <c r="A909" s="20"/>
    </row>
    <row r="910" spans="1:5" ht="12.75" hidden="1">
      <c r="A910" s="20"/>
    </row>
    <row r="911" spans="1:5" ht="12.75" hidden="1">
      <c r="A911" s="20"/>
    </row>
    <row r="912" spans="1:5" ht="12.75" hidden="1">
      <c r="A912" s="20"/>
    </row>
    <row r="913" spans="1:1" ht="12.75" hidden="1">
      <c r="A913" s="20"/>
    </row>
    <row r="914" spans="1:1" ht="12.75" hidden="1">
      <c r="A914" s="20"/>
    </row>
    <row r="915" spans="1:1" ht="12.75" hidden="1">
      <c r="A915" s="20"/>
    </row>
    <row r="916" spans="1:1" ht="12.75" hidden="1">
      <c r="A916" s="20"/>
    </row>
    <row r="917" spans="1:1" ht="12.75" hidden="1">
      <c r="A917" s="20"/>
    </row>
    <row r="918" spans="1:1" ht="12.75" hidden="1">
      <c r="A918" s="20"/>
    </row>
    <row r="919" spans="1:1" ht="12.75" hidden="1">
      <c r="A919" s="20"/>
    </row>
    <row r="920" spans="1:1" ht="12.75" hidden="1">
      <c r="A920" s="20"/>
    </row>
    <row r="921" spans="1:1" ht="12.75" hidden="1">
      <c r="A921" s="20"/>
    </row>
    <row r="922" spans="1:1" ht="12.75" hidden="1">
      <c r="A922" s="20"/>
    </row>
    <row r="923" spans="1:1" ht="12.75" hidden="1">
      <c r="A923" s="20"/>
    </row>
    <row r="924" spans="1:1" ht="12.75" hidden="1">
      <c r="A924" s="20"/>
    </row>
    <row r="925" spans="1:1" ht="12.75" hidden="1">
      <c r="A925" s="20"/>
    </row>
    <row r="926" spans="1:1" ht="12.75" hidden="1">
      <c r="A926" s="20"/>
    </row>
    <row r="927" spans="1:1" ht="12.75" hidden="1">
      <c r="A927" s="20"/>
    </row>
    <row r="928" spans="1:1" ht="12.75" hidden="1">
      <c r="A928" s="20"/>
    </row>
    <row r="929" spans="1:1" ht="12.75" hidden="1">
      <c r="A929" s="20"/>
    </row>
    <row r="930" spans="1:1" ht="12.75" hidden="1">
      <c r="A930" s="20"/>
    </row>
    <row r="931" spans="1:1" ht="12.75" hidden="1">
      <c r="A931" s="20"/>
    </row>
    <row r="932" spans="1:1" ht="12.75" hidden="1">
      <c r="A932" s="20"/>
    </row>
    <row r="933" spans="1:1" ht="12.75" hidden="1">
      <c r="A933" s="20"/>
    </row>
    <row r="934" spans="1:1" ht="12.75" hidden="1">
      <c r="A934" s="20"/>
    </row>
    <row r="935" spans="1:1" ht="12.75" hidden="1">
      <c r="A935" s="20"/>
    </row>
    <row r="936" spans="1:1" ht="12.75" hidden="1">
      <c r="A936" s="20"/>
    </row>
    <row r="937" spans="1:1" ht="12.75" hidden="1">
      <c r="A937" s="20"/>
    </row>
    <row r="938" spans="1:1" ht="12.75" hidden="1">
      <c r="A938" s="20"/>
    </row>
    <row r="939" spans="1:1" ht="12.75" hidden="1">
      <c r="A939" s="20"/>
    </row>
    <row r="940" spans="1:1" ht="12.75" hidden="1">
      <c r="A940" s="20"/>
    </row>
    <row r="941" spans="1:1" ht="12.75" hidden="1">
      <c r="A941" s="20"/>
    </row>
    <row r="942" spans="1:1" ht="12.75" hidden="1">
      <c r="A942" s="20"/>
    </row>
    <row r="943" spans="1:1" ht="12.75" hidden="1">
      <c r="A943" s="20"/>
    </row>
    <row r="944" spans="1:1" ht="12.75" hidden="1">
      <c r="A944" s="20"/>
    </row>
    <row r="945" spans="1:1" ht="12.75" hidden="1">
      <c r="A945" s="20"/>
    </row>
    <row r="946" spans="1:1" ht="12.75" hidden="1">
      <c r="A946" s="20"/>
    </row>
    <row r="947" spans="1:1" ht="12.75" hidden="1">
      <c r="A947" s="20"/>
    </row>
    <row r="948" spans="1:1" ht="12.75" hidden="1">
      <c r="A948" s="20"/>
    </row>
    <row r="949" spans="1:1" ht="12.75" hidden="1">
      <c r="A949" s="20"/>
    </row>
    <row r="950" spans="1:1" ht="12.75" hidden="1">
      <c r="A950" s="20"/>
    </row>
    <row r="951" spans="1:1" ht="12.75" hidden="1">
      <c r="A951" s="20"/>
    </row>
    <row r="952" spans="1:1" ht="12.75" hidden="1">
      <c r="A952" s="20"/>
    </row>
    <row r="953" spans="1:1" ht="12.75" hidden="1">
      <c r="A953" s="20"/>
    </row>
    <row r="954" spans="1:1" ht="12.75" hidden="1">
      <c r="A954" s="20"/>
    </row>
    <row r="955" spans="1:1" ht="12.75" hidden="1">
      <c r="A955" s="20"/>
    </row>
    <row r="956" spans="1:1" ht="12.75" hidden="1">
      <c r="A956" s="20"/>
    </row>
    <row r="957" spans="1:1" ht="12.75" hidden="1">
      <c r="A957" s="20"/>
    </row>
    <row r="958" spans="1:1" ht="12.75" hidden="1">
      <c r="A958" s="20"/>
    </row>
    <row r="959" spans="1:1" ht="12.75" hidden="1">
      <c r="A959" s="20"/>
    </row>
    <row r="960" spans="1:1" ht="12.75" hidden="1">
      <c r="A960" s="20"/>
    </row>
    <row r="961" spans="1:1" ht="12.75" hidden="1">
      <c r="A961" s="20"/>
    </row>
    <row r="962" spans="1:1" ht="12.75" hidden="1">
      <c r="A962" s="20"/>
    </row>
    <row r="963" spans="1:1" ht="12.75" hidden="1">
      <c r="A963" s="20"/>
    </row>
    <row r="964" spans="1:1" ht="12.75" hidden="1">
      <c r="A964" s="20"/>
    </row>
    <row r="965" spans="1:1" ht="12.75" hidden="1">
      <c r="A965" s="20"/>
    </row>
    <row r="966" spans="1:1" ht="12.75" hidden="1">
      <c r="A966" s="20"/>
    </row>
    <row r="967" spans="1:1" ht="12.75" hidden="1">
      <c r="A967" s="20"/>
    </row>
    <row r="968" spans="1:1" ht="12.75" hidden="1">
      <c r="A968" s="20"/>
    </row>
    <row r="969" spans="1:1" ht="12.75" hidden="1">
      <c r="A969" s="20"/>
    </row>
    <row r="970" spans="1:1" ht="12.75" hidden="1">
      <c r="A970" s="20"/>
    </row>
    <row r="971" spans="1:1" ht="12.75" hidden="1">
      <c r="A971" s="20"/>
    </row>
    <row r="972" spans="1:1" ht="12.75" hidden="1">
      <c r="A972" s="20"/>
    </row>
    <row r="973" spans="1:1" ht="12.75" hidden="1">
      <c r="A973" s="20"/>
    </row>
    <row r="974" spans="1:1" ht="12.75" hidden="1">
      <c r="A974" s="20"/>
    </row>
    <row r="975" spans="1:1" ht="12.75" hidden="1">
      <c r="A975" s="20"/>
    </row>
    <row r="976" spans="1:1" ht="12.75" hidden="1">
      <c r="A976" s="20"/>
    </row>
    <row r="977" spans="1:1" ht="12.75" hidden="1">
      <c r="A977" s="20"/>
    </row>
    <row r="978" spans="1:1" ht="12.75" hidden="1">
      <c r="A978" s="20"/>
    </row>
    <row r="979" spans="1:1" ht="12.75" hidden="1">
      <c r="A979" s="20"/>
    </row>
    <row r="980" spans="1:1" ht="12.75" hidden="1">
      <c r="A980" s="20"/>
    </row>
    <row r="981" spans="1:1" ht="12.75" hidden="1">
      <c r="A981" s="20"/>
    </row>
    <row r="982" spans="1:1" ht="12.75" hidden="1">
      <c r="A982" s="20"/>
    </row>
    <row r="983" spans="1:1" ht="12.75" hidden="1">
      <c r="A983" s="20"/>
    </row>
    <row r="984" spans="1:1" ht="12.75" hidden="1">
      <c r="A984" s="20"/>
    </row>
    <row r="985" spans="1:1" ht="12.75" hidden="1">
      <c r="A985" s="20"/>
    </row>
    <row r="986" spans="1:1" ht="12.75" hidden="1">
      <c r="A986" s="20"/>
    </row>
    <row r="987" spans="1:1" ht="12.75" hidden="1">
      <c r="A987" s="20"/>
    </row>
    <row r="988" spans="1:1" ht="12.75" hidden="1">
      <c r="A988" s="20"/>
    </row>
    <row r="989" spans="1:1" ht="12.75" hidden="1">
      <c r="A989" s="20"/>
    </row>
    <row r="990" spans="1:1" ht="12.75" hidden="1">
      <c r="A990" s="20"/>
    </row>
    <row r="991" spans="1:1" ht="12.75" hidden="1">
      <c r="A991" s="20"/>
    </row>
    <row r="992" spans="1:1" ht="12.75" hidden="1">
      <c r="A992" s="20"/>
    </row>
    <row r="993" spans="1:1" ht="12.75" hidden="1">
      <c r="A993" s="20"/>
    </row>
    <row r="994" spans="1:1" ht="12.75" hidden="1">
      <c r="A994" s="20"/>
    </row>
    <row r="995" spans="1:1" ht="12.75" hidden="1">
      <c r="A995" s="20"/>
    </row>
    <row r="996" spans="1:1" ht="12.75" hidden="1">
      <c r="A996" s="20"/>
    </row>
    <row r="997" spans="1:1" ht="12.75" hidden="1">
      <c r="A997" s="20"/>
    </row>
    <row r="998" spans="1:1" ht="12.75" hidden="1">
      <c r="A998" s="20"/>
    </row>
    <row r="999" spans="1:1" ht="12.75" hidden="1">
      <c r="A999" s="20"/>
    </row>
    <row r="1000" spans="1:1" ht="12.75" hidden="1">
      <c r="A1000" s="20"/>
    </row>
    <row r="1001" spans="1:1" ht="12.75" hidden="1">
      <c r="A1001" s="20"/>
    </row>
    <row r="1002" spans="1:1" ht="12.75" hidden="1">
      <c r="A1002" s="20"/>
    </row>
    <row r="1003" spans="1:1" ht="12.75" hidden="1">
      <c r="A1003" s="20"/>
    </row>
    <row r="1004" spans="1:1" ht="12.75" hidden="1">
      <c r="A1004" s="20"/>
    </row>
    <row r="1005" spans="1:1" ht="12.75" hidden="1">
      <c r="A1005" s="20"/>
    </row>
    <row r="1006" spans="1:1" ht="12.75" hidden="1">
      <c r="A1006" s="20"/>
    </row>
    <row r="1007" spans="1:1" ht="12.75" hidden="1">
      <c r="A1007" s="20"/>
    </row>
    <row r="1008" spans="1:1" ht="12.75" hidden="1">
      <c r="A1008" s="20"/>
    </row>
    <row r="1009" spans="1:1" ht="12.75" hidden="1">
      <c r="A1009" s="20"/>
    </row>
    <row r="1010" spans="1:1" ht="12.75" hidden="1">
      <c r="A1010" s="20"/>
    </row>
    <row r="1011" spans="1:1" ht="12.75" hidden="1">
      <c r="A1011" s="20"/>
    </row>
    <row r="1012" spans="1:1" ht="12.75" hidden="1">
      <c r="A1012" s="20"/>
    </row>
    <row r="1013" spans="1:1" ht="12.75" hidden="1">
      <c r="A1013" s="20"/>
    </row>
    <row r="1014" spans="1:1" ht="12.75" hidden="1">
      <c r="A1014" s="20"/>
    </row>
    <row r="1015" spans="1:1" ht="12.75" hidden="1">
      <c r="A1015" s="20"/>
    </row>
    <row r="1016" spans="1:1" ht="12.75" hidden="1">
      <c r="A1016" s="20"/>
    </row>
    <row r="1017" spans="1:1" ht="12.75" hidden="1">
      <c r="A1017" s="20"/>
    </row>
    <row r="1018" spans="1:1" ht="12.75" hidden="1">
      <c r="A1018" s="20"/>
    </row>
    <row r="1019" spans="1:1" ht="12.75" hidden="1">
      <c r="A1019" s="20"/>
    </row>
    <row r="1020" spans="1:1" ht="12.75" hidden="1">
      <c r="A1020" s="20"/>
    </row>
    <row r="1021" spans="1:1" ht="12.75" hidden="1">
      <c r="A1021" s="20"/>
    </row>
    <row r="1022" spans="1:1" ht="12.75" hidden="1">
      <c r="A1022" s="20"/>
    </row>
    <row r="1023" spans="1:1" ht="12.75" hidden="1">
      <c r="A1023" s="20"/>
    </row>
    <row r="1024" spans="1:1" ht="12.75" hidden="1">
      <c r="A1024" s="20"/>
    </row>
    <row r="1025" spans="1:1" ht="12.75" hidden="1">
      <c r="A1025" s="20"/>
    </row>
    <row r="1026" spans="1:1" ht="12.75" hidden="1">
      <c r="A1026" s="20"/>
    </row>
    <row r="1027" spans="1:1" ht="12.75" hidden="1">
      <c r="A1027" s="20"/>
    </row>
    <row r="1028" spans="1:1" ht="12.75" hidden="1">
      <c r="A1028" s="20"/>
    </row>
    <row r="1029" spans="1:1" ht="12.75" hidden="1">
      <c r="A1029" s="20"/>
    </row>
    <row r="1030" spans="1:1" ht="12.75" hidden="1">
      <c r="A1030" s="20"/>
    </row>
    <row r="1031" spans="1:1" ht="12.75" hidden="1">
      <c r="A1031" s="20"/>
    </row>
    <row r="1032" spans="1:1" ht="12.75" hidden="1">
      <c r="A1032" s="20"/>
    </row>
    <row r="1033" spans="1:1" ht="12.75" hidden="1">
      <c r="A1033" s="20"/>
    </row>
    <row r="1034" spans="1:1" ht="12.75" hidden="1">
      <c r="A1034" s="20"/>
    </row>
    <row r="1035" spans="1:1" ht="12.75" hidden="1">
      <c r="A1035" s="20"/>
    </row>
    <row r="1036" spans="1:1" ht="12.75" hidden="1">
      <c r="A1036" s="20"/>
    </row>
    <row r="1037" spans="1:1" ht="12.75" hidden="1">
      <c r="A1037" s="20"/>
    </row>
    <row r="1038" spans="1:1" ht="12.75" hidden="1">
      <c r="A1038" s="20"/>
    </row>
    <row r="1039" spans="1:1" ht="12.75" hidden="1">
      <c r="A1039" s="20"/>
    </row>
    <row r="1040" spans="1:1" ht="12.75" hidden="1">
      <c r="A1040" s="20"/>
    </row>
    <row r="1041" spans="1:1" ht="12.75" hidden="1">
      <c r="A1041" s="20"/>
    </row>
    <row r="1042" spans="1:1" ht="12.75" hidden="1">
      <c r="A1042" s="20"/>
    </row>
    <row r="1043" spans="1:1" ht="12.75" hidden="1">
      <c r="A1043" s="20"/>
    </row>
    <row r="1044" spans="1:1" ht="12.75" hidden="1">
      <c r="A1044" s="20"/>
    </row>
    <row r="1045" spans="1:1" ht="12.75" hidden="1">
      <c r="A1045" s="20"/>
    </row>
    <row r="1046" spans="1:1" ht="12.75" hidden="1">
      <c r="A1046" s="20"/>
    </row>
    <row r="1047" spans="1:1" ht="12.75" hidden="1">
      <c r="A1047" s="20"/>
    </row>
    <row r="1048" spans="1:1" ht="12.75" hidden="1">
      <c r="A1048" s="20"/>
    </row>
    <row r="1049" spans="1:1" ht="12.75" hidden="1">
      <c r="A1049" s="20"/>
    </row>
    <row r="1050" spans="1:1" ht="12.75" hidden="1">
      <c r="A1050" s="20"/>
    </row>
    <row r="1051" spans="1:1" ht="12.75" hidden="1">
      <c r="A1051" s="20"/>
    </row>
    <row r="1052" spans="1:1" ht="12.75" hidden="1">
      <c r="A1052" s="20"/>
    </row>
    <row r="1053" spans="1:1" ht="12.75" hidden="1">
      <c r="A1053" s="20"/>
    </row>
    <row r="1054" spans="1:1" ht="12.75" hidden="1">
      <c r="A1054" s="20"/>
    </row>
    <row r="1055" spans="1:1" ht="12.75" hidden="1">
      <c r="A1055" s="20"/>
    </row>
    <row r="1056" spans="1:1" ht="12.75" hidden="1">
      <c r="A1056" s="20"/>
    </row>
    <row r="1057" spans="1:1" ht="12.75" hidden="1">
      <c r="A1057" s="20"/>
    </row>
    <row r="1058" spans="1:1" ht="12.75" hidden="1">
      <c r="A1058" s="20"/>
    </row>
    <row r="1059" spans="1:1" ht="12.75" hidden="1">
      <c r="A1059" s="20"/>
    </row>
    <row r="1060" spans="1:1" ht="12.75" hidden="1">
      <c r="A1060" s="20"/>
    </row>
    <row r="1061" spans="1:1" ht="12.75" hidden="1">
      <c r="A1061" s="20"/>
    </row>
    <row r="1062" spans="1:1" ht="12.75" hidden="1">
      <c r="A1062" s="20"/>
    </row>
    <row r="1063" spans="1:1" ht="12.75" hidden="1">
      <c r="A1063" s="20"/>
    </row>
    <row r="1064" spans="1:1" ht="12.75" hidden="1">
      <c r="A1064" s="20"/>
    </row>
    <row r="1065" spans="1:1" ht="12.75" hidden="1">
      <c r="A1065" s="20"/>
    </row>
    <row r="1066" spans="1:1" ht="12.75" hidden="1">
      <c r="A1066" s="20"/>
    </row>
    <row r="1067" spans="1:1" ht="12.75" hidden="1">
      <c r="A1067" s="20"/>
    </row>
    <row r="1068" spans="1:1" ht="12.75" hidden="1">
      <c r="A1068" s="20"/>
    </row>
    <row r="1069" spans="1:1" ht="12.75" hidden="1">
      <c r="A1069" s="20"/>
    </row>
    <row r="1070" spans="1:1" ht="12.75" hidden="1">
      <c r="A1070" s="20"/>
    </row>
    <row r="1071" spans="1:1" ht="12.75" hidden="1">
      <c r="A1071" s="20"/>
    </row>
    <row r="1072" spans="1:1" ht="12.75" hidden="1">
      <c r="A1072" s="20"/>
    </row>
    <row r="1073" spans="1:1" ht="12.75" hidden="1">
      <c r="A1073" s="20"/>
    </row>
    <row r="1074" spans="1:1" ht="12.75" hidden="1">
      <c r="A1074" s="20"/>
    </row>
    <row r="1075" spans="1:1" ht="12.75" hidden="1">
      <c r="A1075" s="20"/>
    </row>
    <row r="1076" spans="1:1" ht="12.75" hidden="1">
      <c r="A1076" s="20"/>
    </row>
    <row r="1077" spans="1:1" ht="12.75" hidden="1">
      <c r="A1077" s="20"/>
    </row>
    <row r="1078" spans="1:1" ht="12.75" hidden="1">
      <c r="A1078" s="20"/>
    </row>
    <row r="1079" spans="1:1" ht="12.75" hidden="1">
      <c r="A1079" s="20"/>
    </row>
    <row r="1080" spans="1:1" ht="12.75" hidden="1">
      <c r="A1080" s="20"/>
    </row>
    <row r="1081" spans="1:1" ht="12.75" hidden="1">
      <c r="A1081" s="20"/>
    </row>
    <row r="1082" spans="1:1" ht="12.75" hidden="1">
      <c r="A1082" s="20"/>
    </row>
    <row r="1083" spans="1:1" ht="12.75" hidden="1">
      <c r="A1083" s="20"/>
    </row>
    <row r="1084" spans="1:1" ht="12.75" hidden="1">
      <c r="A1084" s="20"/>
    </row>
    <row r="1085" spans="1:1" ht="12.75" hidden="1">
      <c r="A1085" s="20"/>
    </row>
    <row r="1086" spans="1:1" ht="12.75" hidden="1">
      <c r="A1086" s="20"/>
    </row>
    <row r="1087" spans="1:1" ht="12.75" hidden="1">
      <c r="A1087" s="20"/>
    </row>
    <row r="1088" spans="1:1" ht="12.75" hidden="1">
      <c r="A1088" s="20"/>
    </row>
    <row r="1089" spans="1:1" ht="12.75" hidden="1">
      <c r="A1089" s="20"/>
    </row>
    <row r="1090" spans="1:1" ht="12.75" hidden="1">
      <c r="A1090" s="20"/>
    </row>
    <row r="1091" spans="1:1" ht="12.75" hidden="1">
      <c r="A1091" s="20"/>
    </row>
    <row r="1092" spans="1:1" ht="12.75" hidden="1">
      <c r="A1092" s="20"/>
    </row>
    <row r="1093" spans="1:1" ht="12.75" hidden="1">
      <c r="A1093" s="20"/>
    </row>
    <row r="1094" spans="1:1" ht="12.75" hidden="1">
      <c r="A1094" s="20"/>
    </row>
    <row r="1095" spans="1:1" ht="12.75" hidden="1">
      <c r="A1095" s="20"/>
    </row>
    <row r="1096" spans="1:1" ht="12.75" hidden="1">
      <c r="A1096" s="20"/>
    </row>
    <row r="1097" spans="1:1" ht="12.75" hidden="1">
      <c r="A1097" s="20"/>
    </row>
    <row r="1098" spans="1:1" ht="12.75" hidden="1">
      <c r="A1098" s="20"/>
    </row>
    <row r="1099" spans="1:1" ht="12.75" hidden="1">
      <c r="A1099" s="20"/>
    </row>
    <row r="1100" spans="1:1" ht="12.75" hidden="1">
      <c r="A1100" s="20"/>
    </row>
    <row r="1101" spans="1:1" ht="12.75" hidden="1">
      <c r="A1101" s="20"/>
    </row>
    <row r="1102" spans="1:1" ht="12.75" hidden="1">
      <c r="A1102" s="20"/>
    </row>
    <row r="1103" spans="1:1" ht="12.75" hidden="1">
      <c r="A1103" s="20"/>
    </row>
    <row r="1104" spans="1:1" ht="12.75" hidden="1">
      <c r="A1104" s="20"/>
    </row>
    <row r="1105" spans="1:1" ht="12.75" hidden="1">
      <c r="A1105" s="20"/>
    </row>
    <row r="1106" spans="1:1" ht="12.75" hidden="1">
      <c r="A1106" s="20"/>
    </row>
    <row r="1107" spans="1:1" ht="12.75" hidden="1">
      <c r="A1107" s="20"/>
    </row>
    <row r="1108" spans="1:1" ht="12.75" hidden="1">
      <c r="A1108" s="20"/>
    </row>
    <row r="1109" spans="1:1" ht="12.75" hidden="1">
      <c r="A1109" s="20"/>
    </row>
    <row r="1110" spans="1:1" ht="12.75" hidden="1">
      <c r="A1110" s="20"/>
    </row>
    <row r="1111" spans="1:1" ht="12.75" hidden="1">
      <c r="A1111" s="20"/>
    </row>
    <row r="1112" spans="1:1" ht="12.75" hidden="1">
      <c r="A1112" s="20"/>
    </row>
    <row r="1113" spans="1:1" ht="12.75" hidden="1">
      <c r="A1113" s="20"/>
    </row>
    <row r="1114" spans="1:1" ht="12.75" hidden="1">
      <c r="A1114" s="20"/>
    </row>
    <row r="1115" spans="1:1" ht="12.75" hidden="1">
      <c r="A1115" s="20"/>
    </row>
    <row r="1116" spans="1:1" ht="12.75" hidden="1">
      <c r="A1116" s="20"/>
    </row>
    <row r="1117" spans="1:1" ht="12.75" hidden="1">
      <c r="A1117" s="20"/>
    </row>
    <row r="1118" spans="1:1" ht="12.75" hidden="1">
      <c r="A1118" s="20"/>
    </row>
    <row r="1119" spans="1:1" ht="12.75" hidden="1">
      <c r="A1119" s="20"/>
    </row>
    <row r="1120" spans="1:1" ht="12.75" hidden="1">
      <c r="A1120" s="20"/>
    </row>
    <row r="1121" spans="1:1" ht="12.75" hidden="1">
      <c r="A1121" s="20"/>
    </row>
    <row r="1122" spans="1:1" ht="12.75" hidden="1">
      <c r="A1122" s="20"/>
    </row>
    <row r="1123" spans="1:1" ht="12.75" hidden="1">
      <c r="A1123" s="20"/>
    </row>
    <row r="1124" spans="1:1" ht="12.75" hidden="1">
      <c r="A1124" s="20"/>
    </row>
    <row r="1125" spans="1:1" ht="12.75" hidden="1">
      <c r="A1125" s="20"/>
    </row>
    <row r="1126" spans="1:1" ht="12.75" hidden="1">
      <c r="A1126" s="20"/>
    </row>
    <row r="1127" spans="1:1" ht="12.75" hidden="1">
      <c r="A1127" s="20"/>
    </row>
    <row r="1128" spans="1:1" ht="12.75" hidden="1">
      <c r="A1128" s="20"/>
    </row>
    <row r="1129" spans="1:1" ht="12.75" hidden="1">
      <c r="A1129" s="20"/>
    </row>
    <row r="1130" spans="1:1" ht="12.75" hidden="1">
      <c r="A1130" s="20"/>
    </row>
    <row r="1131" spans="1:1" ht="12.75" hidden="1">
      <c r="A1131" s="20"/>
    </row>
    <row r="1132" spans="1:1" ht="12.75" hidden="1">
      <c r="A1132" s="20"/>
    </row>
    <row r="1133" spans="1:1" ht="12.75" hidden="1">
      <c r="A1133" s="20"/>
    </row>
    <row r="1134" spans="1:1" ht="12.75" hidden="1">
      <c r="A1134" s="20"/>
    </row>
    <row r="1135" spans="1:1" ht="12.75" hidden="1">
      <c r="A1135" s="20"/>
    </row>
    <row r="1136" spans="1:1" ht="12.75" hidden="1">
      <c r="A1136" s="20"/>
    </row>
    <row r="1137" spans="1:1" ht="12.75" hidden="1">
      <c r="A1137" s="20"/>
    </row>
    <row r="1138" spans="1:1" ht="12.75" hidden="1">
      <c r="A1138" s="20"/>
    </row>
    <row r="1139" spans="1:1" ht="12.75" hidden="1">
      <c r="A1139" s="20"/>
    </row>
    <row r="1140" spans="1:1" ht="12.75" hidden="1">
      <c r="A1140" s="20"/>
    </row>
    <row r="1141" spans="1:1" ht="12.75" hidden="1">
      <c r="A1141" s="20"/>
    </row>
    <row r="1142" spans="1:1" ht="12.75" hidden="1">
      <c r="A1142" s="20"/>
    </row>
    <row r="1143" spans="1:1" ht="12.75" hidden="1">
      <c r="A1143" s="20"/>
    </row>
    <row r="1144" spans="1:1" ht="12.75" hidden="1">
      <c r="A1144" s="20"/>
    </row>
    <row r="1145" spans="1:1" ht="12.75" hidden="1">
      <c r="A1145" s="20"/>
    </row>
    <row r="1146" spans="1:1" ht="12.75" hidden="1">
      <c r="A1146" s="20"/>
    </row>
    <row r="1147" spans="1:1" ht="12.75" hidden="1">
      <c r="A1147" s="20"/>
    </row>
    <row r="1148" spans="1:1" ht="12.75" hidden="1">
      <c r="A1148" s="20"/>
    </row>
    <row r="1149" spans="1:1" ht="12.75" hidden="1">
      <c r="A1149" s="20"/>
    </row>
    <row r="1150" spans="1:1" ht="12.75" hidden="1">
      <c r="A1150" s="20"/>
    </row>
    <row r="1151" spans="1:1" ht="12.75" hidden="1">
      <c r="A1151" s="20"/>
    </row>
    <row r="1152" spans="1:1" ht="12.75" hidden="1">
      <c r="A1152" s="20"/>
    </row>
    <row r="1153" spans="1:1" ht="12.75" hidden="1">
      <c r="A1153" s="20"/>
    </row>
    <row r="1154" spans="1:1" ht="12.75" hidden="1">
      <c r="A1154" s="20"/>
    </row>
    <row r="1155" spans="1:1" ht="12.75" hidden="1">
      <c r="A1155" s="20"/>
    </row>
    <row r="1156" spans="1:1" ht="12.75" hidden="1">
      <c r="A1156" s="20"/>
    </row>
    <row r="1157" spans="1:1" ht="12.75" hidden="1">
      <c r="A1157" s="20"/>
    </row>
    <row r="1158" spans="1:1" ht="12.75" hidden="1">
      <c r="A1158" s="20"/>
    </row>
    <row r="1159" spans="1:1" ht="12.75" hidden="1">
      <c r="A1159" s="20"/>
    </row>
    <row r="1160" spans="1:1" ht="12.75" hidden="1">
      <c r="A1160" s="20"/>
    </row>
    <row r="1161" spans="1:1" ht="12.75" hidden="1">
      <c r="A1161" s="20"/>
    </row>
    <row r="1162" spans="1:1" ht="12.75" hidden="1">
      <c r="A1162" s="20"/>
    </row>
    <row r="1163" spans="1:1" ht="12.75" hidden="1">
      <c r="A1163" s="20"/>
    </row>
    <row r="1164" spans="1:1" ht="12.75" hidden="1">
      <c r="A1164" s="20"/>
    </row>
    <row r="1165" spans="1:1" ht="12.75" hidden="1">
      <c r="A1165" s="20"/>
    </row>
    <row r="1166" spans="1:1" ht="12.75" hidden="1">
      <c r="A1166" s="20"/>
    </row>
    <row r="1167" spans="1:1" ht="12.75" hidden="1">
      <c r="A1167" s="20"/>
    </row>
    <row r="1168" spans="1:1" ht="12.75" hidden="1">
      <c r="A1168" s="20"/>
    </row>
    <row r="1169" spans="1:1" ht="12.75" hidden="1">
      <c r="A1169" s="20"/>
    </row>
    <row r="1170" spans="1:1" ht="12.75" hidden="1">
      <c r="A1170" s="20"/>
    </row>
  </sheetData>
  <autoFilter ref="B1:E1170" xr:uid="{00000000-0009-0000-0000-000026000000}">
    <filterColumn colId="2">
      <filters>
        <filter val="250"/>
        <filter val="251"/>
        <filter val="255"/>
        <filter val="257"/>
        <filter val="260"/>
        <filter val="262"/>
        <filter val="264"/>
        <filter val="265"/>
        <filter val="270"/>
        <filter val="275"/>
        <filter val="280"/>
      </filters>
    </filterColumn>
  </autoFilter>
  <hyperlinks>
    <hyperlink ref="G4" r:id="rId1" xr:uid="{00000000-0004-0000-26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filterMode="1">
    <outlinePr summaryBelow="0" summaryRight="0"/>
  </sheetPr>
  <dimension ref="A1:K1171"/>
  <sheetViews>
    <sheetView workbookViewId="0"/>
  </sheetViews>
  <sheetFormatPr defaultColWidth="12.5703125" defaultRowHeight="15.75" customHeight="1"/>
  <cols>
    <col min="1" max="1" width="35.140625" customWidth="1"/>
    <col min="10" max="10" width="31.28515625" customWidth="1"/>
  </cols>
  <sheetData>
    <row r="1" spans="1:11" ht="12.75">
      <c r="A1" s="7" t="s">
        <v>8</v>
      </c>
      <c r="B1" s="7" t="s">
        <v>2279</v>
      </c>
      <c r="C1" s="7" t="s">
        <v>2280</v>
      </c>
    </row>
    <row r="2" spans="1:11" ht="12.75">
      <c r="A2" s="7" t="s">
        <v>2149</v>
      </c>
      <c r="B2" s="7">
        <v>3.44</v>
      </c>
      <c r="C2" s="7">
        <v>50</v>
      </c>
      <c r="J2" s="139" t="s">
        <v>2185</v>
      </c>
      <c r="K2" s="139">
        <v>20</v>
      </c>
    </row>
    <row r="3" spans="1:11" ht="12.75">
      <c r="A3" s="7" t="s">
        <v>2195</v>
      </c>
      <c r="B3" s="7">
        <v>15</v>
      </c>
      <c r="C3" s="7">
        <v>50</v>
      </c>
      <c r="J3" s="139" t="s">
        <v>2202</v>
      </c>
      <c r="K3" s="139">
        <v>22</v>
      </c>
    </row>
    <row r="4" spans="1:11" ht="12.75">
      <c r="A4" s="7" t="s">
        <v>2180</v>
      </c>
      <c r="B4" s="7">
        <v>9.8000000000000007</v>
      </c>
      <c r="C4" s="7">
        <v>80</v>
      </c>
      <c r="J4" s="139" t="s">
        <v>2171</v>
      </c>
      <c r="K4" s="139">
        <v>22</v>
      </c>
    </row>
    <row r="5" spans="1:11" ht="12.75">
      <c r="A5" s="7" t="s">
        <v>2218</v>
      </c>
      <c r="B5" s="7">
        <v>26.05</v>
      </c>
      <c r="C5" s="7">
        <v>80</v>
      </c>
    </row>
    <row r="6" spans="1:11" ht="12.75">
      <c r="A6" s="7" t="s">
        <v>2148</v>
      </c>
      <c r="B6" s="7">
        <v>3.4</v>
      </c>
      <c r="C6" s="7">
        <v>100</v>
      </c>
    </row>
    <row r="7" spans="1:11" ht="12.75">
      <c r="A7" s="7" t="s">
        <v>2157</v>
      </c>
      <c r="B7" s="7">
        <v>5.2</v>
      </c>
      <c r="C7" s="7">
        <v>100</v>
      </c>
    </row>
    <row r="8" spans="1:11" ht="12.75">
      <c r="A8" s="7" t="s">
        <v>2157</v>
      </c>
      <c r="B8" s="7">
        <v>5.5</v>
      </c>
      <c r="C8" s="7">
        <v>100</v>
      </c>
    </row>
    <row r="9" spans="1:11" ht="12.75">
      <c r="A9" s="7" t="s">
        <v>2169</v>
      </c>
      <c r="B9" s="7">
        <v>11</v>
      </c>
      <c r="C9" s="7">
        <v>100</v>
      </c>
    </row>
    <row r="10" spans="1:11" ht="12.75">
      <c r="A10" s="7" t="s">
        <v>2190</v>
      </c>
      <c r="B10" s="7">
        <v>17.899999999999999</v>
      </c>
      <c r="C10" s="7">
        <v>100</v>
      </c>
    </row>
    <row r="11" spans="1:11" ht="12.75">
      <c r="A11" s="7" t="s">
        <v>2222</v>
      </c>
      <c r="B11" s="7">
        <v>34.299999999999997</v>
      </c>
      <c r="C11" s="7">
        <v>100</v>
      </c>
    </row>
    <row r="12" spans="1:11" ht="12.75">
      <c r="A12" s="7" t="s">
        <v>2222</v>
      </c>
      <c r="B12" s="7">
        <v>34.49</v>
      </c>
      <c r="C12" s="7">
        <v>105</v>
      </c>
    </row>
    <row r="13" spans="1:11" ht="12.75">
      <c r="A13" s="7" t="s">
        <v>2156</v>
      </c>
      <c r="B13" s="7">
        <v>7.5</v>
      </c>
      <c r="C13" s="7">
        <v>110</v>
      </c>
    </row>
    <row r="14" spans="1:11" ht="12.75">
      <c r="A14" s="7" t="s">
        <v>2169</v>
      </c>
      <c r="B14" s="7">
        <v>11.3</v>
      </c>
      <c r="C14" s="7">
        <v>110</v>
      </c>
    </row>
    <row r="15" spans="1:11" ht="12.75">
      <c r="A15" s="7" t="s">
        <v>2164</v>
      </c>
      <c r="B15" s="7">
        <v>12</v>
      </c>
      <c r="C15" s="7">
        <v>110</v>
      </c>
    </row>
    <row r="16" spans="1:11" ht="12.75">
      <c r="A16" s="7" t="s">
        <v>2190</v>
      </c>
      <c r="B16" s="7">
        <v>15.53</v>
      </c>
      <c r="C16" s="7">
        <v>110</v>
      </c>
    </row>
    <row r="17" spans="1:3" ht="12.75">
      <c r="A17" s="7" t="s">
        <v>2186</v>
      </c>
      <c r="B17" s="7">
        <v>20</v>
      </c>
      <c r="C17" s="7">
        <v>110</v>
      </c>
    </row>
    <row r="18" spans="1:3" ht="12.75">
      <c r="A18" s="7" t="s">
        <v>2169</v>
      </c>
      <c r="B18" s="7">
        <v>12.4</v>
      </c>
      <c r="C18" s="7">
        <v>113</v>
      </c>
    </row>
    <row r="19" spans="1:3" ht="12.75">
      <c r="A19" s="7" t="s">
        <v>2156</v>
      </c>
      <c r="B19" s="7">
        <v>5.17</v>
      </c>
      <c r="C19" s="7">
        <v>120</v>
      </c>
    </row>
    <row r="20" spans="1:3" ht="12.75">
      <c r="A20" s="7" t="s">
        <v>2186</v>
      </c>
      <c r="B20" s="7">
        <v>19.899999999999999</v>
      </c>
      <c r="C20" s="7">
        <v>120</v>
      </c>
    </row>
    <row r="21" spans="1:3" ht="12.75">
      <c r="A21" s="7" t="s">
        <v>2186</v>
      </c>
      <c r="B21" s="7">
        <v>20</v>
      </c>
      <c r="C21" s="7">
        <v>120</v>
      </c>
    </row>
    <row r="22" spans="1:3" ht="12.75">
      <c r="A22" s="7" t="s">
        <v>2156</v>
      </c>
      <c r="B22" s="7">
        <v>7.21</v>
      </c>
      <c r="C22" s="7">
        <v>125</v>
      </c>
    </row>
    <row r="23" spans="1:3" ht="12.75">
      <c r="A23" s="7" t="s">
        <v>2169</v>
      </c>
      <c r="B23" s="7">
        <v>9.9499999999999993</v>
      </c>
      <c r="C23" s="7">
        <v>125</v>
      </c>
    </row>
    <row r="24" spans="1:3" ht="12.75">
      <c r="A24" s="7" t="s">
        <v>2169</v>
      </c>
      <c r="B24" s="7">
        <v>11.94</v>
      </c>
      <c r="C24" s="7">
        <v>125</v>
      </c>
    </row>
    <row r="25" spans="1:3" ht="12.75">
      <c r="A25" s="7" t="s">
        <v>2164</v>
      </c>
      <c r="B25" s="7">
        <v>13.95</v>
      </c>
      <c r="C25" s="7">
        <v>125</v>
      </c>
    </row>
    <row r="26" spans="1:3" ht="12.75">
      <c r="A26" s="7" t="s">
        <v>2186</v>
      </c>
      <c r="B26" s="7">
        <v>16.739999999999998</v>
      </c>
      <c r="C26" s="7">
        <v>125</v>
      </c>
    </row>
    <row r="27" spans="1:3" ht="12.75">
      <c r="A27" s="7" t="s">
        <v>2226</v>
      </c>
      <c r="B27" s="7">
        <v>35.9</v>
      </c>
      <c r="C27" s="7">
        <v>125</v>
      </c>
    </row>
    <row r="28" spans="1:3" ht="12.75">
      <c r="A28" s="7" t="s">
        <v>2144</v>
      </c>
      <c r="B28" s="7">
        <v>4.3</v>
      </c>
      <c r="C28" s="7">
        <v>130</v>
      </c>
    </row>
    <row r="29" spans="1:3" ht="12.75">
      <c r="A29" s="7" t="s">
        <v>2144</v>
      </c>
      <c r="B29" s="7">
        <v>2.7</v>
      </c>
      <c r="C29" s="7">
        <v>150</v>
      </c>
    </row>
    <row r="30" spans="1:3" ht="12.75">
      <c r="A30" s="7" t="s">
        <v>2155</v>
      </c>
      <c r="B30" s="7">
        <v>6</v>
      </c>
      <c r="C30" s="7">
        <v>150</v>
      </c>
    </row>
    <row r="31" spans="1:3" ht="12.75">
      <c r="A31" s="7" t="s">
        <v>2166</v>
      </c>
      <c r="B31" s="7">
        <v>7.27</v>
      </c>
      <c r="C31" s="7">
        <v>150</v>
      </c>
    </row>
    <row r="32" spans="1:3" ht="12.75">
      <c r="A32" s="7" t="s">
        <v>2164</v>
      </c>
      <c r="B32" s="7">
        <v>8.3000000000000007</v>
      </c>
      <c r="C32" s="7">
        <v>150</v>
      </c>
    </row>
    <row r="33" spans="1:3" ht="12.75">
      <c r="A33" s="7" t="s">
        <v>2153</v>
      </c>
      <c r="B33" s="7">
        <v>8.8000000000000007</v>
      </c>
      <c r="C33" s="7">
        <v>150</v>
      </c>
    </row>
    <row r="34" spans="1:3" ht="12.75">
      <c r="A34" s="7" t="s">
        <v>2164</v>
      </c>
      <c r="B34" s="7">
        <v>8.8000000000000007</v>
      </c>
      <c r="C34" s="7">
        <v>150</v>
      </c>
    </row>
    <row r="35" spans="1:3" ht="12.75">
      <c r="A35" s="7" t="s">
        <v>2170</v>
      </c>
      <c r="B35" s="7">
        <v>9</v>
      </c>
      <c r="C35" s="7">
        <v>150</v>
      </c>
    </row>
    <row r="36" spans="1:3" ht="12.75">
      <c r="A36" s="7" t="s">
        <v>2170</v>
      </c>
      <c r="B36" s="7">
        <v>10.58</v>
      </c>
      <c r="C36" s="7">
        <v>150</v>
      </c>
    </row>
    <row r="37" spans="1:3" ht="12.75">
      <c r="A37" s="7" t="s">
        <v>2148</v>
      </c>
      <c r="B37" s="7">
        <v>14</v>
      </c>
      <c r="C37" s="7">
        <v>150</v>
      </c>
    </row>
    <row r="38" spans="1:3" ht="12.75">
      <c r="A38" s="7" t="s">
        <v>2186</v>
      </c>
      <c r="B38" s="7">
        <v>15</v>
      </c>
      <c r="C38" s="7">
        <v>150</v>
      </c>
    </row>
    <row r="39" spans="1:3" ht="12.75">
      <c r="A39" s="7" t="s">
        <v>2199</v>
      </c>
      <c r="B39" s="7">
        <v>18</v>
      </c>
      <c r="C39" s="7">
        <v>150</v>
      </c>
    </row>
    <row r="40" spans="1:3" ht="12.75">
      <c r="A40" s="7" t="s">
        <v>2199</v>
      </c>
      <c r="B40" s="7">
        <v>19.41</v>
      </c>
      <c r="C40" s="7">
        <v>150</v>
      </c>
    </row>
    <row r="41" spans="1:3" ht="12.75">
      <c r="A41" s="7" t="s">
        <v>2199</v>
      </c>
      <c r="B41" s="7">
        <v>21</v>
      </c>
      <c r="C41" s="7">
        <v>150</v>
      </c>
    </row>
    <row r="42" spans="1:3" ht="12.75">
      <c r="A42" s="7" t="s">
        <v>2150</v>
      </c>
      <c r="B42" s="7">
        <v>21</v>
      </c>
      <c r="C42" s="7">
        <v>150</v>
      </c>
    </row>
    <row r="43" spans="1:3" ht="12.75">
      <c r="A43" s="7" t="s">
        <v>2199</v>
      </c>
      <c r="B43" s="7">
        <v>22.18</v>
      </c>
      <c r="C43" s="7">
        <v>150</v>
      </c>
    </row>
    <row r="44" spans="1:3" ht="12.75">
      <c r="A44" s="7" t="s">
        <v>2199</v>
      </c>
      <c r="B44" s="7">
        <v>22.4</v>
      </c>
      <c r="C44" s="7">
        <v>150</v>
      </c>
    </row>
    <row r="45" spans="1:3" ht="12.75">
      <c r="A45" s="7" t="s">
        <v>2201</v>
      </c>
      <c r="B45" s="7">
        <v>29.5</v>
      </c>
      <c r="C45" s="7">
        <v>150</v>
      </c>
    </row>
    <row r="46" spans="1:3" ht="12.75">
      <c r="A46" s="7" t="s">
        <v>2231</v>
      </c>
      <c r="B46" s="7">
        <v>33.01</v>
      </c>
      <c r="C46" s="7">
        <v>150</v>
      </c>
    </row>
    <row r="47" spans="1:3" ht="12.75">
      <c r="A47" s="7" t="s">
        <v>2231</v>
      </c>
      <c r="B47" s="7">
        <v>38.4</v>
      </c>
      <c r="C47" s="7">
        <v>150</v>
      </c>
    </row>
    <row r="48" spans="1:3" ht="12.75">
      <c r="A48" s="7" t="s">
        <v>2224</v>
      </c>
      <c r="B48" s="7">
        <v>39</v>
      </c>
      <c r="C48" s="7">
        <v>150</v>
      </c>
    </row>
    <row r="49" spans="1:3" ht="12.75">
      <c r="A49" s="7" t="s">
        <v>2233</v>
      </c>
      <c r="B49" s="7">
        <v>42.18</v>
      </c>
      <c r="C49" s="7">
        <v>150</v>
      </c>
    </row>
    <row r="50" spans="1:3" ht="12.75">
      <c r="A50" s="7" t="s">
        <v>2229</v>
      </c>
      <c r="B50" s="7">
        <v>43</v>
      </c>
      <c r="C50" s="7">
        <v>150</v>
      </c>
    </row>
    <row r="51" spans="1:3" ht="12.75">
      <c r="A51" s="7" t="s">
        <v>2232</v>
      </c>
      <c r="B51" s="7">
        <v>53</v>
      </c>
      <c r="C51" s="7">
        <v>150</v>
      </c>
    </row>
    <row r="52" spans="1:3" ht="12.75">
      <c r="A52" s="7" t="s">
        <v>2254</v>
      </c>
      <c r="B52" s="7">
        <v>58</v>
      </c>
      <c r="C52" s="7">
        <v>150</v>
      </c>
    </row>
    <row r="53" spans="1:3" ht="12.75">
      <c r="A53" s="7" t="s">
        <v>2254</v>
      </c>
      <c r="B53" s="7">
        <v>64</v>
      </c>
      <c r="C53" s="7">
        <v>150</v>
      </c>
    </row>
    <row r="54" spans="1:3" ht="12.75">
      <c r="A54" s="7" t="s">
        <v>2147</v>
      </c>
      <c r="B54" s="7">
        <v>3.29</v>
      </c>
      <c r="C54" s="7">
        <v>152</v>
      </c>
    </row>
    <row r="55" spans="1:3" ht="12.75">
      <c r="A55" s="7" t="s">
        <v>2170</v>
      </c>
      <c r="B55" s="7">
        <v>10.9</v>
      </c>
      <c r="C55" s="7">
        <v>155</v>
      </c>
    </row>
    <row r="56" spans="1:3" ht="12.75">
      <c r="A56" s="7" t="s">
        <v>2148</v>
      </c>
      <c r="B56" s="7">
        <v>12</v>
      </c>
      <c r="C56" s="7">
        <v>160</v>
      </c>
    </row>
    <row r="57" spans="1:3" ht="12.75">
      <c r="A57" s="7" t="s">
        <v>2233</v>
      </c>
      <c r="B57" s="7">
        <v>35.799999999999997</v>
      </c>
      <c r="C57" s="7">
        <v>160</v>
      </c>
    </row>
    <row r="58" spans="1:3" ht="12.75">
      <c r="A58" s="7" t="s">
        <v>2201</v>
      </c>
      <c r="B58" s="7">
        <v>20.57</v>
      </c>
      <c r="C58" s="7">
        <v>170</v>
      </c>
    </row>
    <row r="59" spans="1:3" ht="12.75">
      <c r="A59" s="7" t="s">
        <v>2224</v>
      </c>
      <c r="B59" s="7">
        <v>30</v>
      </c>
      <c r="C59" s="7">
        <v>170</v>
      </c>
    </row>
    <row r="60" spans="1:3" ht="12.75">
      <c r="A60" s="7" t="s">
        <v>2201</v>
      </c>
      <c r="B60" s="7">
        <v>30</v>
      </c>
      <c r="C60" s="7">
        <v>170</v>
      </c>
    </row>
    <row r="61" spans="1:3" ht="12.75">
      <c r="A61" s="7" t="s">
        <v>2232</v>
      </c>
      <c r="B61" s="7">
        <v>44</v>
      </c>
      <c r="C61" s="7">
        <v>170</v>
      </c>
    </row>
    <row r="62" spans="1:3" ht="12.75">
      <c r="A62" s="7" t="s">
        <v>2256</v>
      </c>
      <c r="B62" s="7">
        <v>65</v>
      </c>
      <c r="C62" s="7">
        <v>170</v>
      </c>
    </row>
    <row r="63" spans="1:3" ht="12.75">
      <c r="A63" s="7" t="s">
        <v>2155</v>
      </c>
      <c r="B63" s="7">
        <v>4.8</v>
      </c>
      <c r="C63" s="7">
        <v>180</v>
      </c>
    </row>
    <row r="64" spans="1:3" ht="12.75">
      <c r="A64" s="7" t="s">
        <v>2155</v>
      </c>
      <c r="B64" s="7">
        <v>5</v>
      </c>
      <c r="C64" s="7">
        <v>180</v>
      </c>
    </row>
    <row r="65" spans="1:3" ht="12.75">
      <c r="A65" s="7" t="s">
        <v>2232</v>
      </c>
      <c r="B65" s="7">
        <v>45.76</v>
      </c>
      <c r="C65" s="7">
        <v>180</v>
      </c>
    </row>
    <row r="66" spans="1:3" ht="12.75">
      <c r="A66" s="7" t="s">
        <v>2260</v>
      </c>
      <c r="B66" s="7">
        <v>66.849999999999994</v>
      </c>
      <c r="C66" s="7">
        <v>180</v>
      </c>
    </row>
    <row r="67" spans="1:3" ht="12.75">
      <c r="A67" s="7" t="s">
        <v>2184</v>
      </c>
      <c r="B67" s="7">
        <v>17</v>
      </c>
      <c r="C67" s="7">
        <v>188</v>
      </c>
    </row>
    <row r="68" spans="1:3" ht="12.75">
      <c r="A68" s="7" t="s">
        <v>2167</v>
      </c>
      <c r="B68" s="7">
        <v>10.5</v>
      </c>
      <c r="C68" s="7">
        <v>190</v>
      </c>
    </row>
    <row r="69" spans="1:3" ht="12.75">
      <c r="A69" s="7" t="s">
        <v>2148</v>
      </c>
      <c r="B69" s="7">
        <v>10.5</v>
      </c>
      <c r="C69" s="7">
        <v>190</v>
      </c>
    </row>
    <row r="70" spans="1:3" ht="12.75">
      <c r="A70" s="7" t="s">
        <v>2181</v>
      </c>
      <c r="B70" s="7">
        <v>10.5</v>
      </c>
      <c r="C70" s="7">
        <v>190</v>
      </c>
    </row>
    <row r="71" spans="1:3" ht="12.75">
      <c r="A71" s="7" t="s">
        <v>2201</v>
      </c>
      <c r="B71" s="7">
        <v>28.6</v>
      </c>
      <c r="C71" s="7">
        <v>190</v>
      </c>
    </row>
    <row r="72" spans="1:3" ht="12.75">
      <c r="A72" s="7" t="s">
        <v>2232</v>
      </c>
      <c r="B72" s="7">
        <v>38.200000000000003</v>
      </c>
      <c r="C72" s="7">
        <v>190</v>
      </c>
    </row>
    <row r="73" spans="1:3" ht="12.75">
      <c r="A73" s="7" t="s">
        <v>2229</v>
      </c>
      <c r="B73" s="7">
        <v>59.2</v>
      </c>
      <c r="C73" s="7">
        <v>196.1</v>
      </c>
    </row>
    <row r="74" spans="1:3" ht="12.75">
      <c r="A74" s="7" t="s">
        <v>2188</v>
      </c>
      <c r="B74" s="7">
        <v>19.899999999999999</v>
      </c>
      <c r="C74" s="7">
        <v>197</v>
      </c>
    </row>
    <row r="75" spans="1:3" ht="12.75">
      <c r="A75" s="7" t="s">
        <v>2200</v>
      </c>
      <c r="B75" s="7">
        <v>25.5</v>
      </c>
      <c r="C75" s="7">
        <v>197</v>
      </c>
    </row>
    <row r="76" spans="1:3" ht="12.75">
      <c r="A76" s="7" t="s">
        <v>2143</v>
      </c>
      <c r="B76" s="7">
        <v>3.3</v>
      </c>
      <c r="C76" s="7">
        <v>200</v>
      </c>
    </row>
    <row r="77" spans="1:3" ht="12.75">
      <c r="A77" s="7" t="s">
        <v>2155</v>
      </c>
      <c r="B77" s="7">
        <v>5.25</v>
      </c>
      <c r="C77" s="7">
        <v>200</v>
      </c>
    </row>
    <row r="78" spans="1:3" ht="12.75">
      <c r="A78" s="7" t="s">
        <v>2153</v>
      </c>
      <c r="B78" s="7">
        <v>5.25</v>
      </c>
      <c r="C78" s="7">
        <v>200</v>
      </c>
    </row>
    <row r="79" spans="1:3" ht="12.75">
      <c r="A79" s="7" t="s">
        <v>2159</v>
      </c>
      <c r="B79" s="7">
        <v>7.2</v>
      </c>
      <c r="C79" s="7">
        <v>200</v>
      </c>
    </row>
    <row r="80" spans="1:3" ht="12.75">
      <c r="A80" s="7" t="s">
        <v>2167</v>
      </c>
      <c r="B80" s="7">
        <v>9.4</v>
      </c>
      <c r="C80" s="7">
        <v>200</v>
      </c>
    </row>
    <row r="81" spans="1:3" ht="12.75">
      <c r="A81" s="7" t="s">
        <v>2183</v>
      </c>
      <c r="B81" s="7">
        <v>10.45</v>
      </c>
      <c r="C81" s="7">
        <v>200</v>
      </c>
    </row>
    <row r="82" spans="1:3" ht="12.75">
      <c r="A82" s="7" t="s">
        <v>2167</v>
      </c>
      <c r="B82" s="7">
        <v>10.45</v>
      </c>
      <c r="C82" s="7">
        <v>200</v>
      </c>
    </row>
    <row r="83" spans="1:3" ht="12.75">
      <c r="A83" s="7" t="s">
        <v>2167</v>
      </c>
      <c r="B83" s="7">
        <v>10.85</v>
      </c>
      <c r="C83" s="7">
        <v>200</v>
      </c>
    </row>
    <row r="84" spans="1:3" ht="12.75">
      <c r="A84" s="7" t="s">
        <v>2167</v>
      </c>
      <c r="B84" s="7">
        <v>11.63</v>
      </c>
      <c r="C84" s="7">
        <v>200</v>
      </c>
    </row>
    <row r="85" spans="1:3" ht="12.75">
      <c r="A85" s="7" t="s">
        <v>2184</v>
      </c>
      <c r="B85" s="7">
        <v>11.75</v>
      </c>
      <c r="C85" s="7">
        <v>200</v>
      </c>
    </row>
    <row r="86" spans="1:3" ht="12.75">
      <c r="A86" s="7" t="s">
        <v>2184</v>
      </c>
      <c r="B86" s="7">
        <v>11.89</v>
      </c>
      <c r="C86" s="7">
        <v>200</v>
      </c>
    </row>
    <row r="87" spans="1:3" ht="12.75">
      <c r="A87" s="7" t="s">
        <v>2184</v>
      </c>
      <c r="B87" s="7">
        <v>12</v>
      </c>
      <c r="C87" s="7">
        <v>200</v>
      </c>
    </row>
    <row r="88" spans="1:3" ht="12.75">
      <c r="A88" s="7" t="s">
        <v>2154</v>
      </c>
      <c r="B88" s="7">
        <v>12.2</v>
      </c>
      <c r="C88" s="7">
        <v>200</v>
      </c>
    </row>
    <row r="89" spans="1:3" ht="12.75">
      <c r="A89" s="7" t="s">
        <v>2167</v>
      </c>
      <c r="B89" s="7">
        <v>12.2</v>
      </c>
      <c r="C89" s="7">
        <v>200</v>
      </c>
    </row>
    <row r="90" spans="1:3" ht="12.75">
      <c r="A90" s="7" t="s">
        <v>2184</v>
      </c>
      <c r="B90" s="7">
        <v>13</v>
      </c>
      <c r="C90" s="7">
        <v>200</v>
      </c>
    </row>
    <row r="91" spans="1:3" ht="12.75">
      <c r="A91" s="7" t="s">
        <v>2184</v>
      </c>
      <c r="B91" s="7">
        <v>13.29</v>
      </c>
      <c r="C91" s="7">
        <v>200</v>
      </c>
    </row>
    <row r="92" spans="1:3" ht="12.75">
      <c r="A92" s="7" t="s">
        <v>2184</v>
      </c>
      <c r="B92" s="7">
        <v>13.5</v>
      </c>
      <c r="C92" s="7">
        <v>200</v>
      </c>
    </row>
    <row r="93" spans="1:3" ht="12.75">
      <c r="A93" s="7" t="s">
        <v>2184</v>
      </c>
      <c r="B93" s="7">
        <v>14.9</v>
      </c>
      <c r="C93" s="7">
        <v>200</v>
      </c>
    </row>
    <row r="94" spans="1:3" ht="12.75">
      <c r="A94" s="7" t="s">
        <v>2184</v>
      </c>
      <c r="B94" s="7">
        <v>15</v>
      </c>
      <c r="C94" s="7">
        <v>200</v>
      </c>
    </row>
    <row r="95" spans="1:3" ht="12.75">
      <c r="A95" s="7" t="s">
        <v>2184</v>
      </c>
      <c r="B95" s="7">
        <v>16.600000000000001</v>
      </c>
      <c r="C95" s="7">
        <v>200</v>
      </c>
    </row>
    <row r="96" spans="1:3" ht="12.75">
      <c r="A96" s="7" t="s">
        <v>2188</v>
      </c>
      <c r="B96" s="7">
        <v>18</v>
      </c>
      <c r="C96" s="7">
        <v>200</v>
      </c>
    </row>
    <row r="97" spans="1:3" ht="12.75">
      <c r="A97" s="7" t="s">
        <v>2188</v>
      </c>
      <c r="B97" s="7">
        <v>18.8</v>
      </c>
      <c r="C97" s="7">
        <v>200</v>
      </c>
    </row>
    <row r="98" spans="1:3" ht="12.75">
      <c r="A98" s="7" t="s">
        <v>2188</v>
      </c>
      <c r="B98" s="7">
        <v>19.600000000000001</v>
      </c>
      <c r="C98" s="7">
        <v>200</v>
      </c>
    </row>
    <row r="99" spans="1:3" ht="12.75">
      <c r="A99" s="7" t="s">
        <v>2200</v>
      </c>
      <c r="B99" s="7">
        <v>21.2</v>
      </c>
      <c r="C99" s="7">
        <v>200</v>
      </c>
    </row>
    <row r="100" spans="1:3" ht="12.75">
      <c r="A100" s="7" t="s">
        <v>2202</v>
      </c>
      <c r="B100" s="7">
        <v>21.2</v>
      </c>
      <c r="C100" s="7">
        <v>200</v>
      </c>
    </row>
    <row r="101" spans="1:3" ht="12.75">
      <c r="A101" s="7" t="s">
        <v>2185</v>
      </c>
      <c r="B101" s="7">
        <v>21.2</v>
      </c>
      <c r="C101" s="7">
        <v>200</v>
      </c>
    </row>
    <row r="102" spans="1:3" ht="12.75">
      <c r="A102" s="7" t="s">
        <v>2200</v>
      </c>
      <c r="B102" s="7">
        <v>21.34</v>
      </c>
      <c r="C102" s="7">
        <v>200</v>
      </c>
    </row>
    <row r="103" spans="1:3" ht="12.75">
      <c r="A103" s="7" t="s">
        <v>2185</v>
      </c>
      <c r="B103" s="7">
        <v>21.4</v>
      </c>
      <c r="C103" s="7">
        <v>200</v>
      </c>
    </row>
    <row r="104" spans="1:3" ht="12.75">
      <c r="A104" s="7" t="s">
        <v>2201</v>
      </c>
      <c r="B104" s="7">
        <v>21.6</v>
      </c>
      <c r="C104" s="7">
        <v>200</v>
      </c>
    </row>
    <row r="105" spans="1:3" ht="12.75">
      <c r="A105" s="7" t="s">
        <v>2200</v>
      </c>
      <c r="B105" s="7">
        <v>22.8</v>
      </c>
      <c r="C105" s="7">
        <v>200</v>
      </c>
    </row>
    <row r="106" spans="1:3" ht="12.75">
      <c r="A106" s="7" t="s">
        <v>2200</v>
      </c>
      <c r="B106" s="7">
        <v>25.5</v>
      </c>
      <c r="C106" s="7">
        <v>200</v>
      </c>
    </row>
    <row r="107" spans="1:3" ht="12.75">
      <c r="A107" s="7" t="s">
        <v>2200</v>
      </c>
      <c r="B107" s="7">
        <v>25.8</v>
      </c>
      <c r="C107" s="7">
        <v>200</v>
      </c>
    </row>
    <row r="108" spans="1:3" ht="12.75">
      <c r="A108" s="7" t="s">
        <v>2212</v>
      </c>
      <c r="B108" s="7">
        <v>27</v>
      </c>
      <c r="C108" s="7">
        <v>200</v>
      </c>
    </row>
    <row r="109" spans="1:3" ht="12.75">
      <c r="A109" s="7" t="s">
        <v>2200</v>
      </c>
      <c r="B109" s="7">
        <v>27.3</v>
      </c>
      <c r="C109" s="7">
        <v>200</v>
      </c>
    </row>
    <row r="110" spans="1:3" ht="12.75">
      <c r="A110" s="7" t="s">
        <v>2212</v>
      </c>
      <c r="B110" s="7">
        <v>28</v>
      </c>
      <c r="C110" s="7">
        <v>200</v>
      </c>
    </row>
    <row r="111" spans="1:3" ht="12.75">
      <c r="A111" s="7" t="s">
        <v>2202</v>
      </c>
      <c r="B111" s="7">
        <v>29</v>
      </c>
      <c r="C111" s="7">
        <v>200</v>
      </c>
    </row>
    <row r="112" spans="1:3" ht="12.75">
      <c r="A112" s="7" t="s">
        <v>2202</v>
      </c>
      <c r="B112" s="7">
        <v>29.5</v>
      </c>
      <c r="C112" s="7">
        <v>200</v>
      </c>
    </row>
    <row r="113" spans="1:3" ht="12.75">
      <c r="A113" s="7" t="s">
        <v>2202</v>
      </c>
      <c r="B113" s="7">
        <v>30</v>
      </c>
      <c r="C113" s="7">
        <v>200</v>
      </c>
    </row>
    <row r="114" spans="1:3" ht="12.75">
      <c r="A114" s="7" t="s">
        <v>2202</v>
      </c>
      <c r="B114" s="7">
        <v>31</v>
      </c>
      <c r="C114" s="7">
        <v>200</v>
      </c>
    </row>
    <row r="115" spans="1:3" ht="12.75">
      <c r="A115" s="7" t="s">
        <v>2202</v>
      </c>
      <c r="B115" s="7">
        <v>32.1</v>
      </c>
      <c r="C115" s="7">
        <v>200</v>
      </c>
    </row>
    <row r="116" spans="1:3" ht="12.75">
      <c r="A116" s="7" t="s">
        <v>2202</v>
      </c>
      <c r="B116" s="7">
        <v>32.799999999999997</v>
      </c>
      <c r="C116" s="7">
        <v>200</v>
      </c>
    </row>
    <row r="117" spans="1:3" ht="12.75">
      <c r="A117" s="7" t="s">
        <v>2232</v>
      </c>
      <c r="B117" s="7">
        <v>35.799999999999997</v>
      </c>
      <c r="C117" s="7">
        <v>200</v>
      </c>
    </row>
    <row r="118" spans="1:3" ht="12.75">
      <c r="A118" s="7" t="s">
        <v>2232</v>
      </c>
      <c r="B118" s="7">
        <v>39</v>
      </c>
      <c r="C118" s="7">
        <v>200</v>
      </c>
    </row>
    <row r="119" spans="1:3" ht="12.75">
      <c r="A119" s="7" t="s">
        <v>2232</v>
      </c>
      <c r="B119" s="7">
        <v>42</v>
      </c>
      <c r="C119" s="7">
        <v>200</v>
      </c>
    </row>
    <row r="120" spans="1:3" ht="12.75">
      <c r="A120" s="7" t="s">
        <v>2232</v>
      </c>
      <c r="B120" s="7">
        <v>50</v>
      </c>
      <c r="C120" s="7">
        <v>200</v>
      </c>
    </row>
    <row r="121" spans="1:3" ht="12.75">
      <c r="A121" s="7" t="s">
        <v>2229</v>
      </c>
      <c r="B121" s="7">
        <v>50.9</v>
      </c>
      <c r="C121" s="7">
        <v>200</v>
      </c>
    </row>
    <row r="122" spans="1:3" ht="12.75">
      <c r="A122" s="7" t="s">
        <v>2229</v>
      </c>
      <c r="B122" s="7">
        <v>51.4</v>
      </c>
      <c r="C122" s="7">
        <v>200</v>
      </c>
    </row>
    <row r="123" spans="1:3" ht="12.75">
      <c r="A123" s="7" t="s">
        <v>2257</v>
      </c>
      <c r="B123" s="7">
        <v>64</v>
      </c>
      <c r="C123" s="7">
        <v>200</v>
      </c>
    </row>
    <row r="124" spans="1:3" ht="12.75">
      <c r="A124" s="7" t="s">
        <v>2265</v>
      </c>
      <c r="B124" s="7">
        <v>76</v>
      </c>
      <c r="C124" s="7">
        <v>200</v>
      </c>
    </row>
    <row r="125" spans="1:3" ht="12.75">
      <c r="A125" s="7" t="s">
        <v>2265</v>
      </c>
      <c r="B125" s="7">
        <v>85</v>
      </c>
      <c r="C125" s="7">
        <v>200</v>
      </c>
    </row>
    <row r="126" spans="1:3" ht="12.75">
      <c r="A126" s="7" t="s">
        <v>2153</v>
      </c>
      <c r="B126" s="7">
        <v>5.93</v>
      </c>
      <c r="C126" s="7">
        <v>205</v>
      </c>
    </row>
    <row r="127" spans="1:3" ht="12.75">
      <c r="A127" s="7" t="s">
        <v>2167</v>
      </c>
      <c r="B127" s="7">
        <v>10.1</v>
      </c>
      <c r="C127" s="7">
        <v>215</v>
      </c>
    </row>
    <row r="128" spans="1:3" ht="12.75">
      <c r="A128" s="7" t="s">
        <v>2202</v>
      </c>
      <c r="B128" s="7">
        <v>32.799999999999997</v>
      </c>
      <c r="C128" s="7">
        <v>216</v>
      </c>
    </row>
    <row r="129" spans="1:3" ht="12.75">
      <c r="A129" s="7" t="s">
        <v>2168</v>
      </c>
      <c r="B129" s="7">
        <v>7.5</v>
      </c>
      <c r="C129" s="7">
        <v>220</v>
      </c>
    </row>
    <row r="130" spans="1:3" ht="12.75">
      <c r="A130" s="7" t="s">
        <v>2167</v>
      </c>
      <c r="B130" s="7">
        <v>11.54</v>
      </c>
      <c r="C130" s="7">
        <v>220</v>
      </c>
    </row>
    <row r="131" spans="1:3" ht="12.75">
      <c r="A131" s="7" t="s">
        <v>2184</v>
      </c>
      <c r="B131" s="7">
        <v>11.54</v>
      </c>
      <c r="C131" s="7">
        <v>220</v>
      </c>
    </row>
    <row r="132" spans="1:3" ht="12.75">
      <c r="A132" s="7" t="s">
        <v>2173</v>
      </c>
      <c r="B132" s="7">
        <v>12.2</v>
      </c>
      <c r="C132" s="7">
        <v>220</v>
      </c>
    </row>
    <row r="133" spans="1:3" ht="12.75">
      <c r="A133" s="7" t="s">
        <v>2167</v>
      </c>
      <c r="B133" s="7">
        <v>25</v>
      </c>
      <c r="C133" s="7">
        <v>220</v>
      </c>
    </row>
    <row r="134" spans="1:3" ht="12.75">
      <c r="A134" s="7" t="s">
        <v>2232</v>
      </c>
      <c r="B134" s="7">
        <v>36.700000000000003</v>
      </c>
      <c r="C134" s="7">
        <v>220</v>
      </c>
    </row>
    <row r="135" spans="1:3" ht="12.75">
      <c r="A135" s="7" t="s">
        <v>2229</v>
      </c>
      <c r="B135" s="7">
        <v>53.2</v>
      </c>
      <c r="C135" s="7">
        <v>220</v>
      </c>
    </row>
    <row r="136" spans="1:3" ht="12.75">
      <c r="A136" s="7" t="s">
        <v>2202</v>
      </c>
      <c r="B136" s="7">
        <v>79.400000000000006</v>
      </c>
      <c r="C136" s="7">
        <v>220</v>
      </c>
    </row>
    <row r="137" spans="1:3" ht="12.75">
      <c r="A137" s="7" t="s">
        <v>2143</v>
      </c>
      <c r="B137" s="7">
        <v>2.48</v>
      </c>
      <c r="C137" s="7">
        <v>225</v>
      </c>
    </row>
    <row r="138" spans="1:3" ht="12.75">
      <c r="A138" s="7" t="s">
        <v>2160</v>
      </c>
      <c r="B138" s="7">
        <v>6</v>
      </c>
      <c r="C138" s="7">
        <v>225</v>
      </c>
    </row>
    <row r="139" spans="1:3" ht="12.75">
      <c r="A139" s="7" t="s">
        <v>2167</v>
      </c>
      <c r="B139" s="7">
        <v>8.6999999999999993</v>
      </c>
      <c r="C139" s="7">
        <v>225</v>
      </c>
    </row>
    <row r="140" spans="1:3" ht="12.75">
      <c r="A140" s="7" t="s">
        <v>2167</v>
      </c>
      <c r="B140" s="7">
        <v>9</v>
      </c>
      <c r="C140" s="7">
        <v>225</v>
      </c>
    </row>
    <row r="141" spans="1:3" ht="12.75">
      <c r="A141" s="7" t="s">
        <v>2184</v>
      </c>
      <c r="B141" s="7">
        <v>11</v>
      </c>
      <c r="C141" s="7">
        <v>225</v>
      </c>
    </row>
    <row r="142" spans="1:3" ht="12.75">
      <c r="A142" s="7" t="s">
        <v>2187</v>
      </c>
      <c r="B142" s="7">
        <v>15</v>
      </c>
      <c r="C142" s="7">
        <v>225</v>
      </c>
    </row>
    <row r="143" spans="1:3" ht="12.75">
      <c r="A143" s="7" t="s">
        <v>2184</v>
      </c>
      <c r="B143" s="7">
        <v>15</v>
      </c>
      <c r="C143" s="7">
        <v>225</v>
      </c>
    </row>
    <row r="144" spans="1:3" ht="12.75">
      <c r="A144" s="7" t="s">
        <v>2185</v>
      </c>
      <c r="B144" s="7">
        <v>17</v>
      </c>
      <c r="C144" s="7">
        <v>225</v>
      </c>
    </row>
    <row r="145" spans="1:3" ht="12.75">
      <c r="A145" s="7" t="s">
        <v>2185</v>
      </c>
      <c r="B145" s="7">
        <v>19.399999999999999</v>
      </c>
      <c r="C145" s="7">
        <v>230</v>
      </c>
    </row>
    <row r="146" spans="1:3" ht="12.75">
      <c r="A146" s="7" t="s">
        <v>2242</v>
      </c>
      <c r="B146" s="7">
        <v>49.7</v>
      </c>
      <c r="C146" s="7">
        <v>230</v>
      </c>
    </row>
    <row r="147" spans="1:3" ht="12.75">
      <c r="A147" s="7" t="s">
        <v>2229</v>
      </c>
      <c r="B147" s="7">
        <v>49.7</v>
      </c>
      <c r="C147" s="7">
        <v>230</v>
      </c>
    </row>
    <row r="148" spans="1:3" ht="12.75">
      <c r="A148" s="7" t="s">
        <v>2255</v>
      </c>
      <c r="B148" s="7">
        <v>66</v>
      </c>
      <c r="C148" s="7">
        <v>230</v>
      </c>
    </row>
    <row r="149" spans="1:3" ht="12.75">
      <c r="A149" s="7" t="s">
        <v>2153</v>
      </c>
      <c r="B149" s="7">
        <v>4.07</v>
      </c>
      <c r="C149" s="7">
        <v>240</v>
      </c>
    </row>
    <row r="150" spans="1:3" ht="12.75">
      <c r="A150" s="7" t="s">
        <v>2202</v>
      </c>
      <c r="B150" s="7">
        <v>20.57</v>
      </c>
      <c r="C150" s="7">
        <v>240</v>
      </c>
    </row>
    <row r="151" spans="1:3" ht="12.75">
      <c r="A151" s="7" t="s">
        <v>2205</v>
      </c>
      <c r="B151" s="7">
        <v>20.57</v>
      </c>
      <c r="C151" s="7">
        <v>240</v>
      </c>
    </row>
    <row r="152" spans="1:3" ht="12.75">
      <c r="A152" s="7" t="s">
        <v>2212</v>
      </c>
      <c r="B152" s="7">
        <v>24.2</v>
      </c>
      <c r="C152" s="7">
        <v>240</v>
      </c>
    </row>
    <row r="153" spans="1:3" ht="12.75">
      <c r="A153" s="7" t="s">
        <v>2249</v>
      </c>
      <c r="B153" s="7">
        <v>49.7</v>
      </c>
      <c r="C153" s="7">
        <v>240</v>
      </c>
    </row>
    <row r="154" spans="1:3" ht="12.75">
      <c r="A154" s="7" t="s">
        <v>2242</v>
      </c>
      <c r="B154" s="7">
        <v>49.7</v>
      </c>
      <c r="C154" s="7">
        <v>240</v>
      </c>
    </row>
    <row r="155" spans="1:3" ht="12.75">
      <c r="A155" s="7" t="s">
        <v>2167</v>
      </c>
      <c r="B155" s="7">
        <v>49.7</v>
      </c>
      <c r="C155" s="7">
        <v>240</v>
      </c>
    </row>
    <row r="156" spans="1:3" ht="12.75">
      <c r="A156" s="7" t="s">
        <v>2255</v>
      </c>
      <c r="B156" s="7">
        <v>71</v>
      </c>
      <c r="C156" s="7">
        <v>240</v>
      </c>
    </row>
    <row r="157" spans="1:3" ht="12.75">
      <c r="A157" s="7" t="s">
        <v>2152</v>
      </c>
      <c r="B157" s="7">
        <v>4.04</v>
      </c>
      <c r="C157" s="7">
        <v>250</v>
      </c>
    </row>
    <row r="158" spans="1:3" ht="12.75">
      <c r="A158" s="7" t="s">
        <v>2153</v>
      </c>
      <c r="B158" s="7">
        <v>4.67</v>
      </c>
      <c r="C158" s="7">
        <v>250</v>
      </c>
    </row>
    <row r="159" spans="1:3" ht="12.75">
      <c r="A159" s="7" t="s">
        <v>2153</v>
      </c>
      <c r="B159" s="7">
        <v>4.9000000000000004</v>
      </c>
      <c r="C159" s="7">
        <v>250</v>
      </c>
    </row>
    <row r="160" spans="1:3" ht="12.75">
      <c r="A160" s="7" t="s">
        <v>2153</v>
      </c>
      <c r="B160" s="7">
        <v>5.25</v>
      </c>
      <c r="C160" s="7">
        <v>250</v>
      </c>
    </row>
    <row r="161" spans="1:3" ht="12.75">
      <c r="A161" s="7" t="s">
        <v>2153</v>
      </c>
      <c r="B161" s="7">
        <v>5.97</v>
      </c>
      <c r="C161" s="7">
        <v>250</v>
      </c>
    </row>
    <row r="162" spans="1:3" ht="12.75">
      <c r="A162" s="7" t="s">
        <v>2153</v>
      </c>
      <c r="B162" s="7">
        <v>6</v>
      </c>
      <c r="C162" s="7">
        <v>250</v>
      </c>
    </row>
    <row r="163" spans="1:3" ht="12.75">
      <c r="A163" s="7" t="s">
        <v>2151</v>
      </c>
      <c r="B163" s="7">
        <v>6</v>
      </c>
      <c r="C163" s="7">
        <v>250</v>
      </c>
    </row>
    <row r="164" spans="1:3" ht="12.75">
      <c r="A164" s="7" t="s">
        <v>2152</v>
      </c>
      <c r="B164" s="7">
        <v>6.6</v>
      </c>
      <c r="C164" s="7">
        <v>250</v>
      </c>
    </row>
    <row r="165" spans="1:3" ht="12.75">
      <c r="A165" s="7" t="s">
        <v>2152</v>
      </c>
      <c r="B165" s="7">
        <v>7.2</v>
      </c>
      <c r="C165" s="7">
        <v>250</v>
      </c>
    </row>
    <row r="166" spans="1:3" ht="12.75">
      <c r="A166" s="7" t="s">
        <v>2167</v>
      </c>
      <c r="B166" s="7">
        <v>7.3</v>
      </c>
      <c r="C166" s="7">
        <v>250</v>
      </c>
    </row>
    <row r="167" spans="1:3" ht="12.75">
      <c r="A167" s="7" t="s">
        <v>2152</v>
      </c>
      <c r="B167" s="7">
        <v>7.5</v>
      </c>
      <c r="C167" s="7">
        <v>250</v>
      </c>
    </row>
    <row r="168" spans="1:3" ht="12.75">
      <c r="A168" s="7" t="s">
        <v>2165</v>
      </c>
      <c r="B168" s="7">
        <v>7.5</v>
      </c>
      <c r="C168" s="7">
        <v>250</v>
      </c>
    </row>
    <row r="169" spans="1:3" ht="12.75">
      <c r="A169" s="7" t="s">
        <v>2152</v>
      </c>
      <c r="B169" s="7">
        <v>8</v>
      </c>
      <c r="C169" s="7">
        <v>250</v>
      </c>
    </row>
    <row r="170" spans="1:3" ht="12.75">
      <c r="A170" s="7" t="s">
        <v>2173</v>
      </c>
      <c r="B170" s="7">
        <v>8.1999999999999993</v>
      </c>
      <c r="C170" s="7">
        <v>250</v>
      </c>
    </row>
    <row r="171" spans="1:3" ht="12.75">
      <c r="A171" s="7" t="s">
        <v>2176</v>
      </c>
      <c r="B171" s="7">
        <v>8.9600000000000009</v>
      </c>
      <c r="C171" s="7">
        <v>250</v>
      </c>
    </row>
    <row r="172" spans="1:3" ht="12.75">
      <c r="A172" s="7" t="s">
        <v>2152</v>
      </c>
      <c r="B172" s="7">
        <v>9</v>
      </c>
      <c r="C172" s="7">
        <v>250</v>
      </c>
    </row>
    <row r="173" spans="1:3" ht="12.75">
      <c r="A173" s="7" t="s">
        <v>2165</v>
      </c>
      <c r="B173" s="7">
        <v>9</v>
      </c>
      <c r="C173" s="7">
        <v>250</v>
      </c>
    </row>
    <row r="174" spans="1:3" ht="12.75">
      <c r="A174" s="7" t="s">
        <v>2174</v>
      </c>
      <c r="B174" s="7">
        <v>9.3000000000000007</v>
      </c>
      <c r="C174" s="7">
        <v>250</v>
      </c>
    </row>
    <row r="175" spans="1:3" ht="12.75">
      <c r="A175" s="7" t="s">
        <v>2174</v>
      </c>
      <c r="B175" s="7">
        <v>9.4</v>
      </c>
      <c r="C175" s="7">
        <v>250</v>
      </c>
    </row>
    <row r="176" spans="1:3" ht="12.75">
      <c r="A176" s="7" t="s">
        <v>2167</v>
      </c>
      <c r="B176" s="7">
        <v>9.4</v>
      </c>
      <c r="C176" s="7">
        <v>250</v>
      </c>
    </row>
    <row r="177" spans="1:3" ht="12.75">
      <c r="A177" s="7" t="s">
        <v>2173</v>
      </c>
      <c r="B177" s="7">
        <v>9.6</v>
      </c>
      <c r="C177" s="7">
        <v>250</v>
      </c>
    </row>
    <row r="178" spans="1:3" ht="12.75">
      <c r="A178" s="7" t="s">
        <v>2174</v>
      </c>
      <c r="B178" s="7">
        <v>9.8000000000000007</v>
      </c>
      <c r="C178" s="7">
        <v>250</v>
      </c>
    </row>
    <row r="179" spans="1:3" ht="12.75">
      <c r="A179" s="7" t="s">
        <v>2174</v>
      </c>
      <c r="B179" s="7">
        <v>9.9</v>
      </c>
      <c r="C179" s="7">
        <v>250</v>
      </c>
    </row>
    <row r="180" spans="1:3" ht="12.75">
      <c r="A180" s="7" t="s">
        <v>2173</v>
      </c>
      <c r="B180" s="7">
        <v>10</v>
      </c>
      <c r="C180" s="7">
        <v>250</v>
      </c>
    </row>
    <row r="181" spans="1:3" ht="12.75">
      <c r="A181" s="7" t="s">
        <v>2174</v>
      </c>
      <c r="B181" s="7">
        <v>10.7</v>
      </c>
      <c r="C181" s="7">
        <v>250</v>
      </c>
    </row>
    <row r="182" spans="1:3" ht="12.75">
      <c r="A182" s="7" t="s">
        <v>2185</v>
      </c>
      <c r="B182" s="7">
        <v>11.4</v>
      </c>
      <c r="C182" s="7">
        <v>250</v>
      </c>
    </row>
    <row r="183" spans="1:3" ht="12.75">
      <c r="A183" s="7" t="s">
        <v>2173</v>
      </c>
      <c r="B183" s="7">
        <v>11.9</v>
      </c>
      <c r="C183" s="7">
        <v>250</v>
      </c>
    </row>
    <row r="184" spans="1:3" ht="12.75">
      <c r="A184" s="7" t="s">
        <v>2173</v>
      </c>
      <c r="B184" s="7">
        <v>12</v>
      </c>
      <c r="C184" s="7">
        <v>250</v>
      </c>
    </row>
    <row r="185" spans="1:3" ht="12.75">
      <c r="A185" s="7" t="s">
        <v>2188</v>
      </c>
      <c r="B185" s="7">
        <v>12.04</v>
      </c>
      <c r="C185" s="7">
        <v>250</v>
      </c>
    </row>
    <row r="186" spans="1:3" ht="12.75">
      <c r="A186" s="7" t="s">
        <v>2185</v>
      </c>
      <c r="B186" s="7">
        <v>12.04</v>
      </c>
      <c r="C186" s="7">
        <v>250</v>
      </c>
    </row>
    <row r="187" spans="1:3" ht="12.75">
      <c r="A187" s="7" t="s">
        <v>2185</v>
      </c>
      <c r="B187" s="7">
        <v>12.5</v>
      </c>
      <c r="C187" s="7">
        <v>250</v>
      </c>
    </row>
    <row r="188" spans="1:3" ht="12.75">
      <c r="A188" s="7" t="s">
        <v>2185</v>
      </c>
      <c r="B188" s="7">
        <v>13</v>
      </c>
      <c r="C188" s="7">
        <v>250</v>
      </c>
    </row>
    <row r="189" spans="1:3" ht="12.75">
      <c r="A189" s="7" t="s">
        <v>2188</v>
      </c>
      <c r="B189" s="7">
        <v>13.2</v>
      </c>
      <c r="C189" s="7">
        <v>250</v>
      </c>
    </row>
    <row r="190" spans="1:3" ht="12.75">
      <c r="A190" s="7" t="s">
        <v>2187</v>
      </c>
      <c r="B190" s="7">
        <v>13.2</v>
      </c>
      <c r="C190" s="7">
        <v>250</v>
      </c>
    </row>
    <row r="191" spans="1:3" ht="12.75">
      <c r="A191" s="7" t="s">
        <v>2185</v>
      </c>
      <c r="B191" s="7">
        <v>13.2</v>
      </c>
      <c r="C191" s="7">
        <v>250</v>
      </c>
    </row>
    <row r="192" spans="1:3" ht="12.75">
      <c r="A192" s="7" t="s">
        <v>2185</v>
      </c>
      <c r="B192" s="7">
        <v>14.6</v>
      </c>
      <c r="C192" s="7">
        <v>250</v>
      </c>
    </row>
    <row r="193" spans="1:3" ht="12.75">
      <c r="A193" s="7" t="s">
        <v>2185</v>
      </c>
      <c r="B193" s="7">
        <v>14.7</v>
      </c>
      <c r="C193" s="7">
        <v>250</v>
      </c>
    </row>
    <row r="194" spans="1:3" ht="12.75">
      <c r="A194" s="7" t="s">
        <v>2185</v>
      </c>
      <c r="B194" s="7">
        <v>15</v>
      </c>
      <c r="C194" s="7">
        <v>250</v>
      </c>
    </row>
    <row r="195" spans="1:3" ht="12.75">
      <c r="A195" s="7" t="s">
        <v>2185</v>
      </c>
      <c r="B195" s="7">
        <v>15.29</v>
      </c>
      <c r="C195" s="7">
        <v>250</v>
      </c>
    </row>
    <row r="196" spans="1:3" ht="12.75">
      <c r="A196" s="7" t="s">
        <v>2185</v>
      </c>
      <c r="B196" s="7">
        <v>15.5</v>
      </c>
      <c r="C196" s="7">
        <v>250</v>
      </c>
    </row>
    <row r="197" spans="1:3" ht="12.75">
      <c r="A197" s="7" t="s">
        <v>2185</v>
      </c>
      <c r="B197" s="7">
        <v>15.63</v>
      </c>
      <c r="C197" s="7">
        <v>250</v>
      </c>
    </row>
    <row r="198" spans="1:3" ht="12.75">
      <c r="A198" s="7" t="s">
        <v>2185</v>
      </c>
      <c r="B198" s="7">
        <v>16</v>
      </c>
      <c r="C198" s="7">
        <v>250</v>
      </c>
    </row>
    <row r="199" spans="1:3" ht="12.75">
      <c r="A199" s="7" t="s">
        <v>2185</v>
      </c>
      <c r="B199" s="7">
        <v>16.399999999999999</v>
      </c>
      <c r="C199" s="7">
        <v>250</v>
      </c>
    </row>
    <row r="200" spans="1:3" ht="12.75">
      <c r="A200" s="7" t="s">
        <v>2185</v>
      </c>
      <c r="B200" s="7">
        <v>16.8</v>
      </c>
      <c r="C200" s="7">
        <v>250</v>
      </c>
    </row>
    <row r="201" spans="1:3" ht="12.75">
      <c r="A201" s="7" t="s">
        <v>2185</v>
      </c>
      <c r="B201" s="7">
        <v>17.5</v>
      </c>
      <c r="C201" s="7">
        <v>250</v>
      </c>
    </row>
    <row r="202" spans="1:3" ht="12.75">
      <c r="A202" s="7" t="s">
        <v>2185</v>
      </c>
      <c r="B202" s="7">
        <v>18.8</v>
      </c>
      <c r="C202" s="7">
        <v>250</v>
      </c>
    </row>
    <row r="203" spans="1:3" ht="12.75">
      <c r="A203" s="7" t="s">
        <v>2202</v>
      </c>
      <c r="B203" s="7">
        <v>21</v>
      </c>
      <c r="C203" s="7">
        <v>250</v>
      </c>
    </row>
    <row r="204" spans="1:3" ht="12.75">
      <c r="A204" s="7" t="s">
        <v>2202</v>
      </c>
      <c r="B204" s="7">
        <v>21.2</v>
      </c>
      <c r="C204" s="7">
        <v>250</v>
      </c>
    </row>
    <row r="205" spans="1:3" ht="12.75">
      <c r="A205" s="7" t="s">
        <v>2206</v>
      </c>
      <c r="B205" s="7">
        <v>21.2</v>
      </c>
      <c r="C205" s="7">
        <v>250</v>
      </c>
    </row>
    <row r="206" spans="1:3" ht="12.75">
      <c r="A206" s="7" t="s">
        <v>2202</v>
      </c>
      <c r="B206" s="7">
        <v>21.99</v>
      </c>
      <c r="C206" s="7">
        <v>250</v>
      </c>
    </row>
    <row r="207" spans="1:3" ht="12.75">
      <c r="A207" s="7" t="s">
        <v>2202</v>
      </c>
      <c r="B207" s="7">
        <v>22</v>
      </c>
      <c r="C207" s="7">
        <v>250</v>
      </c>
    </row>
    <row r="208" spans="1:3" ht="12.75">
      <c r="A208" s="7" t="s">
        <v>2202</v>
      </c>
      <c r="B208" s="7">
        <v>23.4</v>
      </c>
      <c r="C208" s="7">
        <v>250</v>
      </c>
    </row>
    <row r="209" spans="1:3" ht="12.75">
      <c r="A209" s="7" t="s">
        <v>2202</v>
      </c>
      <c r="B209" s="7">
        <v>24</v>
      </c>
      <c r="C209" s="7">
        <v>250</v>
      </c>
    </row>
    <row r="210" spans="1:3" ht="12.75">
      <c r="A210" s="7" t="s">
        <v>2202</v>
      </c>
      <c r="B210" s="7">
        <v>25.9</v>
      </c>
      <c r="C210" s="7">
        <v>250</v>
      </c>
    </row>
    <row r="211" spans="1:3" ht="12.75">
      <c r="A211" s="7" t="s">
        <v>2202</v>
      </c>
      <c r="B211" s="7">
        <v>26.3</v>
      </c>
      <c r="C211" s="7">
        <v>250</v>
      </c>
    </row>
    <row r="212" spans="1:3" ht="12.75">
      <c r="A212" s="7" t="s">
        <v>2173</v>
      </c>
      <c r="B212" s="7">
        <v>28.51</v>
      </c>
      <c r="C212" s="7">
        <v>250</v>
      </c>
    </row>
    <row r="213" spans="1:3" ht="12.75">
      <c r="A213" s="7" t="s">
        <v>2202</v>
      </c>
      <c r="B213" s="7">
        <v>29</v>
      </c>
      <c r="C213" s="7">
        <v>250</v>
      </c>
    </row>
    <row r="214" spans="1:3" ht="12.75">
      <c r="A214" s="7" t="s">
        <v>2202</v>
      </c>
      <c r="B214" s="7">
        <v>31</v>
      </c>
      <c r="C214" s="7">
        <v>250</v>
      </c>
    </row>
    <row r="215" spans="1:3" ht="12.75">
      <c r="A215" s="7" t="s">
        <v>2214</v>
      </c>
      <c r="B215" s="7">
        <v>31.8</v>
      </c>
      <c r="C215" s="7">
        <v>250</v>
      </c>
    </row>
    <row r="216" spans="1:3" ht="12.75">
      <c r="A216" s="7" t="s">
        <v>2229</v>
      </c>
      <c r="B216" s="7">
        <v>32.9</v>
      </c>
      <c r="C216" s="7">
        <v>250</v>
      </c>
    </row>
    <row r="217" spans="1:3" ht="12.75">
      <c r="A217" s="7" t="s">
        <v>2214</v>
      </c>
      <c r="B217" s="7">
        <v>33.1</v>
      </c>
      <c r="C217" s="7">
        <v>250</v>
      </c>
    </row>
    <row r="218" spans="1:3" ht="12.75">
      <c r="A218" s="7" t="s">
        <v>2214</v>
      </c>
      <c r="B218" s="7">
        <v>33.9</v>
      </c>
      <c r="C218" s="7">
        <v>250</v>
      </c>
    </row>
    <row r="219" spans="1:3" ht="12.75">
      <c r="A219" s="7" t="s">
        <v>2232</v>
      </c>
      <c r="B219" s="7">
        <v>34.1</v>
      </c>
      <c r="C219" s="7">
        <v>250</v>
      </c>
    </row>
    <row r="220" spans="1:3" ht="12.75">
      <c r="A220" s="7" t="s">
        <v>2229</v>
      </c>
      <c r="B220" s="7">
        <v>34.299999999999997</v>
      </c>
      <c r="C220" s="7">
        <v>250</v>
      </c>
    </row>
    <row r="221" spans="1:3" ht="12.75">
      <c r="A221" s="7" t="s">
        <v>2214</v>
      </c>
      <c r="B221" s="7">
        <v>35</v>
      </c>
      <c r="C221" s="7">
        <v>250</v>
      </c>
    </row>
    <row r="222" spans="1:3" ht="12.75">
      <c r="A222" s="7" t="s">
        <v>2223</v>
      </c>
      <c r="B222" s="7">
        <v>37</v>
      </c>
      <c r="C222" s="7">
        <v>250</v>
      </c>
    </row>
    <row r="223" spans="1:3" ht="12.75">
      <c r="A223" s="7" t="s">
        <v>2229</v>
      </c>
      <c r="B223" s="7">
        <v>38.200000000000003</v>
      </c>
      <c r="C223" s="7">
        <v>250</v>
      </c>
    </row>
    <row r="224" spans="1:3" ht="12.75">
      <c r="A224" s="7" t="s">
        <v>2215</v>
      </c>
      <c r="B224" s="7">
        <v>38.200000000000003</v>
      </c>
      <c r="C224" s="7">
        <v>250</v>
      </c>
    </row>
    <row r="225" spans="1:3" ht="12.75">
      <c r="A225" s="7" t="s">
        <v>2239</v>
      </c>
      <c r="B225" s="7">
        <v>43.7</v>
      </c>
      <c r="C225" s="7">
        <v>250</v>
      </c>
    </row>
    <row r="226" spans="1:3" ht="12.75">
      <c r="A226" s="7" t="s">
        <v>2206</v>
      </c>
      <c r="B226" s="7">
        <v>43.7</v>
      </c>
      <c r="C226" s="7">
        <v>250</v>
      </c>
    </row>
    <row r="227" spans="1:3" ht="12.75">
      <c r="A227" s="7" t="s">
        <v>2229</v>
      </c>
      <c r="B227" s="7">
        <v>44.1</v>
      </c>
      <c r="C227" s="7">
        <v>250</v>
      </c>
    </row>
    <row r="228" spans="1:3" ht="12.75">
      <c r="A228" s="7" t="s">
        <v>2229</v>
      </c>
      <c r="B228" s="7">
        <v>45.4</v>
      </c>
      <c r="C228" s="7">
        <v>250</v>
      </c>
    </row>
    <row r="229" spans="1:3" ht="12.75">
      <c r="A229" s="7" t="s">
        <v>2229</v>
      </c>
      <c r="B229" s="7">
        <v>49</v>
      </c>
      <c r="C229" s="7">
        <v>250</v>
      </c>
    </row>
    <row r="230" spans="1:3" ht="12.75">
      <c r="A230" s="7" t="s">
        <v>2240</v>
      </c>
      <c r="B230" s="7">
        <v>53</v>
      </c>
      <c r="C230" s="7">
        <v>250</v>
      </c>
    </row>
    <row r="231" spans="1:3" ht="12.75">
      <c r="A231" s="7" t="s">
        <v>2240</v>
      </c>
      <c r="B231" s="7">
        <v>58</v>
      </c>
      <c r="C231" s="7">
        <v>250</v>
      </c>
    </row>
    <row r="232" spans="1:3" ht="12.75">
      <c r="A232" s="7" t="s">
        <v>2255</v>
      </c>
      <c r="B232" s="7">
        <v>65</v>
      </c>
      <c r="C232" s="7">
        <v>250</v>
      </c>
    </row>
    <row r="233" spans="1:3" ht="12.75">
      <c r="A233" s="7" t="s">
        <v>2227</v>
      </c>
      <c r="B233" s="7">
        <v>85</v>
      </c>
      <c r="C233" s="7">
        <v>250</v>
      </c>
    </row>
    <row r="234" spans="1:3" ht="12.75">
      <c r="A234" s="7" t="s">
        <v>2193</v>
      </c>
      <c r="B234" s="7">
        <v>21.4</v>
      </c>
      <c r="C234" s="7">
        <v>255</v>
      </c>
    </row>
    <row r="235" spans="1:3" ht="12.75">
      <c r="A235" s="7" t="s">
        <v>2202</v>
      </c>
      <c r="B235" s="7">
        <v>21.4</v>
      </c>
      <c r="C235" s="7">
        <v>255</v>
      </c>
    </row>
    <row r="236" spans="1:3" ht="12.75">
      <c r="A236" s="7" t="s">
        <v>2267</v>
      </c>
      <c r="B236" s="7">
        <v>96.53</v>
      </c>
      <c r="C236" s="7">
        <v>255</v>
      </c>
    </row>
    <row r="237" spans="1:3" ht="12.75">
      <c r="A237" s="7" t="s">
        <v>2267</v>
      </c>
      <c r="B237" s="7">
        <v>97.14</v>
      </c>
      <c r="C237" s="7">
        <v>255</v>
      </c>
    </row>
    <row r="238" spans="1:3" ht="12.75">
      <c r="A238" s="7" t="s">
        <v>2173</v>
      </c>
      <c r="B238" s="7">
        <v>8.9</v>
      </c>
      <c r="C238" s="7">
        <v>257</v>
      </c>
    </row>
    <row r="239" spans="1:3" ht="12.75">
      <c r="A239" s="7" t="s">
        <v>2174</v>
      </c>
      <c r="B239" s="7">
        <v>8.6</v>
      </c>
      <c r="C239" s="7">
        <v>260</v>
      </c>
    </row>
    <row r="240" spans="1:3" ht="12.75">
      <c r="A240" s="7" t="s">
        <v>2193</v>
      </c>
      <c r="B240" s="7">
        <v>22</v>
      </c>
      <c r="C240" s="7">
        <v>260</v>
      </c>
    </row>
    <row r="241" spans="1:3" ht="12.75">
      <c r="A241" s="7" t="s">
        <v>2202</v>
      </c>
      <c r="B241" s="7">
        <v>22</v>
      </c>
      <c r="C241" s="7">
        <v>260</v>
      </c>
    </row>
    <row r="242" spans="1:3" ht="12.75">
      <c r="A242" s="7" t="s">
        <v>2214</v>
      </c>
      <c r="B242" s="7">
        <v>33.1</v>
      </c>
      <c r="C242" s="7">
        <v>260</v>
      </c>
    </row>
    <row r="243" spans="1:3" ht="12.75">
      <c r="A243" s="7" t="s">
        <v>2214</v>
      </c>
      <c r="B243" s="7">
        <v>34</v>
      </c>
      <c r="C243" s="7">
        <v>260</v>
      </c>
    </row>
    <row r="244" spans="1:3" ht="12.75">
      <c r="A244" s="7" t="s">
        <v>2223</v>
      </c>
      <c r="B244" s="7">
        <v>34</v>
      </c>
      <c r="C244" s="7">
        <v>260</v>
      </c>
    </row>
    <row r="245" spans="1:3" ht="12.75">
      <c r="A245" s="7" t="s">
        <v>2214</v>
      </c>
      <c r="B245" s="7">
        <v>33.4</v>
      </c>
      <c r="C245" s="7">
        <v>265</v>
      </c>
    </row>
    <row r="246" spans="1:3" ht="12.75" hidden="1">
      <c r="A246" s="7" t="s">
        <v>2267</v>
      </c>
      <c r="B246" s="7">
        <v>122.3</v>
      </c>
      <c r="C246" s="7">
        <v>265</v>
      </c>
    </row>
    <row r="247" spans="1:3" ht="12.75">
      <c r="A247" s="7" t="s">
        <v>2152</v>
      </c>
      <c r="B247" s="7">
        <v>8</v>
      </c>
      <c r="C247" s="7">
        <v>270</v>
      </c>
    </row>
    <row r="248" spans="1:3" ht="12.75">
      <c r="A248" s="7" t="s">
        <v>2223</v>
      </c>
      <c r="B248" s="7">
        <v>31.1</v>
      </c>
      <c r="C248" s="7">
        <v>270</v>
      </c>
    </row>
    <row r="249" spans="1:3" ht="12.75">
      <c r="A249" s="7" t="s">
        <v>2223</v>
      </c>
      <c r="B249" s="7">
        <v>34.270000000000003</v>
      </c>
      <c r="C249" s="7">
        <v>270</v>
      </c>
    </row>
    <row r="250" spans="1:3" ht="12.75">
      <c r="A250" s="7" t="s">
        <v>2152</v>
      </c>
      <c r="B250" s="7">
        <v>5</v>
      </c>
      <c r="C250" s="7">
        <v>280</v>
      </c>
    </row>
    <row r="251" spans="1:3" ht="12.75">
      <c r="A251" s="7" t="s">
        <v>2173</v>
      </c>
      <c r="B251" s="7">
        <v>9.16</v>
      </c>
      <c r="C251" s="7">
        <v>280</v>
      </c>
    </row>
    <row r="252" spans="1:3" ht="12.75">
      <c r="A252" s="7" t="s">
        <v>2174</v>
      </c>
      <c r="B252" s="7">
        <v>9.4</v>
      </c>
      <c r="C252" s="7">
        <v>280</v>
      </c>
    </row>
    <row r="253" spans="1:3" ht="12.75">
      <c r="A253" s="7" t="s">
        <v>2173</v>
      </c>
      <c r="B253" s="7">
        <v>11.34</v>
      </c>
      <c r="C253" s="7">
        <v>280</v>
      </c>
    </row>
    <row r="254" spans="1:3" ht="12.75">
      <c r="A254" s="7" t="s">
        <v>2171</v>
      </c>
      <c r="B254" s="7">
        <v>13</v>
      </c>
      <c r="C254" s="7">
        <v>280</v>
      </c>
    </row>
    <row r="255" spans="1:3" ht="12.75">
      <c r="A255" s="7" t="s">
        <v>2171</v>
      </c>
      <c r="B255" s="7">
        <v>13.05</v>
      </c>
      <c r="C255" s="7">
        <v>280</v>
      </c>
    </row>
    <row r="256" spans="1:3" ht="12.75">
      <c r="A256" s="7" t="s">
        <v>2171</v>
      </c>
      <c r="B256" s="7">
        <v>13.19</v>
      </c>
      <c r="C256" s="7">
        <v>280</v>
      </c>
    </row>
    <row r="257" spans="1:3" ht="12.75">
      <c r="A257" s="7" t="s">
        <v>2214</v>
      </c>
      <c r="B257" s="7">
        <v>34.89</v>
      </c>
      <c r="C257" s="7">
        <v>285</v>
      </c>
    </row>
    <row r="258" spans="1:3" ht="12.75">
      <c r="A258" s="7" t="s">
        <v>2150</v>
      </c>
      <c r="B258" s="7">
        <v>24.38</v>
      </c>
      <c r="C258" s="7">
        <v>290</v>
      </c>
    </row>
    <row r="259" spans="1:3" ht="12.75">
      <c r="A259" s="7" t="s">
        <v>2214</v>
      </c>
      <c r="B259" s="7">
        <v>33</v>
      </c>
      <c r="C259" s="7">
        <v>290</v>
      </c>
    </row>
    <row r="260" spans="1:3" ht="12.75">
      <c r="A260" s="7" t="s">
        <v>2223</v>
      </c>
      <c r="B260" s="7">
        <v>33</v>
      </c>
      <c r="C260" s="7">
        <v>290</v>
      </c>
    </row>
    <row r="261" spans="1:3" ht="12.75">
      <c r="A261" s="7" t="s">
        <v>2142</v>
      </c>
      <c r="B261" s="7">
        <v>1.9</v>
      </c>
      <c r="C261" s="7">
        <v>300</v>
      </c>
    </row>
    <row r="262" spans="1:3" ht="12.75">
      <c r="A262" s="7" t="s">
        <v>2142</v>
      </c>
      <c r="B262" s="7">
        <v>3</v>
      </c>
      <c r="C262" s="7">
        <v>300</v>
      </c>
    </row>
    <row r="263" spans="1:3" ht="12.75">
      <c r="A263" s="7" t="s">
        <v>2142</v>
      </c>
      <c r="B263" s="7">
        <v>3.3</v>
      </c>
      <c r="C263" s="7">
        <v>300</v>
      </c>
    </row>
    <row r="264" spans="1:3" ht="12.75">
      <c r="A264" s="7" t="s">
        <v>2150</v>
      </c>
      <c r="B264" s="7">
        <v>3.7</v>
      </c>
      <c r="C264" s="7">
        <v>300</v>
      </c>
    </row>
    <row r="265" spans="1:3" ht="12.75">
      <c r="A265" s="7" t="s">
        <v>2142</v>
      </c>
      <c r="B265" s="7">
        <v>4.2</v>
      </c>
      <c r="C265" s="7">
        <v>300</v>
      </c>
    </row>
    <row r="266" spans="1:3" ht="12.75">
      <c r="A266" s="7" t="s">
        <v>2154</v>
      </c>
      <c r="B266" s="7">
        <v>4.5999999999999996</v>
      </c>
      <c r="C266" s="7">
        <v>300</v>
      </c>
    </row>
    <row r="267" spans="1:3" ht="12.75">
      <c r="A267" s="7" t="s">
        <v>2142</v>
      </c>
      <c r="B267" s="7">
        <v>5.13</v>
      </c>
      <c r="C267" s="7">
        <v>300</v>
      </c>
    </row>
    <row r="268" spans="1:3" ht="12.75">
      <c r="A268" s="7" t="s">
        <v>2142</v>
      </c>
      <c r="B268" s="7">
        <v>6.2</v>
      </c>
      <c r="C268" s="7">
        <v>300</v>
      </c>
    </row>
    <row r="269" spans="1:3" ht="12.75">
      <c r="A269" s="7" t="s">
        <v>2165</v>
      </c>
      <c r="B269" s="7">
        <v>7.2</v>
      </c>
      <c r="C269" s="7">
        <v>300</v>
      </c>
    </row>
    <row r="270" spans="1:3" ht="12.75">
      <c r="A270" s="7" t="s">
        <v>2154</v>
      </c>
      <c r="B270" s="7">
        <v>7.4</v>
      </c>
      <c r="C270" s="7">
        <v>300</v>
      </c>
    </row>
    <row r="271" spans="1:3" ht="12.75">
      <c r="A271" s="7" t="s">
        <v>2154</v>
      </c>
      <c r="B271" s="7">
        <v>8</v>
      </c>
      <c r="C271" s="7">
        <v>300</v>
      </c>
    </row>
    <row r="272" spans="1:3" ht="12.75">
      <c r="A272" s="7" t="s">
        <v>2150</v>
      </c>
      <c r="B272" s="7">
        <v>8</v>
      </c>
      <c r="C272" s="7">
        <v>300</v>
      </c>
    </row>
    <row r="273" spans="1:3" ht="12.75">
      <c r="A273" s="7" t="s">
        <v>2154</v>
      </c>
      <c r="B273" s="7">
        <v>8.5</v>
      </c>
      <c r="C273" s="7">
        <v>300</v>
      </c>
    </row>
    <row r="274" spans="1:3" ht="12.75">
      <c r="A274" s="7" t="s">
        <v>2154</v>
      </c>
      <c r="B274" s="7">
        <v>8.6</v>
      </c>
      <c r="C274" s="7">
        <v>300</v>
      </c>
    </row>
    <row r="275" spans="1:3" ht="12.75">
      <c r="A275" s="7" t="s">
        <v>2154</v>
      </c>
      <c r="B275" s="7">
        <v>9</v>
      </c>
      <c r="C275" s="7">
        <v>300</v>
      </c>
    </row>
    <row r="276" spans="1:3" ht="12.75">
      <c r="A276" s="7" t="s">
        <v>2154</v>
      </c>
      <c r="B276" s="7">
        <v>9.0180000000000007</v>
      </c>
      <c r="C276" s="7">
        <v>300</v>
      </c>
    </row>
    <row r="277" spans="1:3" ht="12.75">
      <c r="A277" s="7" t="s">
        <v>2154</v>
      </c>
      <c r="B277" s="7">
        <v>9.3000000000000007</v>
      </c>
      <c r="C277" s="7">
        <v>300</v>
      </c>
    </row>
    <row r="278" spans="1:3" ht="12.75">
      <c r="A278" s="7" t="s">
        <v>2174</v>
      </c>
      <c r="B278" s="7">
        <v>9.4</v>
      </c>
      <c r="C278" s="7">
        <v>300</v>
      </c>
    </row>
    <row r="279" spans="1:3" ht="12.75">
      <c r="A279" s="7" t="s">
        <v>2161</v>
      </c>
      <c r="B279" s="7">
        <v>9.5</v>
      </c>
      <c r="C279" s="7">
        <v>300</v>
      </c>
    </row>
    <row r="280" spans="1:3" ht="12.75">
      <c r="A280" s="7" t="s">
        <v>2174</v>
      </c>
      <c r="B280" s="7">
        <v>10.18</v>
      </c>
      <c r="C280" s="7">
        <v>300</v>
      </c>
    </row>
    <row r="281" spans="1:3" ht="12.75">
      <c r="A281" s="7" t="s">
        <v>2161</v>
      </c>
      <c r="B281" s="7">
        <v>10.5</v>
      </c>
      <c r="C281" s="7">
        <v>300</v>
      </c>
    </row>
    <row r="282" spans="1:3" ht="12.75">
      <c r="A282" s="7" t="s">
        <v>2171</v>
      </c>
      <c r="B282" s="7">
        <v>10.8</v>
      </c>
      <c r="C282" s="7">
        <v>300</v>
      </c>
    </row>
    <row r="283" spans="1:3" ht="12.75">
      <c r="A283" s="7" t="s">
        <v>2171</v>
      </c>
      <c r="B283" s="7">
        <v>11.14</v>
      </c>
      <c r="C283" s="7">
        <v>300</v>
      </c>
    </row>
    <row r="284" spans="1:3" ht="12.75">
      <c r="A284" s="7" t="s">
        <v>2171</v>
      </c>
      <c r="B284" s="7">
        <v>11.2</v>
      </c>
      <c r="C284" s="7">
        <v>300</v>
      </c>
    </row>
    <row r="285" spans="1:3" ht="12.75">
      <c r="A285" s="7" t="s">
        <v>2171</v>
      </c>
      <c r="B285" s="7">
        <v>11.44</v>
      </c>
      <c r="C285" s="7">
        <v>300</v>
      </c>
    </row>
    <row r="286" spans="1:3" ht="12.75">
      <c r="A286" s="7" t="s">
        <v>2171</v>
      </c>
      <c r="B286" s="7">
        <v>11.9</v>
      </c>
      <c r="C286" s="7">
        <v>300</v>
      </c>
    </row>
    <row r="287" spans="1:3" ht="12.75">
      <c r="A287" s="7" t="s">
        <v>2171</v>
      </c>
      <c r="B287" s="7">
        <v>12.5</v>
      </c>
      <c r="C287" s="7">
        <v>300</v>
      </c>
    </row>
    <row r="288" spans="1:3" ht="12.75">
      <c r="A288" s="7" t="s">
        <v>2171</v>
      </c>
      <c r="B288" s="7">
        <v>12.59</v>
      </c>
      <c r="C288" s="7">
        <v>300</v>
      </c>
    </row>
    <row r="289" spans="1:3" ht="12.75">
      <c r="A289" s="7" t="s">
        <v>2171</v>
      </c>
      <c r="B289" s="7">
        <v>13.1</v>
      </c>
      <c r="C289" s="7">
        <v>300</v>
      </c>
    </row>
    <row r="290" spans="1:3" ht="12.75">
      <c r="A290" s="7" t="s">
        <v>2171</v>
      </c>
      <c r="B290" s="7">
        <v>14</v>
      </c>
      <c r="C290" s="7">
        <v>300</v>
      </c>
    </row>
    <row r="291" spans="1:3" ht="12.75">
      <c r="A291" s="7" t="s">
        <v>2171</v>
      </c>
      <c r="B291" s="7">
        <v>14.3</v>
      </c>
      <c r="C291" s="7">
        <v>300</v>
      </c>
    </row>
    <row r="292" spans="1:3" ht="12.75">
      <c r="A292" s="7" t="s">
        <v>2171</v>
      </c>
      <c r="B292" s="7">
        <v>14.39</v>
      </c>
      <c r="C292" s="7">
        <v>300</v>
      </c>
    </row>
    <row r="293" spans="1:3" ht="12.75">
      <c r="A293" s="7" t="s">
        <v>2194</v>
      </c>
      <c r="B293" s="7">
        <v>14.7</v>
      </c>
      <c r="C293" s="7">
        <v>300</v>
      </c>
    </row>
    <row r="294" spans="1:3" ht="12.75">
      <c r="A294" s="7" t="s">
        <v>2193</v>
      </c>
      <c r="B294" s="7">
        <v>14.9</v>
      </c>
      <c r="C294" s="7">
        <v>300</v>
      </c>
    </row>
    <row r="295" spans="1:3" ht="12.75">
      <c r="A295" s="7" t="s">
        <v>2171</v>
      </c>
      <c r="B295" s="7">
        <v>14.9</v>
      </c>
      <c r="C295" s="7">
        <v>300</v>
      </c>
    </row>
    <row r="296" spans="1:3" ht="12.75">
      <c r="A296" s="7" t="s">
        <v>2194</v>
      </c>
      <c r="B296" s="7">
        <v>15</v>
      </c>
      <c r="C296" s="7">
        <v>300</v>
      </c>
    </row>
    <row r="297" spans="1:3" ht="12.75">
      <c r="A297" s="7" t="s">
        <v>2171</v>
      </c>
      <c r="B297" s="7">
        <v>15</v>
      </c>
      <c r="C297" s="7">
        <v>300</v>
      </c>
    </row>
    <row r="298" spans="1:3" ht="12.75">
      <c r="A298" s="7" t="s">
        <v>2181</v>
      </c>
      <c r="B298" s="7">
        <v>15</v>
      </c>
      <c r="C298" s="7">
        <v>300</v>
      </c>
    </row>
    <row r="299" spans="1:3" ht="12.75">
      <c r="A299" s="7" t="s">
        <v>2193</v>
      </c>
      <c r="B299" s="7">
        <v>15</v>
      </c>
      <c r="C299" s="7">
        <v>300</v>
      </c>
    </row>
    <row r="300" spans="1:3" ht="12.75">
      <c r="A300" s="7" t="s">
        <v>2193</v>
      </c>
      <c r="B300" s="7">
        <v>15.2</v>
      </c>
      <c r="C300" s="7">
        <v>300</v>
      </c>
    </row>
    <row r="301" spans="1:3" ht="12.75">
      <c r="A301" s="7" t="s">
        <v>2150</v>
      </c>
      <c r="B301" s="7">
        <v>16.7</v>
      </c>
      <c r="C301" s="7">
        <v>300</v>
      </c>
    </row>
    <row r="302" spans="1:3" ht="12.75">
      <c r="A302" s="7" t="s">
        <v>2150</v>
      </c>
      <c r="B302" s="7">
        <v>17</v>
      </c>
      <c r="C302" s="7">
        <v>300</v>
      </c>
    </row>
    <row r="303" spans="1:3" ht="12.75">
      <c r="A303" s="7" t="s">
        <v>2150</v>
      </c>
      <c r="B303" s="7">
        <v>17.100000000000001</v>
      </c>
      <c r="C303" s="7">
        <v>300</v>
      </c>
    </row>
    <row r="304" spans="1:3" ht="12.75">
      <c r="A304" s="7" t="s">
        <v>2150</v>
      </c>
      <c r="B304" s="7">
        <v>17.899999999999999</v>
      </c>
      <c r="C304" s="7">
        <v>300</v>
      </c>
    </row>
    <row r="305" spans="1:3" ht="12.75">
      <c r="A305" s="7" t="s">
        <v>2150</v>
      </c>
      <c r="B305" s="7">
        <v>18.38</v>
      </c>
      <c r="C305" s="7">
        <v>300</v>
      </c>
    </row>
    <row r="306" spans="1:3" ht="12.75">
      <c r="A306" s="7" t="s">
        <v>2150</v>
      </c>
      <c r="B306" s="7">
        <v>18.399999999999999</v>
      </c>
      <c r="C306" s="7">
        <v>300</v>
      </c>
    </row>
    <row r="307" spans="1:3" ht="12.75">
      <c r="A307" s="7" t="s">
        <v>2150</v>
      </c>
      <c r="B307" s="7">
        <v>18.899999999999999</v>
      </c>
      <c r="C307" s="7">
        <v>300</v>
      </c>
    </row>
    <row r="308" spans="1:3" ht="12.75">
      <c r="A308" s="7" t="s">
        <v>2193</v>
      </c>
      <c r="B308" s="7">
        <v>19</v>
      </c>
      <c r="C308" s="7">
        <v>300</v>
      </c>
    </row>
    <row r="309" spans="1:3" ht="12.75">
      <c r="A309" s="7" t="s">
        <v>2156</v>
      </c>
      <c r="B309" s="7">
        <v>19</v>
      </c>
      <c r="C309" s="7">
        <v>300</v>
      </c>
    </row>
    <row r="310" spans="1:3" ht="12.75">
      <c r="A310" s="7" t="s">
        <v>2150</v>
      </c>
      <c r="B310" s="7">
        <v>19.2</v>
      </c>
      <c r="C310" s="7">
        <v>300</v>
      </c>
    </row>
    <row r="311" spans="1:3" ht="12.75">
      <c r="A311" s="7" t="s">
        <v>2150</v>
      </c>
      <c r="B311" s="7">
        <v>21</v>
      </c>
      <c r="C311" s="7">
        <v>300</v>
      </c>
    </row>
    <row r="312" spans="1:3" ht="12.75">
      <c r="A312" s="7" t="s">
        <v>2150</v>
      </c>
      <c r="B312" s="7">
        <v>21.1</v>
      </c>
      <c r="C312" s="7">
        <v>300</v>
      </c>
    </row>
    <row r="313" spans="1:3" ht="12.75">
      <c r="A313" s="7" t="s">
        <v>2150</v>
      </c>
      <c r="B313" s="7">
        <v>21.8</v>
      </c>
      <c r="C313" s="7">
        <v>300</v>
      </c>
    </row>
    <row r="314" spans="1:3" ht="12.75">
      <c r="A314" s="7" t="s">
        <v>2150</v>
      </c>
      <c r="B314" s="7">
        <v>23.1</v>
      </c>
      <c r="C314" s="7">
        <v>300</v>
      </c>
    </row>
    <row r="315" spans="1:3" ht="12.75">
      <c r="A315" s="7" t="s">
        <v>2150</v>
      </c>
      <c r="B315" s="7">
        <v>24.6</v>
      </c>
      <c r="C315" s="7">
        <v>300</v>
      </c>
    </row>
    <row r="316" spans="1:3" ht="12.75">
      <c r="A316" s="7" t="s">
        <v>2214</v>
      </c>
      <c r="B316" s="7">
        <v>24.65</v>
      </c>
      <c r="C316" s="7">
        <v>300</v>
      </c>
    </row>
    <row r="317" spans="1:3" ht="12.75">
      <c r="A317" s="7" t="s">
        <v>2208</v>
      </c>
      <c r="B317" s="7">
        <v>24.9</v>
      </c>
      <c r="C317" s="7">
        <v>300</v>
      </c>
    </row>
    <row r="318" spans="1:3" ht="12.75">
      <c r="A318" s="7" t="s">
        <v>2208</v>
      </c>
      <c r="B318" s="7">
        <v>25.7</v>
      </c>
      <c r="C318" s="7">
        <v>300</v>
      </c>
    </row>
    <row r="319" spans="1:3" ht="12.75">
      <c r="A319" s="7" t="s">
        <v>2208</v>
      </c>
      <c r="B319" s="7">
        <v>26.5</v>
      </c>
      <c r="C319" s="7">
        <v>300</v>
      </c>
    </row>
    <row r="320" spans="1:3" ht="12.75">
      <c r="A320" s="7" t="s">
        <v>2214</v>
      </c>
      <c r="B320" s="7">
        <v>27.8</v>
      </c>
      <c r="C320" s="7">
        <v>300</v>
      </c>
    </row>
    <row r="321" spans="1:3" ht="12.75">
      <c r="A321" s="7" t="s">
        <v>2214</v>
      </c>
      <c r="B321" s="7">
        <v>29.1</v>
      </c>
      <c r="C321" s="7">
        <v>300</v>
      </c>
    </row>
    <row r="322" spans="1:3" ht="12.75">
      <c r="A322" s="7" t="s">
        <v>2223</v>
      </c>
      <c r="B322" s="7">
        <v>29.3</v>
      </c>
      <c r="C322" s="7">
        <v>300</v>
      </c>
    </row>
    <row r="323" spans="1:3" ht="12.75">
      <c r="A323" s="7" t="s">
        <v>2214</v>
      </c>
      <c r="B323" s="7">
        <v>29.9</v>
      </c>
      <c r="C323" s="7">
        <v>300</v>
      </c>
    </row>
    <row r="324" spans="1:3" ht="12.75">
      <c r="A324" s="7" t="s">
        <v>2214</v>
      </c>
      <c r="B324" s="7">
        <v>30</v>
      </c>
      <c r="C324" s="7">
        <v>300</v>
      </c>
    </row>
    <row r="325" spans="1:3" ht="12.75">
      <c r="A325" s="7" t="s">
        <v>2214</v>
      </c>
      <c r="B325" s="7">
        <v>31.4</v>
      </c>
      <c r="C325" s="7">
        <v>300</v>
      </c>
    </row>
    <row r="326" spans="1:3" ht="12.75">
      <c r="A326" s="7" t="s">
        <v>2208</v>
      </c>
      <c r="B326" s="7">
        <v>31.5</v>
      </c>
      <c r="C326" s="7">
        <v>300</v>
      </c>
    </row>
    <row r="327" spans="1:3" ht="12.75">
      <c r="A327" s="7" t="s">
        <v>2214</v>
      </c>
      <c r="B327" s="7">
        <v>33.1</v>
      </c>
      <c r="C327" s="7">
        <v>300</v>
      </c>
    </row>
    <row r="328" spans="1:3" ht="12.75">
      <c r="A328" s="7" t="s">
        <v>2217</v>
      </c>
      <c r="B328" s="7">
        <v>35</v>
      </c>
      <c r="C328" s="7">
        <v>300</v>
      </c>
    </row>
    <row r="329" spans="1:3" ht="12.75">
      <c r="A329" s="7" t="s">
        <v>2217</v>
      </c>
      <c r="B329" s="7">
        <v>38</v>
      </c>
      <c r="C329" s="7">
        <v>300</v>
      </c>
    </row>
    <row r="330" spans="1:3" ht="12.75">
      <c r="A330" s="7" t="s">
        <v>2235</v>
      </c>
      <c r="B330" s="7">
        <v>38</v>
      </c>
      <c r="C330" s="7">
        <v>300</v>
      </c>
    </row>
    <row r="331" spans="1:3" ht="12.75">
      <c r="A331" s="7" t="s">
        <v>2235</v>
      </c>
      <c r="B331" s="7">
        <v>39.619999999999997</v>
      </c>
      <c r="C331" s="7">
        <v>300</v>
      </c>
    </row>
    <row r="332" spans="1:3" ht="12.75">
      <c r="A332" s="7" t="s">
        <v>2219</v>
      </c>
      <c r="B332" s="7">
        <v>39.619999999999997</v>
      </c>
      <c r="C332" s="7">
        <v>300</v>
      </c>
    </row>
    <row r="333" spans="1:3" ht="12.75">
      <c r="A333" s="7" t="s">
        <v>2240</v>
      </c>
      <c r="B333" s="7">
        <v>42.18</v>
      </c>
      <c r="C333" s="7">
        <v>300</v>
      </c>
    </row>
    <row r="334" spans="1:3" ht="12.75">
      <c r="A334" s="7" t="s">
        <v>2240</v>
      </c>
      <c r="B334" s="7">
        <v>45.69</v>
      </c>
      <c r="C334" s="7">
        <v>300</v>
      </c>
    </row>
    <row r="335" spans="1:3" ht="12.75">
      <c r="A335" s="7" t="s">
        <v>2242</v>
      </c>
      <c r="B335" s="7">
        <v>48.49</v>
      </c>
      <c r="C335" s="7">
        <v>300</v>
      </c>
    </row>
    <row r="336" spans="1:3" ht="12.75">
      <c r="A336" s="7" t="s">
        <v>2206</v>
      </c>
      <c r="B336" s="7">
        <v>48.49</v>
      </c>
      <c r="C336" s="7">
        <v>300</v>
      </c>
    </row>
    <row r="337" spans="1:3" ht="12.75">
      <c r="A337" s="7" t="s">
        <v>2206</v>
      </c>
      <c r="B337" s="7">
        <v>48.7</v>
      </c>
      <c r="C337" s="7">
        <v>300</v>
      </c>
    </row>
    <row r="338" spans="1:3" ht="12.75">
      <c r="A338" s="7" t="s">
        <v>2248</v>
      </c>
      <c r="B338" s="7">
        <v>49</v>
      </c>
      <c r="C338" s="7">
        <v>300</v>
      </c>
    </row>
    <row r="339" spans="1:3" ht="12.75">
      <c r="A339" s="7" t="s">
        <v>2206</v>
      </c>
      <c r="B339" s="7">
        <v>49</v>
      </c>
      <c r="C339" s="7">
        <v>300</v>
      </c>
    </row>
    <row r="340" spans="1:3" ht="12.75">
      <c r="A340" s="7" t="s">
        <v>2239</v>
      </c>
      <c r="B340" s="7">
        <v>49.35</v>
      </c>
      <c r="C340" s="7">
        <v>300</v>
      </c>
    </row>
    <row r="341" spans="1:3" ht="12.75">
      <c r="A341" s="7" t="s">
        <v>2206</v>
      </c>
      <c r="B341" s="7">
        <v>49.35</v>
      </c>
      <c r="C341" s="7">
        <v>300</v>
      </c>
    </row>
    <row r="342" spans="1:3" ht="12.75">
      <c r="A342" s="7" t="s">
        <v>2206</v>
      </c>
      <c r="B342" s="7">
        <v>52.63</v>
      </c>
      <c r="C342" s="7">
        <v>300</v>
      </c>
    </row>
    <row r="343" spans="1:3" ht="12.75">
      <c r="A343" s="7" t="s">
        <v>2248</v>
      </c>
      <c r="B343" s="7">
        <v>53.2</v>
      </c>
      <c r="C343" s="7">
        <v>300</v>
      </c>
    </row>
    <row r="344" spans="1:3" ht="12.75">
      <c r="A344" s="7" t="s">
        <v>2248</v>
      </c>
      <c r="B344" s="7">
        <v>54</v>
      </c>
      <c r="C344" s="7">
        <v>300</v>
      </c>
    </row>
    <row r="345" spans="1:3" ht="12.75">
      <c r="A345" s="7" t="s">
        <v>2227</v>
      </c>
      <c r="B345" s="7">
        <v>57.8</v>
      </c>
      <c r="C345" s="7">
        <v>300</v>
      </c>
    </row>
    <row r="346" spans="1:3" ht="12.75">
      <c r="A346" s="7" t="s">
        <v>2255</v>
      </c>
      <c r="B346" s="7">
        <v>58</v>
      </c>
      <c r="C346" s="7">
        <v>300</v>
      </c>
    </row>
    <row r="347" spans="1:3" ht="12.75">
      <c r="A347" s="7" t="s">
        <v>2248</v>
      </c>
      <c r="B347" s="7">
        <v>58.85</v>
      </c>
      <c r="C347" s="7">
        <v>300</v>
      </c>
    </row>
    <row r="348" spans="1:3" ht="12.75">
      <c r="A348" s="7" t="s">
        <v>2251</v>
      </c>
      <c r="B348" s="7">
        <v>70</v>
      </c>
      <c r="C348" s="7">
        <v>300</v>
      </c>
    </row>
    <row r="349" spans="1:3" ht="12.75">
      <c r="A349" s="7" t="s">
        <v>2251</v>
      </c>
      <c r="B349" s="7">
        <v>71.650000000000006</v>
      </c>
      <c r="C349" s="7">
        <v>300</v>
      </c>
    </row>
    <row r="350" spans="1:3" ht="12.75">
      <c r="A350" s="7" t="s">
        <v>2252</v>
      </c>
      <c r="B350" s="7">
        <v>71.650000000000006</v>
      </c>
      <c r="C350" s="7">
        <v>300</v>
      </c>
    </row>
    <row r="351" spans="1:3" ht="12.75">
      <c r="A351" s="7" t="s">
        <v>2251</v>
      </c>
      <c r="B351" s="7">
        <v>77</v>
      </c>
      <c r="C351" s="7">
        <v>300</v>
      </c>
    </row>
    <row r="352" spans="1:3" ht="12.75">
      <c r="A352" s="7" t="s">
        <v>2252</v>
      </c>
      <c r="B352" s="7">
        <v>77</v>
      </c>
      <c r="C352" s="7">
        <v>300</v>
      </c>
    </row>
    <row r="353" spans="1:3" ht="12.75">
      <c r="A353" s="7" t="s">
        <v>2252</v>
      </c>
      <c r="B353" s="7">
        <v>85</v>
      </c>
      <c r="C353" s="7">
        <v>300</v>
      </c>
    </row>
    <row r="354" spans="1:3" ht="12.75">
      <c r="A354" s="7" t="s">
        <v>2252</v>
      </c>
      <c r="B354" s="7">
        <v>88</v>
      </c>
      <c r="C354" s="7">
        <v>300</v>
      </c>
    </row>
    <row r="355" spans="1:3" ht="12.75">
      <c r="A355" s="7" t="s">
        <v>2154</v>
      </c>
      <c r="B355" s="7">
        <v>88</v>
      </c>
      <c r="C355" s="7">
        <v>300</v>
      </c>
    </row>
    <row r="356" spans="1:3" ht="12.75">
      <c r="A356" s="7" t="s">
        <v>2252</v>
      </c>
      <c r="B356" s="7">
        <v>88.59</v>
      </c>
      <c r="C356" s="7">
        <v>300</v>
      </c>
    </row>
    <row r="357" spans="1:3" ht="12.75">
      <c r="A357" s="7" t="s">
        <v>2252</v>
      </c>
      <c r="B357" s="7">
        <v>88.66</v>
      </c>
      <c r="C357" s="7">
        <v>300</v>
      </c>
    </row>
    <row r="358" spans="1:3" ht="12.75">
      <c r="A358" s="7" t="s">
        <v>2251</v>
      </c>
      <c r="B358" s="7">
        <v>93</v>
      </c>
      <c r="C358" s="7">
        <v>300</v>
      </c>
    </row>
    <row r="359" spans="1:3" ht="12.75">
      <c r="A359" s="7" t="s">
        <v>2267</v>
      </c>
      <c r="B359" s="7">
        <v>93</v>
      </c>
      <c r="C359" s="7">
        <v>300</v>
      </c>
    </row>
    <row r="360" spans="1:3" ht="12.75" hidden="1">
      <c r="A360" s="7" t="s">
        <v>2269</v>
      </c>
      <c r="B360" s="7">
        <v>104.45</v>
      </c>
      <c r="C360" s="7">
        <v>300</v>
      </c>
    </row>
    <row r="361" spans="1:3" ht="12.75" hidden="1">
      <c r="A361" s="7" t="s">
        <v>2270</v>
      </c>
      <c r="B361" s="7">
        <v>105</v>
      </c>
      <c r="C361" s="7">
        <v>300</v>
      </c>
    </row>
    <row r="362" spans="1:3" ht="12.75" hidden="1">
      <c r="A362" s="7" t="s">
        <v>2269</v>
      </c>
      <c r="B362" s="7">
        <v>129.4</v>
      </c>
      <c r="C362" s="7">
        <v>300</v>
      </c>
    </row>
    <row r="363" spans="1:3" ht="12.75">
      <c r="A363" s="7" t="s">
        <v>2194</v>
      </c>
      <c r="B363" s="7">
        <v>23.6</v>
      </c>
      <c r="C363" s="7">
        <v>303</v>
      </c>
    </row>
    <row r="364" spans="1:3" ht="12.75">
      <c r="A364" s="7" t="s">
        <v>2150</v>
      </c>
      <c r="B364" s="7">
        <v>20</v>
      </c>
      <c r="C364" s="7">
        <v>310</v>
      </c>
    </row>
    <row r="365" spans="1:3" ht="12.75">
      <c r="A365" s="7" t="s">
        <v>2203</v>
      </c>
      <c r="B365" s="7">
        <v>20</v>
      </c>
      <c r="C365" s="7">
        <v>310</v>
      </c>
    </row>
    <row r="366" spans="1:3" ht="12.75">
      <c r="A366" s="7" t="s">
        <v>2208</v>
      </c>
      <c r="B366" s="7">
        <v>29.1</v>
      </c>
      <c r="C366" s="7">
        <v>310</v>
      </c>
    </row>
    <row r="367" spans="1:3" ht="12.75">
      <c r="A367" s="7" t="s">
        <v>2154</v>
      </c>
      <c r="B367" s="7">
        <v>9.6</v>
      </c>
      <c r="C367" s="7">
        <v>315</v>
      </c>
    </row>
    <row r="368" spans="1:3" ht="12.75">
      <c r="A368" s="7" t="s">
        <v>2171</v>
      </c>
      <c r="B368" s="7">
        <v>9.6</v>
      </c>
      <c r="C368" s="7">
        <v>315</v>
      </c>
    </row>
    <row r="369" spans="1:3" ht="12.75">
      <c r="A369" s="7" t="s">
        <v>2255</v>
      </c>
      <c r="B369" s="7">
        <v>60.9</v>
      </c>
      <c r="C369" s="7">
        <v>315</v>
      </c>
    </row>
    <row r="370" spans="1:3" ht="12.75">
      <c r="A370" s="7" t="s">
        <v>2219</v>
      </c>
      <c r="B370" s="7">
        <v>38.700000000000003</v>
      </c>
      <c r="C370" s="7">
        <v>320</v>
      </c>
    </row>
    <row r="371" spans="1:3" ht="12.75">
      <c r="A371" s="7" t="s">
        <v>2189</v>
      </c>
      <c r="B371" s="7">
        <v>16.2</v>
      </c>
      <c r="C371" s="7">
        <v>330</v>
      </c>
    </row>
    <row r="372" spans="1:3" ht="12.75">
      <c r="A372" s="7" t="s">
        <v>2154</v>
      </c>
      <c r="B372" s="7">
        <v>8.34</v>
      </c>
      <c r="C372" s="7">
        <v>335</v>
      </c>
    </row>
    <row r="373" spans="1:3" ht="12.75">
      <c r="A373" s="7" t="s">
        <v>2154</v>
      </c>
      <c r="B373" s="7">
        <v>8</v>
      </c>
      <c r="C373" s="7">
        <v>340</v>
      </c>
    </row>
    <row r="374" spans="1:3" ht="12.75">
      <c r="A374" s="7" t="s">
        <v>2251</v>
      </c>
      <c r="B374" s="7">
        <v>70.81</v>
      </c>
      <c r="C374" s="7">
        <v>340</v>
      </c>
    </row>
    <row r="375" spans="1:3" ht="12.75">
      <c r="A375" s="7" t="s">
        <v>2259</v>
      </c>
      <c r="B375" s="7">
        <v>71.239999999999995</v>
      </c>
      <c r="C375" s="7">
        <v>340</v>
      </c>
    </row>
    <row r="376" spans="1:3" ht="12.75">
      <c r="A376" s="7" t="s">
        <v>2255</v>
      </c>
      <c r="B376" s="7">
        <v>83.2</v>
      </c>
      <c r="C376" s="7">
        <v>340</v>
      </c>
    </row>
    <row r="377" spans="1:3" ht="12.75">
      <c r="A377" s="7" t="s">
        <v>2151</v>
      </c>
      <c r="B377" s="7">
        <v>4</v>
      </c>
      <c r="C377" s="7">
        <v>350</v>
      </c>
    </row>
    <row r="378" spans="1:3" ht="12.75">
      <c r="A378" s="7" t="s">
        <v>2162</v>
      </c>
      <c r="B378" s="7">
        <v>6.72</v>
      </c>
      <c r="C378" s="7">
        <v>350</v>
      </c>
    </row>
    <row r="379" spans="1:3" ht="12.75">
      <c r="A379" s="7" t="s">
        <v>2154</v>
      </c>
      <c r="B379" s="7">
        <v>7</v>
      </c>
      <c r="C379" s="7">
        <v>350</v>
      </c>
    </row>
    <row r="380" spans="1:3" ht="12.75">
      <c r="A380" s="7" t="s">
        <v>2154</v>
      </c>
      <c r="B380" s="7">
        <v>7.4</v>
      </c>
      <c r="C380" s="7">
        <v>350</v>
      </c>
    </row>
    <row r="381" spans="1:3" ht="12.75">
      <c r="A381" s="7" t="s">
        <v>2154</v>
      </c>
      <c r="B381" s="7">
        <v>7.66</v>
      </c>
      <c r="C381" s="7">
        <v>350</v>
      </c>
    </row>
    <row r="382" spans="1:3" ht="12.75">
      <c r="A382" s="7" t="s">
        <v>2161</v>
      </c>
      <c r="B382" s="7">
        <v>7.66</v>
      </c>
      <c r="C382" s="7">
        <v>350</v>
      </c>
    </row>
    <row r="383" spans="1:3" ht="12.75">
      <c r="A383" s="7" t="s">
        <v>2154</v>
      </c>
      <c r="B383" s="7">
        <v>8.01</v>
      </c>
      <c r="C383" s="7">
        <v>350</v>
      </c>
    </row>
    <row r="384" spans="1:3" ht="12.75">
      <c r="A384" s="7" t="s">
        <v>2171</v>
      </c>
      <c r="B384" s="7">
        <v>8.4</v>
      </c>
      <c r="C384" s="7">
        <v>350</v>
      </c>
    </row>
    <row r="385" spans="1:3" ht="12.75">
      <c r="A385" s="7" t="s">
        <v>2171</v>
      </c>
      <c r="B385" s="7">
        <v>10.72</v>
      </c>
      <c r="C385" s="7">
        <v>350</v>
      </c>
    </row>
    <row r="386" spans="1:3" ht="12.75">
      <c r="A386" s="7" t="s">
        <v>2175</v>
      </c>
      <c r="B386" s="7">
        <v>13.6</v>
      </c>
      <c r="C386" s="7">
        <v>350</v>
      </c>
    </row>
    <row r="387" spans="1:3" ht="12.75">
      <c r="A387" s="7" t="s">
        <v>2171</v>
      </c>
      <c r="B387" s="7">
        <v>13.7</v>
      </c>
      <c r="C387" s="7">
        <v>350</v>
      </c>
    </row>
    <row r="388" spans="1:3" ht="12.75">
      <c r="A388" s="7" t="s">
        <v>2179</v>
      </c>
      <c r="B388" s="7">
        <v>13.9</v>
      </c>
      <c r="C388" s="7">
        <v>350</v>
      </c>
    </row>
    <row r="389" spans="1:3" ht="12.75">
      <c r="A389" s="7" t="s">
        <v>2171</v>
      </c>
      <c r="B389" s="7">
        <v>13.9</v>
      </c>
      <c r="C389" s="7">
        <v>350</v>
      </c>
    </row>
    <row r="390" spans="1:3" ht="12.75">
      <c r="A390" s="7" t="s">
        <v>2189</v>
      </c>
      <c r="B390" s="7">
        <v>14.15</v>
      </c>
      <c r="C390" s="7">
        <v>350</v>
      </c>
    </row>
    <row r="391" spans="1:3" ht="12.75">
      <c r="A391" s="7" t="s">
        <v>2175</v>
      </c>
      <c r="B391" s="7">
        <v>14.3</v>
      </c>
      <c r="C391" s="7">
        <v>350</v>
      </c>
    </row>
    <row r="392" spans="1:3" ht="12.75">
      <c r="A392" s="7" t="s">
        <v>2189</v>
      </c>
      <c r="B392" s="7">
        <v>14.7</v>
      </c>
      <c r="C392" s="7">
        <v>350</v>
      </c>
    </row>
    <row r="393" spans="1:3" ht="12.75">
      <c r="A393" s="7" t="s">
        <v>2189</v>
      </c>
      <c r="B393" s="7">
        <v>15.6</v>
      </c>
      <c r="C393" s="7">
        <v>350</v>
      </c>
    </row>
    <row r="394" spans="1:3" ht="12.75">
      <c r="A394" s="7" t="s">
        <v>2149</v>
      </c>
      <c r="B394" s="7">
        <v>18.100000000000001</v>
      </c>
      <c r="C394" s="7">
        <v>350</v>
      </c>
    </row>
    <row r="395" spans="1:3" ht="12.75">
      <c r="A395" s="7" t="s">
        <v>2149</v>
      </c>
      <c r="B395" s="7">
        <v>19.8</v>
      </c>
      <c r="C395" s="7">
        <v>350</v>
      </c>
    </row>
    <row r="396" spans="1:3" ht="12.75">
      <c r="A396" s="7" t="s">
        <v>2149</v>
      </c>
      <c r="B396" s="7">
        <v>20.5</v>
      </c>
      <c r="C396" s="7">
        <v>350</v>
      </c>
    </row>
    <row r="397" spans="1:3" ht="12.75">
      <c r="A397" s="7" t="s">
        <v>2211</v>
      </c>
      <c r="B397" s="7">
        <v>24</v>
      </c>
      <c r="C397" s="7">
        <v>350</v>
      </c>
    </row>
    <row r="398" spans="1:3" ht="12.75">
      <c r="A398" s="7" t="s">
        <v>2149</v>
      </c>
      <c r="B398" s="7">
        <v>24</v>
      </c>
      <c r="C398" s="7">
        <v>350</v>
      </c>
    </row>
    <row r="399" spans="1:3" ht="12.75">
      <c r="A399" s="7" t="s">
        <v>2208</v>
      </c>
      <c r="B399" s="7">
        <v>24.1</v>
      </c>
      <c r="C399" s="7">
        <v>350</v>
      </c>
    </row>
    <row r="400" spans="1:3" ht="12.75">
      <c r="A400" s="7" t="s">
        <v>2208</v>
      </c>
      <c r="B400" s="7">
        <v>26.3</v>
      </c>
      <c r="C400" s="7">
        <v>350</v>
      </c>
    </row>
    <row r="401" spans="1:3" ht="12.75">
      <c r="A401" s="7" t="s">
        <v>2208</v>
      </c>
      <c r="B401" s="7">
        <v>26.8</v>
      </c>
      <c r="C401" s="7">
        <v>350</v>
      </c>
    </row>
    <row r="402" spans="1:3" ht="12.75">
      <c r="A402" s="7" t="s">
        <v>2217</v>
      </c>
      <c r="B402" s="7">
        <v>27</v>
      </c>
      <c r="C402" s="7">
        <v>350</v>
      </c>
    </row>
    <row r="403" spans="1:3" ht="12.75">
      <c r="A403" s="7" t="s">
        <v>2219</v>
      </c>
      <c r="B403" s="7">
        <v>27</v>
      </c>
      <c r="C403" s="7">
        <v>350</v>
      </c>
    </row>
    <row r="404" spans="1:3" ht="12.75">
      <c r="A404" s="7" t="s">
        <v>2208</v>
      </c>
      <c r="B404" s="7">
        <v>27.3</v>
      </c>
      <c r="C404" s="7">
        <v>350</v>
      </c>
    </row>
    <row r="405" spans="1:3" ht="12.75">
      <c r="A405" s="7" t="s">
        <v>2217</v>
      </c>
      <c r="B405" s="7">
        <v>27.3</v>
      </c>
      <c r="C405" s="7">
        <v>350</v>
      </c>
    </row>
    <row r="406" spans="1:3" ht="12.75">
      <c r="A406" s="7" t="s">
        <v>2208</v>
      </c>
      <c r="B406" s="7">
        <v>28.3</v>
      </c>
      <c r="C406" s="7">
        <v>350</v>
      </c>
    </row>
    <row r="407" spans="1:3" ht="12.75">
      <c r="A407" s="7" t="s">
        <v>2217</v>
      </c>
      <c r="B407" s="7">
        <v>28.3</v>
      </c>
      <c r="C407" s="7">
        <v>350</v>
      </c>
    </row>
    <row r="408" spans="1:3" ht="12.75">
      <c r="A408" s="7" t="s">
        <v>2207</v>
      </c>
      <c r="B408" s="7">
        <v>29</v>
      </c>
      <c r="C408" s="7">
        <v>350</v>
      </c>
    </row>
    <row r="409" spans="1:3" ht="12.75">
      <c r="A409" s="7" t="s">
        <v>2217</v>
      </c>
      <c r="B409" s="7">
        <v>30.6</v>
      </c>
      <c r="C409" s="7">
        <v>350</v>
      </c>
    </row>
    <row r="410" spans="1:3" ht="12.75">
      <c r="A410" s="7" t="s">
        <v>2207</v>
      </c>
      <c r="B410" s="7">
        <v>31.9</v>
      </c>
      <c r="C410" s="7">
        <v>350</v>
      </c>
    </row>
    <row r="411" spans="1:3" ht="12.75">
      <c r="A411" s="7" t="s">
        <v>2217</v>
      </c>
      <c r="B411" s="7">
        <v>33.9</v>
      </c>
      <c r="C411" s="7">
        <v>350</v>
      </c>
    </row>
    <row r="412" spans="1:3" ht="12.75">
      <c r="A412" s="7" t="s">
        <v>2206</v>
      </c>
      <c r="B412" s="7">
        <v>37.1</v>
      </c>
      <c r="C412" s="7">
        <v>350</v>
      </c>
    </row>
    <row r="413" spans="1:3" ht="12.75">
      <c r="A413" s="7" t="s">
        <v>2206</v>
      </c>
      <c r="B413" s="7">
        <v>43.7</v>
      </c>
      <c r="C413" s="7">
        <v>350</v>
      </c>
    </row>
    <row r="414" spans="1:3" ht="12.75">
      <c r="A414" s="7" t="s">
        <v>2239</v>
      </c>
      <c r="B414" s="7">
        <v>45</v>
      </c>
      <c r="C414" s="7">
        <v>350</v>
      </c>
    </row>
    <row r="415" spans="1:3" ht="12.75">
      <c r="A415" s="7" t="s">
        <v>2206</v>
      </c>
      <c r="B415" s="7">
        <v>45</v>
      </c>
      <c r="C415" s="7">
        <v>350</v>
      </c>
    </row>
    <row r="416" spans="1:3" ht="12.75">
      <c r="A416" s="7" t="s">
        <v>2206</v>
      </c>
      <c r="B416" s="7">
        <v>47.8</v>
      </c>
      <c r="C416" s="7">
        <v>350</v>
      </c>
    </row>
    <row r="417" spans="1:3" ht="12.75">
      <c r="A417" s="7" t="s">
        <v>2206</v>
      </c>
      <c r="B417" s="7">
        <v>48</v>
      </c>
      <c r="C417" s="7">
        <v>350</v>
      </c>
    </row>
    <row r="418" spans="1:3" ht="12.75">
      <c r="A418" s="7" t="s">
        <v>2251</v>
      </c>
      <c r="B418" s="7">
        <v>53.2</v>
      </c>
      <c r="C418" s="7">
        <v>350</v>
      </c>
    </row>
    <row r="419" spans="1:3" ht="12.75">
      <c r="A419" s="7" t="s">
        <v>2252</v>
      </c>
      <c r="B419" s="7">
        <v>55</v>
      </c>
      <c r="C419" s="7">
        <v>350</v>
      </c>
    </row>
    <row r="420" spans="1:3" ht="12.75">
      <c r="A420" s="7" t="s">
        <v>2251</v>
      </c>
      <c r="B420" s="7">
        <v>57.8</v>
      </c>
      <c r="C420" s="7">
        <v>350</v>
      </c>
    </row>
    <row r="421" spans="1:3" ht="12.75">
      <c r="A421" s="7" t="s">
        <v>2251</v>
      </c>
      <c r="B421" s="7">
        <v>60</v>
      </c>
      <c r="C421" s="7">
        <v>350</v>
      </c>
    </row>
    <row r="422" spans="1:3" ht="12.75">
      <c r="A422" s="7" t="s">
        <v>2251</v>
      </c>
      <c r="B422" s="7">
        <v>66.5</v>
      </c>
      <c r="C422" s="7">
        <v>350</v>
      </c>
    </row>
    <row r="423" spans="1:3" ht="12.75">
      <c r="A423" s="7" t="s">
        <v>2259</v>
      </c>
      <c r="B423" s="7">
        <v>79.55</v>
      </c>
      <c r="C423" s="7">
        <v>350</v>
      </c>
    </row>
    <row r="424" spans="1:3" ht="12.75">
      <c r="A424" s="7" t="s">
        <v>2259</v>
      </c>
      <c r="B424" s="7">
        <v>85</v>
      </c>
      <c r="C424" s="7">
        <v>350</v>
      </c>
    </row>
    <row r="425" spans="1:3" ht="12.75" hidden="1">
      <c r="A425" s="7" t="s">
        <v>2270</v>
      </c>
      <c r="B425" s="7">
        <v>121.3</v>
      </c>
      <c r="C425" s="7">
        <v>350</v>
      </c>
    </row>
    <row r="426" spans="1:3" ht="12.75">
      <c r="A426" s="7" t="s">
        <v>2251</v>
      </c>
      <c r="B426" s="7">
        <v>61.5</v>
      </c>
      <c r="C426" s="7">
        <v>355</v>
      </c>
    </row>
    <row r="427" spans="1:3" ht="12.75">
      <c r="A427" s="7" t="s">
        <v>2189</v>
      </c>
      <c r="B427" s="7">
        <v>15</v>
      </c>
      <c r="C427" s="7">
        <v>360</v>
      </c>
    </row>
    <row r="428" spans="1:3" ht="12.75">
      <c r="A428" s="7" t="s">
        <v>2207</v>
      </c>
      <c r="B428" s="7">
        <v>30</v>
      </c>
      <c r="C428" s="7">
        <v>365</v>
      </c>
    </row>
    <row r="429" spans="1:3" ht="12.75">
      <c r="A429" s="7" t="s">
        <v>2189</v>
      </c>
      <c r="B429" s="7">
        <v>12.8</v>
      </c>
      <c r="C429" s="7">
        <v>370</v>
      </c>
    </row>
    <row r="430" spans="1:3" ht="12.75">
      <c r="A430" s="7" t="s">
        <v>2247</v>
      </c>
      <c r="B430" s="7">
        <v>48</v>
      </c>
      <c r="C430" s="7">
        <v>370</v>
      </c>
    </row>
    <row r="431" spans="1:3" ht="12.75">
      <c r="A431" s="7" t="s">
        <v>2217</v>
      </c>
      <c r="B431" s="7">
        <v>26</v>
      </c>
      <c r="C431" s="7">
        <v>375</v>
      </c>
    </row>
    <row r="432" spans="1:3" ht="12.75">
      <c r="A432" s="7" t="s">
        <v>2213</v>
      </c>
      <c r="B432" s="7">
        <v>26</v>
      </c>
      <c r="C432" s="7">
        <v>375</v>
      </c>
    </row>
    <row r="433" spans="1:3" ht="12.75">
      <c r="A433" s="7" t="s">
        <v>2189</v>
      </c>
      <c r="B433" s="7">
        <v>14</v>
      </c>
      <c r="C433" s="7">
        <v>380</v>
      </c>
    </row>
    <row r="434" spans="1:3" ht="12.75">
      <c r="A434" s="7" t="s">
        <v>2207</v>
      </c>
      <c r="B434" s="7">
        <v>31.8</v>
      </c>
      <c r="C434" s="7">
        <v>380</v>
      </c>
    </row>
    <row r="435" spans="1:3" ht="12.75">
      <c r="A435" s="7" t="s">
        <v>2221</v>
      </c>
      <c r="B435" s="7">
        <v>33.1</v>
      </c>
      <c r="C435" s="7">
        <v>380</v>
      </c>
    </row>
    <row r="436" spans="1:3" ht="12.75">
      <c r="A436" s="7" t="s">
        <v>2175</v>
      </c>
      <c r="B436" s="7">
        <v>13.7</v>
      </c>
      <c r="C436" s="7">
        <v>390</v>
      </c>
    </row>
    <row r="437" spans="1:3" ht="12.75">
      <c r="A437" s="7" t="s">
        <v>2189</v>
      </c>
      <c r="B437" s="7">
        <v>13.7</v>
      </c>
      <c r="C437" s="7">
        <v>390</v>
      </c>
    </row>
    <row r="438" spans="1:3" ht="12.75">
      <c r="A438" s="7" t="s">
        <v>2207</v>
      </c>
      <c r="B438" s="7">
        <v>24.21</v>
      </c>
      <c r="C438" s="7">
        <v>390</v>
      </c>
    </row>
    <row r="439" spans="1:3" ht="12.75">
      <c r="A439" s="7" t="s">
        <v>2213</v>
      </c>
      <c r="B439" s="7">
        <v>24.21</v>
      </c>
      <c r="C439" s="7">
        <v>390</v>
      </c>
    </row>
    <row r="440" spans="1:3" ht="12.75">
      <c r="A440" s="7" t="s">
        <v>2196</v>
      </c>
      <c r="B440" s="7">
        <v>24.21</v>
      </c>
      <c r="C440" s="7">
        <v>390</v>
      </c>
    </row>
    <row r="441" spans="1:3" ht="12.75">
      <c r="A441" s="7" t="s">
        <v>2197</v>
      </c>
      <c r="B441" s="7">
        <v>23.6</v>
      </c>
      <c r="C441" s="7">
        <v>392.2</v>
      </c>
    </row>
    <row r="442" spans="1:3" ht="12.75">
      <c r="A442" s="7" t="s">
        <v>2207</v>
      </c>
      <c r="B442" s="7">
        <v>25.3</v>
      </c>
      <c r="C442" s="7">
        <v>392.2</v>
      </c>
    </row>
    <row r="443" spans="1:3" ht="12.75">
      <c r="A443" s="7" t="s">
        <v>2146</v>
      </c>
      <c r="B443" s="7">
        <v>3.27</v>
      </c>
      <c r="C443" s="7">
        <v>400</v>
      </c>
    </row>
    <row r="444" spans="1:3" ht="12.75">
      <c r="A444" s="7" t="s">
        <v>2146</v>
      </c>
      <c r="B444" s="7">
        <v>3.3</v>
      </c>
      <c r="C444" s="7">
        <v>400</v>
      </c>
    </row>
    <row r="445" spans="1:3" ht="12.75">
      <c r="A445" s="7" t="s">
        <v>2154</v>
      </c>
      <c r="B445" s="7">
        <v>4.8</v>
      </c>
      <c r="C445" s="7">
        <v>400</v>
      </c>
    </row>
    <row r="446" spans="1:3" ht="12.75">
      <c r="A446" s="7" t="s">
        <v>2178</v>
      </c>
      <c r="B446" s="7">
        <v>9.27</v>
      </c>
      <c r="C446" s="7">
        <v>400</v>
      </c>
    </row>
    <row r="447" spans="1:3" ht="12.75">
      <c r="A447" s="7" t="s">
        <v>2171</v>
      </c>
      <c r="B447" s="7">
        <v>9.5</v>
      </c>
      <c r="C447" s="7">
        <v>400</v>
      </c>
    </row>
    <row r="448" spans="1:3" ht="12.75">
      <c r="A448" s="7" t="s">
        <v>2181</v>
      </c>
      <c r="B448" s="7">
        <v>10</v>
      </c>
      <c r="C448" s="7">
        <v>400</v>
      </c>
    </row>
    <row r="449" spans="1:3" ht="12.75">
      <c r="A449" s="7" t="s">
        <v>2181</v>
      </c>
      <c r="B449" s="7">
        <v>10.5</v>
      </c>
      <c r="C449" s="7">
        <v>400</v>
      </c>
    </row>
    <row r="450" spans="1:3" ht="12.75">
      <c r="A450" s="7" t="s">
        <v>2181</v>
      </c>
      <c r="B450" s="7">
        <v>10.67</v>
      </c>
      <c r="C450" s="7">
        <v>400</v>
      </c>
    </row>
    <row r="451" spans="1:3" ht="12.75">
      <c r="A451" s="7" t="s">
        <v>2175</v>
      </c>
      <c r="B451" s="7">
        <v>11.6</v>
      </c>
      <c r="C451" s="7">
        <v>400</v>
      </c>
    </row>
    <row r="452" spans="1:3" ht="12.75">
      <c r="A452" s="7" t="s">
        <v>2175</v>
      </c>
      <c r="B452" s="7">
        <v>12</v>
      </c>
      <c r="C452" s="7">
        <v>400</v>
      </c>
    </row>
    <row r="453" spans="1:3" ht="12.75">
      <c r="A453" s="7" t="s">
        <v>2189</v>
      </c>
      <c r="B453" s="7">
        <v>12.8</v>
      </c>
      <c r="C453" s="7">
        <v>400</v>
      </c>
    </row>
    <row r="454" spans="1:3" ht="12.75">
      <c r="A454" s="7" t="s">
        <v>2189</v>
      </c>
      <c r="B454" s="7">
        <v>14.8</v>
      </c>
      <c r="C454" s="7">
        <v>400</v>
      </c>
    </row>
    <row r="455" spans="1:3" ht="12.75">
      <c r="A455" s="7" t="s">
        <v>2189</v>
      </c>
      <c r="B455" s="7">
        <v>17</v>
      </c>
      <c r="C455" s="7">
        <v>400</v>
      </c>
    </row>
    <row r="456" spans="1:3" ht="12.75">
      <c r="A456" s="7" t="s">
        <v>2149</v>
      </c>
      <c r="B456" s="7">
        <v>17.899999999999999</v>
      </c>
      <c r="C456" s="7">
        <v>400</v>
      </c>
    </row>
    <row r="457" spans="1:3" ht="12.75">
      <c r="A457" s="7" t="s">
        <v>2149</v>
      </c>
      <c r="B457" s="7">
        <v>19</v>
      </c>
      <c r="C457" s="7">
        <v>400</v>
      </c>
    </row>
    <row r="458" spans="1:3" ht="12.75">
      <c r="A458" s="7" t="s">
        <v>2197</v>
      </c>
      <c r="B458" s="7">
        <v>19.329999999999998</v>
      </c>
      <c r="C458" s="7">
        <v>400</v>
      </c>
    </row>
    <row r="459" spans="1:3" ht="12.75">
      <c r="A459" s="7" t="s">
        <v>2197</v>
      </c>
      <c r="B459" s="7">
        <v>21.5</v>
      </c>
      <c r="C459" s="7">
        <v>400</v>
      </c>
    </row>
    <row r="460" spans="1:3" ht="12.75">
      <c r="A460" s="7" t="s">
        <v>2207</v>
      </c>
      <c r="B460" s="7">
        <v>22.04</v>
      </c>
      <c r="C460" s="7">
        <v>400</v>
      </c>
    </row>
    <row r="461" spans="1:3" ht="12.75">
      <c r="A461" s="7" t="s">
        <v>2197</v>
      </c>
      <c r="B461" s="7">
        <v>23.3</v>
      </c>
      <c r="C461" s="7">
        <v>400</v>
      </c>
    </row>
    <row r="462" spans="1:3" ht="12.75">
      <c r="A462" s="7" t="s">
        <v>2207</v>
      </c>
      <c r="B462" s="7">
        <v>25.52</v>
      </c>
      <c r="C462" s="7">
        <v>400</v>
      </c>
    </row>
    <row r="463" spans="1:3" ht="12.75">
      <c r="A463" s="7" t="s">
        <v>2213</v>
      </c>
      <c r="B463" s="7">
        <v>25.52</v>
      </c>
      <c r="C463" s="7">
        <v>400</v>
      </c>
    </row>
    <row r="464" spans="1:3" ht="12.75">
      <c r="A464" s="7" t="s">
        <v>2207</v>
      </c>
      <c r="B464" s="7">
        <v>29.8</v>
      </c>
      <c r="C464" s="7">
        <v>400</v>
      </c>
    </row>
    <row r="465" spans="1:3" ht="12.75">
      <c r="A465" s="7" t="s">
        <v>2221</v>
      </c>
      <c r="B465" s="7">
        <v>30</v>
      </c>
      <c r="C465" s="7">
        <v>400</v>
      </c>
    </row>
    <row r="466" spans="1:3" ht="12.75">
      <c r="A466" s="7" t="s">
        <v>2221</v>
      </c>
      <c r="B466" s="7">
        <v>31.4</v>
      </c>
      <c r="C466" s="7">
        <v>400</v>
      </c>
    </row>
    <row r="467" spans="1:3" ht="12.75">
      <c r="A467" s="7" t="s">
        <v>2206</v>
      </c>
      <c r="B467" s="7">
        <v>42.92</v>
      </c>
      <c r="C467" s="7">
        <v>400</v>
      </c>
    </row>
    <row r="468" spans="1:3" ht="12.75">
      <c r="A468" s="7" t="s">
        <v>2240</v>
      </c>
      <c r="B468" s="7">
        <v>44</v>
      </c>
      <c r="C468" s="7">
        <v>400</v>
      </c>
    </row>
    <row r="469" spans="1:3" ht="12.75">
      <c r="A469" s="7" t="s">
        <v>2206</v>
      </c>
      <c r="B469" s="7">
        <v>46.1</v>
      </c>
      <c r="C469" s="7">
        <v>400</v>
      </c>
    </row>
    <row r="470" spans="1:3" ht="12.75">
      <c r="A470" s="7" t="s">
        <v>2241</v>
      </c>
      <c r="B470" s="7">
        <v>49</v>
      </c>
      <c r="C470" s="7">
        <v>400</v>
      </c>
    </row>
    <row r="471" spans="1:3" ht="12.75">
      <c r="A471" s="7" t="s">
        <v>2241</v>
      </c>
      <c r="B471" s="7">
        <v>50</v>
      </c>
      <c r="C471" s="7">
        <v>400</v>
      </c>
    </row>
    <row r="472" spans="1:3" ht="12.75">
      <c r="A472" s="7" t="s">
        <v>2250</v>
      </c>
      <c r="B472" s="7">
        <v>51</v>
      </c>
      <c r="C472" s="7">
        <v>400</v>
      </c>
    </row>
    <row r="473" spans="1:3" ht="12.75">
      <c r="A473" s="7" t="s">
        <v>2241</v>
      </c>
      <c r="B473" s="7">
        <v>51</v>
      </c>
      <c r="C473" s="7">
        <v>400</v>
      </c>
    </row>
    <row r="474" spans="1:3" ht="12.75">
      <c r="A474" s="7" t="s">
        <v>2241</v>
      </c>
      <c r="B474" s="7">
        <v>52.1</v>
      </c>
      <c r="C474" s="7">
        <v>400</v>
      </c>
    </row>
    <row r="475" spans="1:3" ht="12.75">
      <c r="A475" s="7" t="s">
        <v>2259</v>
      </c>
      <c r="B475" s="7">
        <v>71.8</v>
      </c>
      <c r="C475" s="7">
        <v>400</v>
      </c>
    </row>
    <row r="476" spans="1:3" ht="12.75">
      <c r="A476" s="7" t="s">
        <v>2263</v>
      </c>
      <c r="B476" s="7">
        <v>77.02</v>
      </c>
      <c r="C476" s="7">
        <v>403</v>
      </c>
    </row>
    <row r="477" spans="1:3" ht="12.75">
      <c r="A477" s="7" t="s">
        <v>2207</v>
      </c>
      <c r="B477" s="7">
        <v>29.8</v>
      </c>
      <c r="C477" s="7">
        <v>405</v>
      </c>
    </row>
    <row r="478" spans="1:3" ht="12.75">
      <c r="A478" s="7" t="s">
        <v>2221</v>
      </c>
      <c r="B478" s="7">
        <v>29.81</v>
      </c>
      <c r="C478" s="7">
        <v>405</v>
      </c>
    </row>
    <row r="479" spans="1:3" ht="12.75">
      <c r="A479" s="7" t="s">
        <v>2197</v>
      </c>
      <c r="B479" s="7">
        <v>19.100000000000001</v>
      </c>
      <c r="C479" s="7">
        <v>410</v>
      </c>
    </row>
    <row r="480" spans="1:3" ht="12.75">
      <c r="A480" s="7" t="s">
        <v>2221</v>
      </c>
      <c r="B480" s="7">
        <v>33.83</v>
      </c>
      <c r="C480" s="7">
        <v>430</v>
      </c>
    </row>
    <row r="481" spans="1:3" ht="12.75">
      <c r="A481" s="7" t="s">
        <v>2210</v>
      </c>
      <c r="B481" s="7">
        <v>35.76</v>
      </c>
      <c r="C481" s="7">
        <v>430</v>
      </c>
    </row>
    <row r="482" spans="1:3" ht="12.75">
      <c r="A482" s="7" t="s">
        <v>2196</v>
      </c>
      <c r="B482" s="7">
        <v>23.2</v>
      </c>
      <c r="C482" s="7">
        <v>440</v>
      </c>
    </row>
    <row r="483" spans="1:3" ht="12.75">
      <c r="A483" s="7" t="s">
        <v>2153</v>
      </c>
      <c r="B483" s="7">
        <v>4.2</v>
      </c>
      <c r="C483" s="7">
        <v>450</v>
      </c>
    </row>
    <row r="484" spans="1:3" ht="12.75">
      <c r="A484" s="7" t="s">
        <v>2153</v>
      </c>
      <c r="B484" s="7">
        <v>6.72</v>
      </c>
      <c r="C484" s="7">
        <v>450</v>
      </c>
    </row>
    <row r="485" spans="1:3" ht="12.75">
      <c r="A485" s="7" t="s">
        <v>2162</v>
      </c>
      <c r="B485" s="7">
        <v>6.8</v>
      </c>
      <c r="C485" s="7">
        <v>450</v>
      </c>
    </row>
    <row r="486" spans="1:3" ht="12.75">
      <c r="A486" s="7" t="s">
        <v>2162</v>
      </c>
      <c r="B486" s="7">
        <v>8.1999999999999993</v>
      </c>
      <c r="C486" s="7">
        <v>450</v>
      </c>
    </row>
    <row r="487" spans="1:3" ht="12.75">
      <c r="A487" s="7" t="s">
        <v>2179</v>
      </c>
      <c r="B487" s="7">
        <v>13.9</v>
      </c>
      <c r="C487" s="7">
        <v>450</v>
      </c>
    </row>
    <row r="488" spans="1:3" ht="12.75">
      <c r="A488" s="7" t="s">
        <v>2176</v>
      </c>
      <c r="B488" s="7">
        <v>15.7</v>
      </c>
      <c r="C488" s="7">
        <v>450</v>
      </c>
    </row>
    <row r="489" spans="1:3" ht="12.75">
      <c r="A489" s="7" t="s">
        <v>2197</v>
      </c>
      <c r="B489" s="7">
        <v>16.3</v>
      </c>
      <c r="C489" s="7">
        <v>450</v>
      </c>
    </row>
    <row r="490" spans="1:3" ht="12.75">
      <c r="A490" s="7" t="s">
        <v>2197</v>
      </c>
      <c r="B490" s="7">
        <v>18.7</v>
      </c>
      <c r="C490" s="7">
        <v>450</v>
      </c>
    </row>
    <row r="491" spans="1:3" ht="12.75">
      <c r="A491" s="7" t="s">
        <v>2197</v>
      </c>
      <c r="B491" s="7">
        <v>22.4</v>
      </c>
      <c r="C491" s="7">
        <v>450</v>
      </c>
    </row>
    <row r="492" spans="1:3" ht="12.75">
      <c r="A492" s="7" t="s">
        <v>2196</v>
      </c>
      <c r="B492" s="7">
        <v>23.1</v>
      </c>
      <c r="C492" s="7">
        <v>450</v>
      </c>
    </row>
    <row r="493" spans="1:3" ht="12.75">
      <c r="A493" s="7" t="s">
        <v>2162</v>
      </c>
      <c r="B493" s="7">
        <v>25.7</v>
      </c>
      <c r="C493" s="7">
        <v>450</v>
      </c>
    </row>
    <row r="494" spans="1:3" ht="12.75">
      <c r="A494" s="7" t="s">
        <v>2196</v>
      </c>
      <c r="B494" s="7">
        <v>25.7</v>
      </c>
      <c r="C494" s="7">
        <v>450</v>
      </c>
    </row>
    <row r="495" spans="1:3" ht="12.75">
      <c r="A495" s="7" t="s">
        <v>2221</v>
      </c>
      <c r="B495" s="7">
        <v>27.3</v>
      </c>
      <c r="C495" s="7">
        <v>450</v>
      </c>
    </row>
    <row r="496" spans="1:3" ht="12.75">
      <c r="A496" s="7" t="s">
        <v>2221</v>
      </c>
      <c r="B496" s="7">
        <v>30</v>
      </c>
      <c r="C496" s="7">
        <v>450</v>
      </c>
    </row>
    <row r="497" spans="1:3" ht="12.75">
      <c r="A497" s="7" t="s">
        <v>2209</v>
      </c>
      <c r="B497" s="7">
        <v>31</v>
      </c>
      <c r="C497" s="7">
        <v>450</v>
      </c>
    </row>
    <row r="498" spans="1:3" ht="12.75">
      <c r="A498" s="7" t="s">
        <v>2221</v>
      </c>
      <c r="B498" s="7">
        <v>31</v>
      </c>
      <c r="C498" s="7">
        <v>450</v>
      </c>
    </row>
    <row r="499" spans="1:3" ht="12.75">
      <c r="A499" s="7" t="s">
        <v>2210</v>
      </c>
      <c r="B499" s="7">
        <v>34.1</v>
      </c>
      <c r="C499" s="7">
        <v>450</v>
      </c>
    </row>
    <row r="500" spans="1:3" ht="12.75">
      <c r="A500" s="7" t="s">
        <v>2209</v>
      </c>
      <c r="B500" s="7">
        <v>34.1</v>
      </c>
      <c r="C500" s="7">
        <v>450</v>
      </c>
    </row>
    <row r="501" spans="1:3" ht="12.75">
      <c r="A501" s="7" t="s">
        <v>2241</v>
      </c>
      <c r="B501" s="7">
        <v>46.2</v>
      </c>
      <c r="C501" s="7">
        <v>450</v>
      </c>
    </row>
    <row r="502" spans="1:3" ht="12.75">
      <c r="A502" s="7" t="s">
        <v>2241</v>
      </c>
      <c r="B502" s="7">
        <v>48.7</v>
      </c>
      <c r="C502" s="7">
        <v>450</v>
      </c>
    </row>
    <row r="503" spans="1:3" ht="12.75">
      <c r="A503" s="7" t="s">
        <v>2258</v>
      </c>
      <c r="B503" s="7">
        <v>96</v>
      </c>
      <c r="C503" s="7">
        <v>450</v>
      </c>
    </row>
    <row r="504" spans="1:3" ht="12.75">
      <c r="A504" s="7" t="s">
        <v>2210</v>
      </c>
      <c r="B504" s="7">
        <v>38.909999999999997</v>
      </c>
      <c r="C504" s="7">
        <v>455</v>
      </c>
    </row>
    <row r="505" spans="1:3" ht="12.75">
      <c r="A505" s="7" t="s">
        <v>2241</v>
      </c>
      <c r="B505" s="7">
        <v>42.79</v>
      </c>
      <c r="C505" s="7">
        <v>455</v>
      </c>
    </row>
    <row r="506" spans="1:3" ht="12.75">
      <c r="A506" s="7" t="s">
        <v>2241</v>
      </c>
      <c r="B506" s="7">
        <v>42.74</v>
      </c>
      <c r="C506" s="7">
        <v>460</v>
      </c>
    </row>
    <row r="507" spans="1:3" ht="12.75">
      <c r="A507" s="7" t="s">
        <v>2241</v>
      </c>
      <c r="B507" s="7">
        <v>42.77</v>
      </c>
      <c r="C507" s="7">
        <v>460</v>
      </c>
    </row>
    <row r="508" spans="1:3" ht="12.75">
      <c r="A508" s="7" t="s">
        <v>2163</v>
      </c>
      <c r="B508" s="7">
        <v>10</v>
      </c>
      <c r="C508" s="7">
        <v>475</v>
      </c>
    </row>
    <row r="509" spans="1:3" ht="12.75">
      <c r="A509" s="7" t="s">
        <v>2197</v>
      </c>
      <c r="B509" s="7">
        <v>19.100000000000001</v>
      </c>
      <c r="C509" s="7">
        <v>475</v>
      </c>
    </row>
    <row r="510" spans="1:3" ht="12.75">
      <c r="A510" s="7" t="s">
        <v>2196</v>
      </c>
      <c r="B510" s="7">
        <v>15</v>
      </c>
      <c r="C510" s="7">
        <v>480</v>
      </c>
    </row>
    <row r="511" spans="1:3" ht="12.75">
      <c r="A511" s="7" t="s">
        <v>2179</v>
      </c>
      <c r="B511" s="7">
        <v>15</v>
      </c>
      <c r="C511" s="7">
        <v>480</v>
      </c>
    </row>
    <row r="512" spans="1:3" ht="12.75">
      <c r="A512" s="7" t="s">
        <v>2237</v>
      </c>
      <c r="B512" s="7">
        <v>51</v>
      </c>
      <c r="C512" s="7">
        <v>480</v>
      </c>
    </row>
    <row r="513" spans="1:3" ht="12.75">
      <c r="A513" s="7" t="s">
        <v>2179</v>
      </c>
      <c r="B513" s="7">
        <v>14.6</v>
      </c>
      <c r="C513" s="7">
        <v>500</v>
      </c>
    </row>
    <row r="514" spans="1:3" ht="12.75">
      <c r="A514" s="7" t="s">
        <v>2210</v>
      </c>
      <c r="B514" s="7">
        <v>34.700000000000003</v>
      </c>
      <c r="C514" s="7">
        <v>500</v>
      </c>
    </row>
    <row r="515" spans="1:3" ht="12.75">
      <c r="A515" s="7" t="s">
        <v>2237</v>
      </c>
      <c r="B515" s="7">
        <v>47</v>
      </c>
      <c r="C515" s="7">
        <v>500</v>
      </c>
    </row>
    <row r="516" spans="1:3" ht="12.75">
      <c r="A516" s="7" t="s">
        <v>2237</v>
      </c>
      <c r="B516" s="7">
        <v>56.81</v>
      </c>
      <c r="C516" s="7">
        <v>500</v>
      </c>
    </row>
    <row r="517" spans="1:3" ht="12.75" hidden="1">
      <c r="A517" s="7" t="s">
        <v>2275</v>
      </c>
      <c r="B517" s="7">
        <v>132.4</v>
      </c>
      <c r="C517" s="7">
        <v>500</v>
      </c>
    </row>
    <row r="518" spans="1:3" ht="12.75">
      <c r="A518" s="7" t="s">
        <v>2163</v>
      </c>
      <c r="B518" s="7">
        <v>8.3699999999999992</v>
      </c>
      <c r="C518" s="7">
        <v>515</v>
      </c>
    </row>
    <row r="519" spans="1:3" ht="12.75">
      <c r="A519" s="7" t="s">
        <v>2210</v>
      </c>
      <c r="B519" s="7">
        <v>31</v>
      </c>
      <c r="C519" s="7">
        <v>550</v>
      </c>
    </row>
    <row r="520" spans="1:3" ht="12.75">
      <c r="A520" s="7" t="s">
        <v>2227</v>
      </c>
      <c r="B520" s="7">
        <v>31</v>
      </c>
      <c r="C520" s="7">
        <v>550</v>
      </c>
    </row>
    <row r="521" spans="1:3" ht="12.75">
      <c r="A521" s="7" t="s">
        <v>2179</v>
      </c>
      <c r="B521" s="7">
        <v>9.6</v>
      </c>
      <c r="C521" s="7">
        <v>575</v>
      </c>
    </row>
    <row r="522" spans="1:3" ht="12.75">
      <c r="A522" s="7" t="s">
        <v>2244</v>
      </c>
      <c r="B522" s="7">
        <v>60.9</v>
      </c>
      <c r="C522" s="7">
        <v>575</v>
      </c>
    </row>
    <row r="523" spans="1:3" ht="12.75">
      <c r="A523" s="7" t="s">
        <v>2258</v>
      </c>
      <c r="B523" s="7">
        <v>68.2</v>
      </c>
      <c r="C523" s="7">
        <v>580</v>
      </c>
    </row>
    <row r="524" spans="1:3" ht="12.75">
      <c r="A524" s="7" t="s">
        <v>2244</v>
      </c>
      <c r="B524" s="7">
        <v>47</v>
      </c>
      <c r="C524" s="7">
        <v>600</v>
      </c>
    </row>
    <row r="525" spans="1:3" ht="12.75">
      <c r="A525" s="7" t="s">
        <v>2262</v>
      </c>
      <c r="B525" s="7">
        <v>71.599999999999994</v>
      </c>
      <c r="C525" s="7">
        <v>620</v>
      </c>
    </row>
    <row r="526" spans="1:3" ht="12.75">
      <c r="A526" s="7" t="s">
        <v>2192</v>
      </c>
      <c r="B526" s="7">
        <v>13.9</v>
      </c>
      <c r="C526" s="7">
        <v>650</v>
      </c>
    </row>
    <row r="527" spans="1:3" ht="12.75">
      <c r="A527" s="7" t="s">
        <v>2198</v>
      </c>
      <c r="B527" s="7">
        <v>17.899999999999999</v>
      </c>
      <c r="C527" s="7">
        <v>650</v>
      </c>
    </row>
    <row r="1061" spans="1:3" ht="12.75">
      <c r="A1061" s="20"/>
      <c r="B1061" s="20"/>
      <c r="C1061" s="20"/>
    </row>
    <row r="1062" spans="1:3" ht="12.75">
      <c r="A1062" s="20"/>
      <c r="B1062" s="20"/>
      <c r="C1062" s="20"/>
    </row>
    <row r="1063" spans="1:3" ht="12.75">
      <c r="A1063" s="20"/>
      <c r="B1063" s="20"/>
      <c r="C1063" s="20"/>
    </row>
    <row r="1064" spans="1:3" ht="12.75">
      <c r="A1064" s="20"/>
      <c r="B1064" s="20"/>
      <c r="C1064" s="20"/>
    </row>
    <row r="1065" spans="1:3" ht="12.75">
      <c r="A1065" s="20"/>
      <c r="B1065" s="20"/>
      <c r="C1065" s="20"/>
    </row>
    <row r="1066" spans="1:3" ht="12.75">
      <c r="A1066" s="20"/>
      <c r="B1066" s="20"/>
      <c r="C1066" s="20"/>
    </row>
    <row r="1067" spans="1:3" ht="12.75">
      <c r="A1067" s="20"/>
      <c r="B1067" s="20"/>
      <c r="C1067" s="20"/>
    </row>
    <row r="1068" spans="1:3" ht="12.75">
      <c r="A1068" s="20"/>
      <c r="B1068" s="20"/>
      <c r="C1068" s="20"/>
    </row>
    <row r="1069" spans="1:3" ht="12.75">
      <c r="A1069" s="20"/>
      <c r="B1069" s="20"/>
      <c r="C1069" s="20"/>
    </row>
    <row r="1070" spans="1:3" ht="12.75">
      <c r="A1070" s="20"/>
      <c r="B1070" s="20"/>
      <c r="C1070" s="20"/>
    </row>
    <row r="1071" spans="1:3" ht="12.75">
      <c r="A1071" s="20"/>
      <c r="B1071" s="20"/>
      <c r="C1071" s="20"/>
    </row>
    <row r="1072" spans="1:3" ht="12.75">
      <c r="A1072" s="20"/>
      <c r="B1072" s="20"/>
      <c r="C1072" s="20"/>
    </row>
    <row r="1073" spans="1:3" ht="12.75">
      <c r="A1073" s="20"/>
      <c r="B1073" s="20"/>
      <c r="C1073" s="20"/>
    </row>
    <row r="1074" spans="1:3" ht="12.75">
      <c r="A1074" s="20"/>
      <c r="B1074" s="20"/>
      <c r="C1074" s="20"/>
    </row>
    <row r="1075" spans="1:3" ht="12.75">
      <c r="A1075" s="20"/>
      <c r="B1075" s="20"/>
      <c r="C1075" s="20"/>
    </row>
    <row r="1076" spans="1:3" ht="12.75">
      <c r="A1076" s="20"/>
      <c r="B1076" s="20"/>
      <c r="C1076" s="20"/>
    </row>
    <row r="1077" spans="1:3" ht="12.75">
      <c r="A1077" s="20"/>
      <c r="B1077" s="20"/>
      <c r="C1077" s="20"/>
    </row>
    <row r="1078" spans="1:3" ht="12.75">
      <c r="A1078" s="20"/>
      <c r="B1078" s="20"/>
      <c r="C1078" s="20"/>
    </row>
    <row r="1079" spans="1:3" ht="12.75">
      <c r="A1079" s="20"/>
      <c r="B1079" s="20"/>
      <c r="C1079" s="20"/>
    </row>
    <row r="1080" spans="1:3" ht="12.75">
      <c r="A1080" s="20"/>
      <c r="B1080" s="20"/>
      <c r="C1080" s="20"/>
    </row>
    <row r="1081" spans="1:3" ht="12.75">
      <c r="A1081" s="20"/>
      <c r="B1081" s="20"/>
      <c r="C1081" s="20"/>
    </row>
    <row r="1082" spans="1:3" ht="12.75">
      <c r="A1082" s="20"/>
      <c r="B1082" s="20"/>
      <c r="C1082" s="20"/>
    </row>
    <row r="1083" spans="1:3" ht="12.75">
      <c r="A1083" s="20"/>
      <c r="B1083" s="20"/>
      <c r="C1083" s="20"/>
    </row>
    <row r="1084" spans="1:3" ht="12.75">
      <c r="A1084" s="20"/>
      <c r="B1084" s="20"/>
      <c r="C1084" s="20"/>
    </row>
    <row r="1085" spans="1:3" ht="12.75">
      <c r="A1085" s="20"/>
      <c r="B1085" s="20"/>
      <c r="C1085" s="20"/>
    </row>
    <row r="1086" spans="1:3" ht="12.75">
      <c r="A1086" s="20"/>
      <c r="B1086" s="20"/>
      <c r="C1086" s="20"/>
    </row>
    <row r="1087" spans="1:3" ht="12.75">
      <c r="A1087" s="20"/>
      <c r="B1087" s="20"/>
      <c r="C1087" s="20"/>
    </row>
    <row r="1088" spans="1:3" ht="12.75">
      <c r="A1088" s="20"/>
      <c r="B1088" s="20"/>
      <c r="C1088" s="20"/>
    </row>
    <row r="1089" spans="1:3" ht="12.75">
      <c r="A1089" s="20"/>
      <c r="B1089" s="20"/>
      <c r="C1089" s="20"/>
    </row>
    <row r="1090" spans="1:3" ht="12.75">
      <c r="A1090" s="20"/>
      <c r="B1090" s="20"/>
      <c r="C1090" s="20"/>
    </row>
    <row r="1091" spans="1:3" ht="12.75">
      <c r="A1091" s="20"/>
      <c r="B1091" s="20"/>
      <c r="C1091" s="20"/>
    </row>
    <row r="1092" spans="1:3" ht="12.75">
      <c r="A1092" s="20"/>
      <c r="B1092" s="20"/>
      <c r="C1092" s="20"/>
    </row>
    <row r="1093" spans="1:3" ht="12.75">
      <c r="A1093" s="20"/>
      <c r="B1093" s="20"/>
      <c r="C1093" s="20"/>
    </row>
    <row r="1094" spans="1:3" ht="12.75">
      <c r="A1094" s="20"/>
      <c r="B1094" s="20"/>
      <c r="C1094" s="20"/>
    </row>
    <row r="1095" spans="1:3" ht="12.75">
      <c r="A1095" s="20"/>
      <c r="B1095" s="20"/>
      <c r="C1095" s="20"/>
    </row>
    <row r="1096" spans="1:3" ht="12.75">
      <c r="A1096" s="20"/>
      <c r="B1096" s="20"/>
      <c r="C1096" s="20"/>
    </row>
    <row r="1097" spans="1:3" ht="12.75">
      <c r="A1097" s="20"/>
      <c r="B1097" s="20"/>
      <c r="C1097" s="20"/>
    </row>
    <row r="1098" spans="1:3" ht="12.75">
      <c r="A1098" s="20"/>
      <c r="B1098" s="20"/>
      <c r="C1098" s="20"/>
    </row>
    <row r="1099" spans="1:3" ht="12.75">
      <c r="A1099" s="20"/>
      <c r="B1099" s="20"/>
      <c r="C1099" s="20"/>
    </row>
    <row r="1100" spans="1:3" ht="12.75">
      <c r="A1100" s="20"/>
      <c r="B1100" s="20"/>
      <c r="C1100" s="20"/>
    </row>
    <row r="1101" spans="1:3" ht="12.75">
      <c r="A1101" s="20"/>
      <c r="B1101" s="20"/>
      <c r="C1101" s="20"/>
    </row>
    <row r="1102" spans="1:3" ht="12.75">
      <c r="A1102" s="20"/>
      <c r="B1102" s="20"/>
      <c r="C1102" s="20"/>
    </row>
    <row r="1103" spans="1:3" ht="12.75">
      <c r="A1103" s="20"/>
      <c r="B1103" s="20"/>
      <c r="C1103" s="20"/>
    </row>
    <row r="1104" spans="1:3" ht="12.75">
      <c r="A1104" s="20"/>
      <c r="B1104" s="20"/>
      <c r="C1104" s="20"/>
    </row>
    <row r="1105" spans="1:3" ht="12.75">
      <c r="A1105" s="20"/>
      <c r="B1105" s="20"/>
      <c r="C1105" s="20"/>
    </row>
    <row r="1106" spans="1:3" ht="12.75">
      <c r="A1106" s="20"/>
      <c r="B1106" s="20"/>
      <c r="C1106" s="20"/>
    </row>
    <row r="1107" spans="1:3" ht="12.75">
      <c r="A1107" s="20"/>
      <c r="B1107" s="20"/>
      <c r="C1107" s="20"/>
    </row>
    <row r="1108" spans="1:3" ht="12.75">
      <c r="A1108" s="20"/>
      <c r="B1108" s="20"/>
      <c r="C1108" s="20"/>
    </row>
    <row r="1109" spans="1:3" ht="12.75">
      <c r="A1109" s="20"/>
      <c r="B1109" s="20"/>
      <c r="C1109" s="20"/>
    </row>
    <row r="1110" spans="1:3" ht="12.75">
      <c r="A1110" s="20"/>
      <c r="B1110" s="20"/>
      <c r="C1110" s="20"/>
    </row>
    <row r="1111" spans="1:3" ht="12.75">
      <c r="A1111" s="20"/>
      <c r="B1111" s="20"/>
      <c r="C1111" s="20"/>
    </row>
    <row r="1112" spans="1:3" ht="12.75">
      <c r="A1112" s="20"/>
      <c r="B1112" s="20"/>
      <c r="C1112" s="20"/>
    </row>
    <row r="1113" spans="1:3" ht="12.75">
      <c r="A1113" s="20"/>
      <c r="B1113" s="20"/>
      <c r="C1113" s="20"/>
    </row>
    <row r="1114" spans="1:3" ht="12.75">
      <c r="A1114" s="20"/>
      <c r="B1114" s="20"/>
      <c r="C1114" s="20"/>
    </row>
    <row r="1115" spans="1:3" ht="12.75">
      <c r="A1115" s="20"/>
      <c r="B1115" s="20"/>
      <c r="C1115" s="20"/>
    </row>
    <row r="1116" spans="1:3" ht="12.75">
      <c r="A1116" s="20"/>
      <c r="B1116" s="20"/>
      <c r="C1116" s="20"/>
    </row>
    <row r="1117" spans="1:3" ht="12.75">
      <c r="A1117" s="20"/>
      <c r="B1117" s="20"/>
      <c r="C1117" s="20"/>
    </row>
    <row r="1118" spans="1:3" ht="12.75">
      <c r="A1118" s="20"/>
      <c r="B1118" s="20"/>
      <c r="C1118" s="20"/>
    </row>
    <row r="1119" spans="1:3" ht="12.75">
      <c r="A1119" s="20"/>
      <c r="B1119" s="20"/>
      <c r="C1119" s="20"/>
    </row>
    <row r="1120" spans="1:3" ht="12.75">
      <c r="A1120" s="20"/>
      <c r="B1120" s="20"/>
      <c r="C1120" s="20"/>
    </row>
    <row r="1121" spans="1:3" ht="12.75">
      <c r="A1121" s="20"/>
      <c r="B1121" s="20"/>
      <c r="C1121" s="20"/>
    </row>
    <row r="1122" spans="1:3" ht="12.75">
      <c r="A1122" s="20"/>
      <c r="B1122" s="20"/>
      <c r="C1122" s="20"/>
    </row>
    <row r="1123" spans="1:3" ht="12.75">
      <c r="A1123" s="20"/>
      <c r="B1123" s="20"/>
      <c r="C1123" s="20"/>
    </row>
    <row r="1124" spans="1:3" ht="12.75">
      <c r="A1124" s="20"/>
      <c r="B1124" s="20"/>
      <c r="C1124" s="20"/>
    </row>
    <row r="1125" spans="1:3" ht="12.75">
      <c r="A1125" s="20"/>
      <c r="B1125" s="20"/>
      <c r="C1125" s="20"/>
    </row>
    <row r="1126" spans="1:3" ht="12.75">
      <c r="A1126" s="20"/>
      <c r="B1126" s="20"/>
      <c r="C1126" s="20"/>
    </row>
    <row r="1127" spans="1:3" ht="12.75">
      <c r="A1127" s="20"/>
      <c r="B1127" s="20"/>
      <c r="C1127" s="20"/>
    </row>
    <row r="1128" spans="1:3" ht="12.75">
      <c r="A1128" s="20"/>
      <c r="B1128" s="20"/>
      <c r="C1128" s="20"/>
    </row>
    <row r="1129" spans="1:3" ht="12.75">
      <c r="A1129" s="20"/>
      <c r="B1129" s="20"/>
      <c r="C1129" s="20"/>
    </row>
    <row r="1130" spans="1:3" ht="12.75">
      <c r="A1130" s="20"/>
      <c r="B1130" s="20"/>
      <c r="C1130" s="20"/>
    </row>
    <row r="1131" spans="1:3" ht="12.75">
      <c r="A1131" s="20"/>
      <c r="B1131" s="20"/>
      <c r="C1131" s="20"/>
    </row>
    <row r="1132" spans="1:3" ht="12.75">
      <c r="A1132" s="20"/>
      <c r="B1132" s="20"/>
      <c r="C1132" s="20"/>
    </row>
    <row r="1133" spans="1:3" ht="12.75">
      <c r="A1133" s="20"/>
      <c r="B1133" s="20"/>
      <c r="C1133" s="20"/>
    </row>
    <row r="1134" spans="1:3" ht="12.75">
      <c r="A1134" s="20"/>
      <c r="B1134" s="20"/>
      <c r="C1134" s="20"/>
    </row>
    <row r="1135" spans="1:3" ht="12.75">
      <c r="A1135" s="20"/>
      <c r="B1135" s="20"/>
      <c r="C1135" s="20"/>
    </row>
    <row r="1136" spans="1:3" ht="12.75">
      <c r="A1136" s="20"/>
      <c r="B1136" s="20"/>
      <c r="C1136" s="20"/>
    </row>
    <row r="1137" spans="1:3" ht="12.75">
      <c r="A1137" s="20"/>
      <c r="B1137" s="20"/>
      <c r="C1137" s="20"/>
    </row>
    <row r="1138" spans="1:3" ht="12.75">
      <c r="A1138" s="20"/>
      <c r="B1138" s="20"/>
      <c r="C1138" s="20"/>
    </row>
    <row r="1139" spans="1:3" ht="12.75">
      <c r="A1139" s="20"/>
      <c r="B1139" s="20"/>
      <c r="C1139" s="20"/>
    </row>
    <row r="1140" spans="1:3" ht="12.75">
      <c r="A1140" s="20"/>
      <c r="B1140" s="20"/>
      <c r="C1140" s="20"/>
    </row>
    <row r="1141" spans="1:3" ht="12.75">
      <c r="A1141" s="20"/>
      <c r="B1141" s="20"/>
      <c r="C1141" s="20"/>
    </row>
    <row r="1142" spans="1:3" ht="12.75">
      <c r="A1142" s="20"/>
      <c r="B1142" s="20"/>
      <c r="C1142" s="20"/>
    </row>
    <row r="1143" spans="1:3" ht="12.75">
      <c r="A1143" s="20"/>
      <c r="B1143" s="20"/>
      <c r="C1143" s="20"/>
    </row>
    <row r="1144" spans="1:3" ht="12.75">
      <c r="A1144" s="20"/>
      <c r="B1144" s="20"/>
      <c r="C1144" s="20"/>
    </row>
    <row r="1145" spans="1:3" ht="12.75">
      <c r="A1145" s="20"/>
      <c r="B1145" s="20"/>
      <c r="C1145" s="20"/>
    </row>
    <row r="1146" spans="1:3" ht="12.75">
      <c r="A1146" s="20"/>
      <c r="B1146" s="20"/>
      <c r="C1146" s="20"/>
    </row>
    <row r="1147" spans="1:3" ht="12.75">
      <c r="A1147" s="20"/>
      <c r="B1147" s="20"/>
      <c r="C1147" s="20"/>
    </row>
    <row r="1148" spans="1:3" ht="12.75">
      <c r="A1148" s="20"/>
      <c r="B1148" s="20"/>
      <c r="C1148" s="20"/>
    </row>
    <row r="1149" spans="1:3" ht="12.75">
      <c r="A1149" s="20"/>
      <c r="B1149" s="20"/>
      <c r="C1149" s="20"/>
    </row>
    <row r="1150" spans="1:3" ht="12.75">
      <c r="A1150" s="20"/>
      <c r="B1150" s="20"/>
      <c r="C1150" s="20"/>
    </row>
    <row r="1151" spans="1:3" ht="12.75">
      <c r="A1151" s="20"/>
      <c r="B1151" s="20"/>
      <c r="C1151" s="20"/>
    </row>
    <row r="1152" spans="1:3" ht="12.75">
      <c r="A1152" s="20"/>
      <c r="B1152" s="20"/>
      <c r="C1152" s="20"/>
    </row>
    <row r="1153" spans="1:3" ht="12.75">
      <c r="A1153" s="20"/>
      <c r="B1153" s="20"/>
      <c r="C1153" s="20"/>
    </row>
    <row r="1154" spans="1:3" ht="12.75">
      <c r="A1154" s="20"/>
      <c r="B1154" s="20"/>
      <c r="C1154" s="20"/>
    </row>
    <row r="1155" spans="1:3" ht="12.75">
      <c r="A1155" s="20"/>
      <c r="B1155" s="20"/>
      <c r="C1155" s="20"/>
    </row>
    <row r="1156" spans="1:3" ht="12.75">
      <c r="A1156" s="20"/>
      <c r="B1156" s="20"/>
      <c r="C1156" s="20"/>
    </row>
    <row r="1157" spans="1:3" ht="12.75">
      <c r="A1157" s="20"/>
      <c r="B1157" s="20"/>
      <c r="C1157" s="20"/>
    </row>
    <row r="1158" spans="1:3" ht="12.75">
      <c r="A1158" s="20"/>
      <c r="B1158" s="20"/>
      <c r="C1158" s="20"/>
    </row>
    <row r="1159" spans="1:3" ht="12.75">
      <c r="A1159" s="20"/>
      <c r="B1159" s="20"/>
      <c r="C1159" s="20"/>
    </row>
    <row r="1160" spans="1:3" ht="12.75">
      <c r="A1160" s="20"/>
      <c r="B1160" s="20"/>
      <c r="C1160" s="20"/>
    </row>
    <row r="1161" spans="1:3" ht="12.75">
      <c r="A1161" s="20"/>
      <c r="B1161" s="20"/>
      <c r="C1161" s="20"/>
    </row>
    <row r="1162" spans="1:3" ht="12.75">
      <c r="A1162" s="20"/>
      <c r="B1162" s="20"/>
      <c r="C1162" s="20"/>
    </row>
    <row r="1163" spans="1:3" ht="12.75">
      <c r="A1163" s="20"/>
      <c r="B1163" s="20"/>
      <c r="C1163" s="20"/>
    </row>
    <row r="1164" spans="1:3" ht="12.75">
      <c r="A1164" s="20"/>
      <c r="B1164" s="20"/>
      <c r="C1164" s="20"/>
    </row>
    <row r="1165" spans="1:3" ht="12.75">
      <c r="A1165" s="20"/>
      <c r="B1165" s="20"/>
      <c r="C1165" s="20"/>
    </row>
    <row r="1166" spans="1:3" ht="12.75">
      <c r="A1166" s="20"/>
      <c r="B1166" s="20"/>
      <c r="C1166" s="20"/>
    </row>
    <row r="1167" spans="1:3" ht="12.75">
      <c r="A1167" s="20"/>
      <c r="B1167" s="20"/>
      <c r="C1167" s="20"/>
    </row>
    <row r="1168" spans="1:3" ht="12.75">
      <c r="A1168" s="20"/>
      <c r="B1168" s="20"/>
      <c r="C1168" s="20"/>
    </row>
    <row r="1169" spans="1:3" ht="12.75">
      <c r="A1169" s="20"/>
      <c r="B1169" s="20"/>
      <c r="C1169" s="20"/>
    </row>
    <row r="1170" spans="1:3" ht="12.75">
      <c r="A1170" s="20"/>
      <c r="B1170" s="20"/>
      <c r="C1170" s="20"/>
    </row>
    <row r="1171" spans="1:3" ht="12.75">
      <c r="A1171" s="20"/>
      <c r="B1171" s="20"/>
      <c r="C1171" s="20"/>
    </row>
  </sheetData>
  <autoFilter ref="A1:C1171" xr:uid="{00000000-0009-0000-0000-000028000000}">
    <filterColumn colId="1">
      <filters blank="1">
        <filter val="1.9"/>
        <filter val="10"/>
        <filter val="10.1"/>
        <filter val="10.18"/>
        <filter val="10.45"/>
        <filter val="10.5"/>
        <filter val="10.58"/>
        <filter val="10.67"/>
        <filter val="10.7"/>
        <filter val="10.72"/>
        <filter val="10.8"/>
        <filter val="10.85"/>
        <filter val="10.9"/>
        <filter val="11"/>
        <filter val="11.14"/>
        <filter val="11.2"/>
        <filter val="11.3"/>
        <filter val="11.34"/>
        <filter val="11.4"/>
        <filter val="11.44"/>
        <filter val="11.54"/>
        <filter val="11.6"/>
        <filter val="11.63"/>
        <filter val="11.75"/>
        <filter val="11.89"/>
        <filter val="11.9"/>
        <filter val="11.94"/>
        <filter val="12"/>
        <filter val="12.04"/>
        <filter val="12.2"/>
        <filter val="12.4"/>
        <filter val="12.5"/>
        <filter val="12.59"/>
        <filter val="12.8"/>
        <filter val="13"/>
        <filter val="13.05"/>
        <filter val="13.1"/>
        <filter val="13.19"/>
        <filter val="13.2"/>
        <filter val="13.29"/>
        <filter val="13.5"/>
        <filter val="13.6"/>
        <filter val="13.7"/>
        <filter val="13.9"/>
        <filter val="13.95"/>
        <filter val="14"/>
        <filter val="14.15"/>
        <filter val="14.3"/>
        <filter val="14.39"/>
        <filter val="14.6"/>
        <filter val="14.7"/>
        <filter val="14.8"/>
        <filter val="14.9"/>
        <filter val="15"/>
        <filter val="15.2"/>
        <filter val="15.29"/>
        <filter val="15.5"/>
        <filter val="15.53"/>
        <filter val="15.6"/>
        <filter val="15.63"/>
        <filter val="15.7"/>
        <filter val="16"/>
        <filter val="16.2"/>
        <filter val="16.3"/>
        <filter val="16.4"/>
        <filter val="16.6"/>
        <filter val="16.7"/>
        <filter val="16.74"/>
        <filter val="16.8"/>
        <filter val="17"/>
        <filter val="17.1"/>
        <filter val="17.5"/>
        <filter val="17.9"/>
        <filter val="18"/>
        <filter val="18.1"/>
        <filter val="18.38"/>
        <filter val="18.4"/>
        <filter val="18.7"/>
        <filter val="18.8"/>
        <filter val="18.9"/>
        <filter val="19"/>
        <filter val="19.1"/>
        <filter val="19.2"/>
        <filter val="19.33"/>
        <filter val="19.4"/>
        <filter val="19.41"/>
        <filter val="19.6"/>
        <filter val="19.8"/>
        <filter val="19.9"/>
        <filter val="2.48"/>
        <filter val="2.7"/>
        <filter val="20"/>
        <filter val="20.5"/>
        <filter val="20.57"/>
        <filter val="21"/>
        <filter val="21.1"/>
        <filter val="21.2"/>
        <filter val="21.34"/>
        <filter val="21.4"/>
        <filter val="21.5"/>
        <filter val="21.6"/>
        <filter val="21.8"/>
        <filter val="21.99"/>
        <filter val="22"/>
        <filter val="22.04"/>
        <filter val="22.18"/>
        <filter val="22.4"/>
        <filter val="22.8"/>
        <filter val="23.1"/>
        <filter val="23.2"/>
        <filter val="23.3"/>
        <filter val="23.4"/>
        <filter val="23.6"/>
        <filter val="24"/>
        <filter val="24.1"/>
        <filter val="24.2"/>
        <filter val="24.21"/>
        <filter val="24.38"/>
        <filter val="24.6"/>
        <filter val="24.65"/>
        <filter val="24.9"/>
        <filter val="25"/>
        <filter val="25.3"/>
        <filter val="25.5"/>
        <filter val="25.52"/>
        <filter val="25.7"/>
        <filter val="25.8"/>
        <filter val="25.9"/>
        <filter val="26"/>
        <filter val="26.05"/>
        <filter val="26.3"/>
        <filter val="26.5"/>
        <filter val="26.8"/>
        <filter val="27"/>
        <filter val="27.3"/>
        <filter val="27.8"/>
        <filter val="28"/>
        <filter val="28.3"/>
        <filter val="28.51"/>
        <filter val="28.6"/>
        <filter val="29"/>
        <filter val="29.1"/>
        <filter val="29.3"/>
        <filter val="29.5"/>
        <filter val="29.8"/>
        <filter val="29.81"/>
        <filter val="29.9"/>
        <filter val="3"/>
        <filter val="3.27"/>
        <filter val="3.29"/>
        <filter val="3.3"/>
        <filter val="3.4"/>
        <filter val="3.44"/>
        <filter val="3.7"/>
        <filter val="30"/>
        <filter val="30.6"/>
        <filter val="31"/>
        <filter val="31.1"/>
        <filter val="31.4"/>
        <filter val="31.5"/>
        <filter val="31.8"/>
        <filter val="31.9"/>
        <filter val="32.1"/>
        <filter val="32.8"/>
        <filter val="32.9"/>
        <filter val="33"/>
        <filter val="33.01"/>
        <filter val="33.1"/>
        <filter val="33.4"/>
        <filter val="33.83"/>
        <filter val="33.9"/>
        <filter val="34"/>
        <filter val="34.1"/>
        <filter val="34.27"/>
        <filter val="34.3"/>
        <filter val="34.49"/>
        <filter val="34.7"/>
        <filter val="34.89"/>
        <filter val="35"/>
        <filter val="35.76"/>
        <filter val="35.8"/>
        <filter val="35.9"/>
        <filter val="36.7"/>
        <filter val="37"/>
        <filter val="37.1"/>
        <filter val="38"/>
        <filter val="38.2"/>
        <filter val="38.4"/>
        <filter val="38.7"/>
        <filter val="38.91"/>
        <filter val="39"/>
        <filter val="39.62"/>
        <filter val="4"/>
        <filter val="4.04"/>
        <filter val="4.07"/>
        <filter val="4.2"/>
        <filter val="4.3"/>
        <filter val="4.6"/>
        <filter val="4.67"/>
        <filter val="4.8"/>
        <filter val="4.9"/>
        <filter val="42"/>
        <filter val="42.18"/>
        <filter val="42.74"/>
        <filter val="42.77"/>
        <filter val="42.79"/>
        <filter val="42.92"/>
        <filter val="43"/>
        <filter val="43.7"/>
        <filter val="44"/>
        <filter val="44.1"/>
        <filter val="45"/>
        <filter val="45.4"/>
        <filter val="45.69"/>
        <filter val="45.76"/>
        <filter val="46.1"/>
        <filter val="46.2"/>
        <filter val="47"/>
        <filter val="47.8"/>
        <filter val="48"/>
        <filter val="48.49"/>
        <filter val="48.7"/>
        <filter val="49"/>
        <filter val="49.35"/>
        <filter val="49.7"/>
        <filter val="5"/>
        <filter val="5.13"/>
        <filter val="5.17"/>
        <filter val="5.2"/>
        <filter val="5.25"/>
        <filter val="5.5"/>
        <filter val="5.93"/>
        <filter val="5.97"/>
        <filter val="50"/>
        <filter val="50.9"/>
        <filter val="51"/>
        <filter val="51.4"/>
        <filter val="52.1"/>
        <filter val="52.63"/>
        <filter val="53"/>
        <filter val="53.2"/>
        <filter val="54"/>
        <filter val="55"/>
        <filter val="56.81"/>
        <filter val="57.8"/>
        <filter val="58"/>
        <filter val="58.85"/>
        <filter val="59.2"/>
        <filter val="6"/>
        <filter val="6.2"/>
        <filter val="6.6"/>
        <filter val="6.72"/>
        <filter val="6.8"/>
        <filter val="60"/>
        <filter val="60.9"/>
        <filter val="61.5"/>
        <filter val="64"/>
        <filter val="65"/>
        <filter val="66"/>
        <filter val="66.5"/>
        <filter val="66.85"/>
        <filter val="68.2"/>
        <filter val="7"/>
        <filter val="7.2"/>
        <filter val="7.21"/>
        <filter val="7.27"/>
        <filter val="7.3"/>
        <filter val="7.4"/>
        <filter val="7.5"/>
        <filter val="7.66"/>
        <filter val="70"/>
        <filter val="70.81"/>
        <filter val="71"/>
        <filter val="71.24"/>
        <filter val="71.6"/>
        <filter val="71.65"/>
        <filter val="71.8"/>
        <filter val="76"/>
        <filter val="77"/>
        <filter val="77.02"/>
        <filter val="79.4"/>
        <filter val="79.55"/>
        <filter val="8"/>
        <filter val="8.01"/>
        <filter val="8.2"/>
        <filter val="8.3"/>
        <filter val="8.34"/>
        <filter val="8.37"/>
        <filter val="8.4"/>
        <filter val="8.5"/>
        <filter val="8.6"/>
        <filter val="8.7"/>
        <filter val="8.8"/>
        <filter val="8.9"/>
        <filter val="8.96"/>
        <filter val="83.2"/>
        <filter val="85"/>
        <filter val="88"/>
        <filter val="88.59"/>
        <filter val="88.66"/>
        <filter val="9"/>
        <filter val="9.018"/>
        <filter val="9.16"/>
        <filter val="9.27"/>
        <filter val="9.3"/>
        <filter val="9.4"/>
        <filter val="9.5"/>
        <filter val="9.6"/>
        <filter val="9.8"/>
        <filter val="9.9"/>
        <filter val="9.95"/>
        <filter val="93"/>
        <filter val="96"/>
        <filter val="96.53"/>
        <filter val="97.14"/>
      </filters>
    </filterColumn>
  </autoFilter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  <pageSetUpPr fitToPage="1"/>
  </sheetPr>
  <dimension ref="A1"/>
  <sheetViews>
    <sheetView workbookViewId="0"/>
  </sheetViews>
  <sheetFormatPr defaultColWidth="12.5703125" defaultRowHeight="15.75" customHeight="1"/>
  <sheetData/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B8"/>
  <sheetViews>
    <sheetView workbookViewId="0"/>
  </sheetViews>
  <sheetFormatPr defaultColWidth="12.5703125" defaultRowHeight="15.75" customHeight="1"/>
  <cols>
    <col min="1" max="1" width="14.5703125" customWidth="1"/>
  </cols>
  <sheetData>
    <row r="1" spans="1:2">
      <c r="A1" s="7" t="s">
        <v>2281</v>
      </c>
    </row>
    <row r="2" spans="1:2">
      <c r="A2" s="7"/>
    </row>
    <row r="3" spans="1:2">
      <c r="A3" s="7" t="s">
        <v>1880</v>
      </c>
      <c r="B3" s="8">
        <v>1852</v>
      </c>
    </row>
    <row r="4" spans="1:2">
      <c r="A4" s="7" t="s">
        <v>2282</v>
      </c>
      <c r="B4" s="8">
        <v>2470</v>
      </c>
    </row>
    <row r="5" spans="1:2">
      <c r="A5" s="7" t="s">
        <v>2283</v>
      </c>
      <c r="B5" s="8">
        <v>2110</v>
      </c>
    </row>
    <row r="6" spans="1:2">
      <c r="A6" s="7" t="s">
        <v>2284</v>
      </c>
      <c r="B6" s="8">
        <v>2609</v>
      </c>
    </row>
    <row r="7" spans="1:2">
      <c r="A7" s="7" t="s">
        <v>2285</v>
      </c>
      <c r="B7" s="8">
        <v>2909</v>
      </c>
    </row>
    <row r="8" spans="1:2">
      <c r="A8" s="7" t="s">
        <v>2286</v>
      </c>
      <c r="B8" s="8">
        <v>8117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O2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5" customWidth="1"/>
    <col min="2" max="2" width="17" customWidth="1"/>
    <col min="3" max="3" width="13.140625" customWidth="1"/>
    <col min="7" max="7" width="14" customWidth="1"/>
    <col min="8" max="8" width="15.140625" customWidth="1"/>
    <col min="9" max="9" width="14.28515625" customWidth="1"/>
    <col min="10" max="10" width="14.85546875" customWidth="1"/>
    <col min="11" max="11" width="20.85546875" customWidth="1"/>
    <col min="13" max="13" width="8.5703125" customWidth="1"/>
    <col min="14" max="15" width="8.42578125" customWidth="1"/>
  </cols>
  <sheetData>
    <row r="1" spans="1:15">
      <c r="A1" s="15" t="s">
        <v>1967</v>
      </c>
      <c r="B1" s="16" t="s">
        <v>8</v>
      </c>
      <c r="C1" s="140" t="s">
        <v>2287</v>
      </c>
      <c r="D1" s="140" t="s">
        <v>67</v>
      </c>
      <c r="E1" s="16" t="s">
        <v>68</v>
      </c>
      <c r="F1" s="16" t="s">
        <v>69</v>
      </c>
      <c r="G1" s="16" t="s">
        <v>70</v>
      </c>
      <c r="H1" s="16" t="s">
        <v>71</v>
      </c>
      <c r="I1" s="16" t="s">
        <v>72</v>
      </c>
      <c r="J1" s="16" t="s">
        <v>73</v>
      </c>
      <c r="K1" s="17" t="s">
        <v>2288</v>
      </c>
    </row>
    <row r="2" spans="1:15">
      <c r="A2" s="18">
        <v>99796406</v>
      </c>
      <c r="B2" s="19" t="s">
        <v>86</v>
      </c>
      <c r="C2" s="141">
        <v>3880</v>
      </c>
      <c r="D2" s="142">
        <v>2</v>
      </c>
      <c r="E2" s="19">
        <v>2.2000000000000002</v>
      </c>
      <c r="F2" s="19">
        <v>0.59</v>
      </c>
      <c r="G2" s="19">
        <v>58</v>
      </c>
      <c r="H2" s="19">
        <v>426</v>
      </c>
      <c r="I2" s="19">
        <v>103</v>
      </c>
      <c r="J2" s="19">
        <v>194</v>
      </c>
      <c r="K2" s="143">
        <f t="shared" ref="K2:K218" si="0">G2*1.5</f>
        <v>87</v>
      </c>
      <c r="M2" s="144">
        <f t="shared" ref="M2:N2" si="1">(H2+200)/1000</f>
        <v>0.626</v>
      </c>
      <c r="N2" s="144">
        <f t="shared" si="1"/>
        <v>0.30299999999999999</v>
      </c>
      <c r="O2" s="144">
        <f t="shared" ref="O2:O218" si="2">M2*N2</f>
        <v>0.18967799999999999</v>
      </c>
    </row>
    <row r="3" spans="1:15">
      <c r="A3" s="145">
        <v>99796407</v>
      </c>
      <c r="B3" s="146" t="s">
        <v>92</v>
      </c>
      <c r="C3" s="147">
        <v>3947</v>
      </c>
      <c r="D3" s="148">
        <v>2</v>
      </c>
      <c r="E3" s="146">
        <v>3</v>
      </c>
      <c r="F3" s="146">
        <v>0.59</v>
      </c>
      <c r="G3" s="146">
        <v>68</v>
      </c>
      <c r="H3" s="146">
        <v>504</v>
      </c>
      <c r="I3" s="146">
        <v>103</v>
      </c>
      <c r="J3" s="146">
        <v>194</v>
      </c>
      <c r="K3" s="149">
        <f t="shared" si="0"/>
        <v>102</v>
      </c>
      <c r="M3" s="144">
        <f t="shared" ref="M3:N3" si="3">(H3+200)/1000</f>
        <v>0.70399999999999996</v>
      </c>
      <c r="N3" s="144">
        <f t="shared" si="3"/>
        <v>0.30299999999999999</v>
      </c>
      <c r="O3" s="144">
        <f t="shared" si="2"/>
        <v>0.21331199999999997</v>
      </c>
    </row>
    <row r="4" spans="1:15">
      <c r="A4" s="18">
        <v>99796408</v>
      </c>
      <c r="B4" s="19" t="s">
        <v>99</v>
      </c>
      <c r="C4" s="141">
        <v>5470</v>
      </c>
      <c r="D4" s="142">
        <v>2</v>
      </c>
      <c r="E4" s="19">
        <v>4</v>
      </c>
      <c r="F4" s="19">
        <v>0.59</v>
      </c>
      <c r="G4" s="19">
        <v>77</v>
      </c>
      <c r="H4" s="19">
        <v>504</v>
      </c>
      <c r="I4" s="19">
        <v>141</v>
      </c>
      <c r="J4" s="19">
        <v>194</v>
      </c>
      <c r="K4" s="143">
        <f t="shared" si="0"/>
        <v>115.5</v>
      </c>
      <c r="M4" s="144">
        <f t="shared" ref="M4:N4" si="4">(H4+200)/1000</f>
        <v>0.70399999999999996</v>
      </c>
      <c r="N4" s="144">
        <f t="shared" si="4"/>
        <v>0.34100000000000003</v>
      </c>
      <c r="O4" s="144">
        <f t="shared" si="2"/>
        <v>0.240064</v>
      </c>
    </row>
    <row r="5" spans="1:15">
      <c r="A5" s="145">
        <v>99796409</v>
      </c>
      <c r="B5" s="146" t="s">
        <v>124</v>
      </c>
      <c r="C5" s="147">
        <v>4397</v>
      </c>
      <c r="D5" s="148">
        <v>2</v>
      </c>
      <c r="E5" s="146">
        <v>5.5</v>
      </c>
      <c r="F5" s="146">
        <v>0.59</v>
      </c>
      <c r="G5" s="146">
        <v>117</v>
      </c>
      <c r="H5" s="146">
        <v>593</v>
      </c>
      <c r="I5" s="146">
        <v>141</v>
      </c>
      <c r="J5" s="146">
        <v>194</v>
      </c>
      <c r="K5" s="149">
        <f t="shared" si="0"/>
        <v>175.5</v>
      </c>
      <c r="M5" s="144">
        <f t="shared" ref="M5:N5" si="5">(H5+200)/1000</f>
        <v>0.79300000000000004</v>
      </c>
      <c r="N5" s="144">
        <f t="shared" si="5"/>
        <v>0.34100000000000003</v>
      </c>
      <c r="O5" s="144">
        <f t="shared" si="2"/>
        <v>0.27041300000000001</v>
      </c>
    </row>
    <row r="6" spans="1:15">
      <c r="A6" s="18">
        <v>99796410</v>
      </c>
      <c r="B6" s="19" t="s">
        <v>102</v>
      </c>
      <c r="C6" s="141">
        <v>4489</v>
      </c>
      <c r="D6" s="142">
        <v>2</v>
      </c>
      <c r="E6" s="19">
        <v>4</v>
      </c>
      <c r="F6" s="19">
        <v>0.68</v>
      </c>
      <c r="G6" s="19">
        <v>82</v>
      </c>
      <c r="H6" s="19">
        <v>503.5</v>
      </c>
      <c r="I6" s="19">
        <v>141</v>
      </c>
      <c r="J6" s="19">
        <v>194</v>
      </c>
      <c r="K6" s="143">
        <f t="shared" si="0"/>
        <v>123</v>
      </c>
      <c r="M6" s="144">
        <f t="shared" ref="M6:N6" si="6">(H6+200)/1000</f>
        <v>0.70350000000000001</v>
      </c>
      <c r="N6" s="144">
        <f t="shared" si="6"/>
        <v>0.34100000000000003</v>
      </c>
      <c r="O6" s="144">
        <f t="shared" si="2"/>
        <v>0.23989350000000001</v>
      </c>
    </row>
    <row r="7" spans="1:15">
      <c r="A7" s="145">
        <v>99796411</v>
      </c>
      <c r="B7" s="146" t="s">
        <v>128</v>
      </c>
      <c r="C7" s="147">
        <v>4715</v>
      </c>
      <c r="D7" s="148">
        <v>2</v>
      </c>
      <c r="E7" s="146">
        <v>5.5</v>
      </c>
      <c r="F7" s="146">
        <v>0.68</v>
      </c>
      <c r="G7" s="146">
        <v>122</v>
      </c>
      <c r="H7" s="146">
        <v>592.5</v>
      </c>
      <c r="I7" s="146">
        <v>141</v>
      </c>
      <c r="J7" s="146">
        <v>194</v>
      </c>
      <c r="K7" s="149">
        <f t="shared" si="0"/>
        <v>183</v>
      </c>
      <c r="M7" s="144">
        <f t="shared" ref="M7:N7" si="7">(H7+200)/1000</f>
        <v>0.79249999999999998</v>
      </c>
      <c r="N7" s="144">
        <f t="shared" si="7"/>
        <v>0.34100000000000003</v>
      </c>
      <c r="O7" s="144">
        <f t="shared" si="2"/>
        <v>0.2702425</v>
      </c>
    </row>
    <row r="8" spans="1:15">
      <c r="A8" s="18">
        <v>99796412</v>
      </c>
      <c r="B8" s="19" t="s">
        <v>135</v>
      </c>
      <c r="C8" s="141">
        <v>5104</v>
      </c>
      <c r="D8" s="142">
        <v>2</v>
      </c>
      <c r="E8" s="19">
        <v>7.5</v>
      </c>
      <c r="F8" s="19">
        <v>0.68</v>
      </c>
      <c r="G8" s="19">
        <v>130</v>
      </c>
      <c r="H8" s="19">
        <v>592.5</v>
      </c>
      <c r="I8" s="19">
        <v>141</v>
      </c>
      <c r="J8" s="19">
        <v>194</v>
      </c>
      <c r="K8" s="143">
        <f t="shared" si="0"/>
        <v>195</v>
      </c>
      <c r="M8" s="144">
        <f t="shared" ref="M8:N8" si="8">(H8+200)/1000</f>
        <v>0.79249999999999998</v>
      </c>
      <c r="N8" s="144">
        <f t="shared" si="8"/>
        <v>0.34100000000000003</v>
      </c>
      <c r="O8" s="144">
        <f t="shared" si="2"/>
        <v>0.2702425</v>
      </c>
    </row>
    <row r="9" spans="1:15">
      <c r="A9" s="145">
        <v>99796413</v>
      </c>
      <c r="B9" s="146" t="s">
        <v>89</v>
      </c>
      <c r="C9" s="147">
        <v>6029</v>
      </c>
      <c r="D9" s="148">
        <v>2</v>
      </c>
      <c r="E9" s="146">
        <v>11</v>
      </c>
      <c r="F9" s="146">
        <v>0.68</v>
      </c>
      <c r="G9" s="146">
        <v>166</v>
      </c>
      <c r="H9" s="146">
        <v>810.5</v>
      </c>
      <c r="I9" s="146">
        <v>269</v>
      </c>
      <c r="J9" s="146">
        <v>340</v>
      </c>
      <c r="K9" s="149">
        <f t="shared" si="0"/>
        <v>249</v>
      </c>
      <c r="M9" s="144">
        <f t="shared" ref="M9:N9" si="9">(H9+200)/1000</f>
        <v>1.0105</v>
      </c>
      <c r="N9" s="144">
        <f t="shared" si="9"/>
        <v>0.46899999999999997</v>
      </c>
      <c r="O9" s="144">
        <f t="shared" si="2"/>
        <v>0.47392449999999997</v>
      </c>
    </row>
    <row r="10" spans="1:15">
      <c r="A10" s="18">
        <v>99796414</v>
      </c>
      <c r="B10" s="19" t="s">
        <v>129</v>
      </c>
      <c r="C10" s="141">
        <v>5137</v>
      </c>
      <c r="D10" s="142">
        <v>2</v>
      </c>
      <c r="E10" s="19">
        <v>5.5</v>
      </c>
      <c r="F10" s="19">
        <v>0.65</v>
      </c>
      <c r="G10" s="19">
        <v>123</v>
      </c>
      <c r="H10" s="19">
        <v>612.5</v>
      </c>
      <c r="I10" s="19">
        <v>141</v>
      </c>
      <c r="J10" s="19">
        <v>216</v>
      </c>
      <c r="K10" s="143">
        <f t="shared" si="0"/>
        <v>184.5</v>
      </c>
      <c r="M10" s="144">
        <f t="shared" ref="M10:N10" si="10">(H10+200)/1000</f>
        <v>0.8125</v>
      </c>
      <c r="N10" s="144">
        <f t="shared" si="10"/>
        <v>0.34100000000000003</v>
      </c>
      <c r="O10" s="144">
        <f t="shared" si="2"/>
        <v>0.27706250000000004</v>
      </c>
    </row>
    <row r="11" spans="1:15">
      <c r="A11" s="145">
        <v>99796415</v>
      </c>
      <c r="B11" s="146" t="s">
        <v>136</v>
      </c>
      <c r="C11" s="147">
        <v>5320</v>
      </c>
      <c r="D11" s="148">
        <v>2</v>
      </c>
      <c r="E11" s="146">
        <v>7.5</v>
      </c>
      <c r="F11" s="146">
        <v>0.65</v>
      </c>
      <c r="G11" s="146">
        <v>132</v>
      </c>
      <c r="H11" s="146">
        <v>612.5</v>
      </c>
      <c r="I11" s="146">
        <v>141</v>
      </c>
      <c r="J11" s="146">
        <v>216</v>
      </c>
      <c r="K11" s="149">
        <f t="shared" si="0"/>
        <v>198</v>
      </c>
      <c r="M11" s="144">
        <f t="shared" ref="M11:N11" si="11">(H11+200)/1000</f>
        <v>0.8125</v>
      </c>
      <c r="N11" s="144">
        <f t="shared" si="11"/>
        <v>0.34100000000000003</v>
      </c>
      <c r="O11" s="144">
        <f t="shared" si="2"/>
        <v>0.27706250000000004</v>
      </c>
    </row>
    <row r="12" spans="1:15">
      <c r="A12" s="18">
        <v>99796416</v>
      </c>
      <c r="B12" s="19" t="s">
        <v>155</v>
      </c>
      <c r="C12" s="141">
        <v>6455</v>
      </c>
      <c r="D12" s="142">
        <v>2</v>
      </c>
      <c r="E12" s="19">
        <v>11</v>
      </c>
      <c r="F12" s="19">
        <v>0.65</v>
      </c>
      <c r="G12" s="19">
        <v>169</v>
      </c>
      <c r="H12" s="19">
        <v>830.5</v>
      </c>
      <c r="I12" s="19">
        <v>297</v>
      </c>
      <c r="J12" s="19">
        <v>340</v>
      </c>
      <c r="K12" s="143">
        <f t="shared" si="0"/>
        <v>253.5</v>
      </c>
      <c r="M12" s="144">
        <f t="shared" ref="M12:N12" si="12">(H12+200)/1000</f>
        <v>1.0305</v>
      </c>
      <c r="N12" s="144">
        <f t="shared" si="12"/>
        <v>0.497</v>
      </c>
      <c r="O12" s="144">
        <f t="shared" si="2"/>
        <v>0.51215849999999996</v>
      </c>
    </row>
    <row r="13" spans="1:15">
      <c r="A13" s="145">
        <v>99796417</v>
      </c>
      <c r="B13" s="146" t="s">
        <v>108</v>
      </c>
      <c r="C13" s="147">
        <v>6536</v>
      </c>
      <c r="D13" s="148">
        <v>2</v>
      </c>
      <c r="E13" s="146">
        <v>15</v>
      </c>
      <c r="F13" s="146">
        <v>0.65</v>
      </c>
      <c r="G13" s="146">
        <v>174</v>
      </c>
      <c r="H13" s="146">
        <v>830.5</v>
      </c>
      <c r="I13" s="146">
        <v>297</v>
      </c>
      <c r="J13" s="146">
        <v>340</v>
      </c>
      <c r="K13" s="149">
        <f t="shared" si="0"/>
        <v>261</v>
      </c>
      <c r="M13" s="144">
        <f t="shared" ref="M13:N13" si="13">(H13+200)/1000</f>
        <v>1.0305</v>
      </c>
      <c r="N13" s="144">
        <f t="shared" si="13"/>
        <v>0.497</v>
      </c>
      <c r="O13" s="144">
        <f t="shared" si="2"/>
        <v>0.51215849999999996</v>
      </c>
    </row>
    <row r="14" spans="1:15">
      <c r="A14" s="18">
        <v>99796418</v>
      </c>
      <c r="B14" s="19" t="s">
        <v>168</v>
      </c>
      <c r="C14" s="141">
        <v>7151</v>
      </c>
      <c r="D14" s="142">
        <v>2</v>
      </c>
      <c r="E14" s="19">
        <v>11</v>
      </c>
      <c r="F14" s="19">
        <v>0.7</v>
      </c>
      <c r="G14" s="19">
        <v>183</v>
      </c>
      <c r="H14" s="19">
        <v>830.5</v>
      </c>
      <c r="I14" s="19">
        <v>336</v>
      </c>
      <c r="J14" s="19">
        <v>405</v>
      </c>
      <c r="K14" s="143">
        <f t="shared" si="0"/>
        <v>274.5</v>
      </c>
      <c r="M14" s="144">
        <f t="shared" ref="M14:N14" si="14">(H14+200)/1000</f>
        <v>1.0305</v>
      </c>
      <c r="N14" s="144">
        <f t="shared" si="14"/>
        <v>0.53600000000000003</v>
      </c>
      <c r="O14" s="144">
        <f t="shared" si="2"/>
        <v>0.55234800000000006</v>
      </c>
    </row>
    <row r="15" spans="1:15">
      <c r="A15" s="145">
        <v>99796419</v>
      </c>
      <c r="B15" s="146" t="s">
        <v>172</v>
      </c>
      <c r="C15" s="147">
        <v>7695</v>
      </c>
      <c r="D15" s="148">
        <v>2</v>
      </c>
      <c r="E15" s="146">
        <v>15</v>
      </c>
      <c r="F15" s="146">
        <v>0.7</v>
      </c>
      <c r="G15" s="146">
        <v>188</v>
      </c>
      <c r="H15" s="146">
        <v>830.5</v>
      </c>
      <c r="I15" s="146">
        <v>336</v>
      </c>
      <c r="J15" s="146">
        <v>405</v>
      </c>
      <c r="K15" s="149">
        <f t="shared" si="0"/>
        <v>282</v>
      </c>
      <c r="M15" s="144">
        <f t="shared" ref="M15:N15" si="15">(H15+200)/1000</f>
        <v>1.0305</v>
      </c>
      <c r="N15" s="144">
        <f t="shared" si="15"/>
        <v>0.53600000000000003</v>
      </c>
      <c r="O15" s="144">
        <f t="shared" si="2"/>
        <v>0.55234800000000006</v>
      </c>
    </row>
    <row r="16" spans="1:15">
      <c r="A16" s="18">
        <v>99796420</v>
      </c>
      <c r="B16" s="19" t="s">
        <v>119</v>
      </c>
      <c r="C16" s="141">
        <v>8654</v>
      </c>
      <c r="D16" s="142">
        <v>2</v>
      </c>
      <c r="E16" s="19">
        <v>18.5</v>
      </c>
      <c r="F16" s="19">
        <v>0.7</v>
      </c>
      <c r="G16" s="19">
        <v>210</v>
      </c>
      <c r="H16" s="19">
        <v>830.5</v>
      </c>
      <c r="I16" s="19">
        <v>336</v>
      </c>
      <c r="J16" s="19">
        <v>405</v>
      </c>
      <c r="K16" s="143">
        <f t="shared" si="0"/>
        <v>315</v>
      </c>
      <c r="M16" s="144">
        <f t="shared" ref="M16:N16" si="16">(H16+200)/1000</f>
        <v>1.0305</v>
      </c>
      <c r="N16" s="144">
        <f t="shared" si="16"/>
        <v>0.53600000000000003</v>
      </c>
      <c r="O16" s="144">
        <f t="shared" si="2"/>
        <v>0.55234800000000006</v>
      </c>
    </row>
    <row r="17" spans="1:15">
      <c r="A17" s="145">
        <v>99796421</v>
      </c>
      <c r="B17" s="146" t="s">
        <v>184</v>
      </c>
      <c r="C17" s="147">
        <v>8969</v>
      </c>
      <c r="D17" s="148">
        <v>2</v>
      </c>
      <c r="E17" s="146">
        <v>22</v>
      </c>
      <c r="F17" s="146">
        <v>0.7</v>
      </c>
      <c r="G17" s="146">
        <v>253</v>
      </c>
      <c r="H17" s="146">
        <v>934.5</v>
      </c>
      <c r="I17" s="146">
        <v>336</v>
      </c>
      <c r="J17" s="146">
        <v>405</v>
      </c>
      <c r="K17" s="149">
        <f t="shared" si="0"/>
        <v>379.5</v>
      </c>
      <c r="M17" s="144">
        <f t="shared" ref="M17:N17" si="17">(H17+200)/1000</f>
        <v>1.1345000000000001</v>
      </c>
      <c r="N17" s="144">
        <f t="shared" si="17"/>
        <v>0.53600000000000003</v>
      </c>
      <c r="O17" s="144">
        <f t="shared" si="2"/>
        <v>0.60809200000000008</v>
      </c>
    </row>
    <row r="18" spans="1:15">
      <c r="A18" s="18">
        <v>99796422</v>
      </c>
      <c r="B18" s="19" t="s">
        <v>127</v>
      </c>
      <c r="C18" s="141">
        <v>10047</v>
      </c>
      <c r="D18" s="142">
        <v>2</v>
      </c>
      <c r="E18" s="19">
        <v>30</v>
      </c>
      <c r="F18" s="19">
        <v>0.7</v>
      </c>
      <c r="G18" s="19">
        <v>308</v>
      </c>
      <c r="H18" s="19">
        <v>999.5</v>
      </c>
      <c r="I18" s="19">
        <v>336</v>
      </c>
      <c r="J18" s="19">
        <v>405</v>
      </c>
      <c r="K18" s="143">
        <f t="shared" si="0"/>
        <v>462</v>
      </c>
      <c r="M18" s="144">
        <f t="shared" ref="M18:N18" si="18">(H18+200)/1000</f>
        <v>1.1995</v>
      </c>
      <c r="N18" s="144">
        <f t="shared" si="18"/>
        <v>0.53600000000000003</v>
      </c>
      <c r="O18" s="144">
        <f t="shared" si="2"/>
        <v>0.64293200000000006</v>
      </c>
    </row>
    <row r="19" spans="1:15">
      <c r="A19" s="145">
        <v>99796423</v>
      </c>
      <c r="B19" s="146" t="s">
        <v>204</v>
      </c>
      <c r="C19" s="147">
        <v>10634</v>
      </c>
      <c r="D19" s="148">
        <v>2</v>
      </c>
      <c r="E19" s="146">
        <v>22</v>
      </c>
      <c r="F19" s="146">
        <v>0.7</v>
      </c>
      <c r="G19" s="146">
        <v>284</v>
      </c>
      <c r="H19" s="146">
        <v>990</v>
      </c>
      <c r="I19" s="146">
        <v>406</v>
      </c>
      <c r="J19" s="146">
        <v>450</v>
      </c>
      <c r="K19" s="149">
        <f t="shared" si="0"/>
        <v>426</v>
      </c>
      <c r="M19" s="144">
        <f t="shared" ref="M19:N19" si="19">(H19+200)/1000</f>
        <v>1.19</v>
      </c>
      <c r="N19" s="144">
        <f t="shared" si="19"/>
        <v>0.60599999999999998</v>
      </c>
      <c r="O19" s="144">
        <f t="shared" si="2"/>
        <v>0.72113999999999989</v>
      </c>
    </row>
    <row r="20" spans="1:15">
      <c r="A20" s="18">
        <v>99796424</v>
      </c>
      <c r="B20" s="19" t="s">
        <v>215</v>
      </c>
      <c r="C20" s="141">
        <v>11628</v>
      </c>
      <c r="D20" s="142">
        <v>2</v>
      </c>
      <c r="E20" s="19">
        <v>30</v>
      </c>
      <c r="F20" s="19">
        <v>0.7</v>
      </c>
      <c r="G20" s="19">
        <v>338</v>
      </c>
      <c r="H20" s="19">
        <v>1055</v>
      </c>
      <c r="I20" s="19">
        <v>406</v>
      </c>
      <c r="J20" s="19">
        <v>450</v>
      </c>
      <c r="K20" s="143">
        <f t="shared" si="0"/>
        <v>507</v>
      </c>
      <c r="M20" s="144">
        <f t="shared" ref="M20:N20" si="20">(H20+200)/1000</f>
        <v>1.2549999999999999</v>
      </c>
      <c r="N20" s="144">
        <f t="shared" si="20"/>
        <v>0.60599999999999998</v>
      </c>
      <c r="O20" s="144">
        <f t="shared" si="2"/>
        <v>0.76052999999999993</v>
      </c>
    </row>
    <row r="21" spans="1:15">
      <c r="A21" s="145">
        <v>99796425</v>
      </c>
      <c r="B21" s="146" t="s">
        <v>222</v>
      </c>
      <c r="C21" s="147">
        <v>12524</v>
      </c>
      <c r="D21" s="148">
        <v>2</v>
      </c>
      <c r="E21" s="146">
        <v>37</v>
      </c>
      <c r="F21" s="146">
        <v>0.7</v>
      </c>
      <c r="G21" s="146">
        <v>354</v>
      </c>
      <c r="H21" s="146">
        <v>1055</v>
      </c>
      <c r="I21" s="146">
        <v>406</v>
      </c>
      <c r="J21" s="146">
        <v>450</v>
      </c>
      <c r="K21" s="149">
        <f t="shared" si="0"/>
        <v>531</v>
      </c>
      <c r="M21" s="144">
        <f t="shared" ref="M21:N21" si="21">(H21+200)/1000</f>
        <v>1.2549999999999999</v>
      </c>
      <c r="N21" s="144">
        <f t="shared" si="21"/>
        <v>0.60599999999999998</v>
      </c>
      <c r="O21" s="144">
        <f t="shared" si="2"/>
        <v>0.76052999999999993</v>
      </c>
    </row>
    <row r="22" spans="1:15">
      <c r="A22" s="18">
        <v>99796426</v>
      </c>
      <c r="B22" s="19" t="s">
        <v>244</v>
      </c>
      <c r="C22" s="141">
        <v>14017</v>
      </c>
      <c r="D22" s="142">
        <v>2</v>
      </c>
      <c r="E22" s="19">
        <v>45</v>
      </c>
      <c r="F22" s="19">
        <v>0.7</v>
      </c>
      <c r="G22" s="19">
        <v>557</v>
      </c>
      <c r="H22" s="19">
        <v>1135</v>
      </c>
      <c r="I22" s="19">
        <v>406</v>
      </c>
      <c r="J22" s="19">
        <v>450</v>
      </c>
      <c r="K22" s="143">
        <f t="shared" si="0"/>
        <v>835.5</v>
      </c>
      <c r="M22" s="144">
        <f t="shared" ref="M22:N22" si="22">(H22+200)/1000</f>
        <v>1.335</v>
      </c>
      <c r="N22" s="144">
        <f t="shared" si="22"/>
        <v>0.60599999999999998</v>
      </c>
      <c r="O22" s="144">
        <f t="shared" si="2"/>
        <v>0.80901000000000001</v>
      </c>
    </row>
    <row r="23" spans="1:15">
      <c r="A23" s="145">
        <v>99796427</v>
      </c>
      <c r="B23" s="146" t="s">
        <v>101</v>
      </c>
      <c r="C23" s="147">
        <v>4295</v>
      </c>
      <c r="D23" s="148">
        <v>2</v>
      </c>
      <c r="E23" s="146">
        <v>4</v>
      </c>
      <c r="F23" s="146">
        <v>0.7</v>
      </c>
      <c r="G23" s="146">
        <v>80</v>
      </c>
      <c r="H23" s="146">
        <v>504</v>
      </c>
      <c r="I23" s="146">
        <v>141</v>
      </c>
      <c r="J23" s="146">
        <v>194</v>
      </c>
      <c r="K23" s="149">
        <f t="shared" si="0"/>
        <v>120</v>
      </c>
      <c r="M23" s="144">
        <f t="shared" ref="M23:N23" si="23">(H23+200)/1000</f>
        <v>0.70399999999999996</v>
      </c>
      <c r="N23" s="144">
        <f t="shared" si="23"/>
        <v>0.34100000000000003</v>
      </c>
      <c r="O23" s="144">
        <f t="shared" si="2"/>
        <v>0.240064</v>
      </c>
    </row>
    <row r="24" spans="1:15">
      <c r="A24" s="18">
        <v>99801081</v>
      </c>
      <c r="B24" s="19" t="s">
        <v>126</v>
      </c>
      <c r="C24" s="141">
        <v>4650</v>
      </c>
      <c r="D24" s="142">
        <v>2</v>
      </c>
      <c r="E24" s="19">
        <v>5.5</v>
      </c>
      <c r="F24" s="19">
        <v>0.7</v>
      </c>
      <c r="G24" s="19">
        <v>119</v>
      </c>
      <c r="H24" s="19">
        <v>593</v>
      </c>
      <c r="I24" s="19">
        <v>141</v>
      </c>
      <c r="J24" s="19">
        <v>194</v>
      </c>
      <c r="K24" s="143">
        <f t="shared" si="0"/>
        <v>178.5</v>
      </c>
      <c r="M24" s="144">
        <f t="shared" ref="M24:N24" si="24">(H24+200)/1000</f>
        <v>0.79300000000000004</v>
      </c>
      <c r="N24" s="144">
        <f t="shared" si="24"/>
        <v>0.34100000000000003</v>
      </c>
      <c r="O24" s="144">
        <f t="shared" si="2"/>
        <v>0.27041300000000001</v>
      </c>
    </row>
    <row r="25" spans="1:15">
      <c r="A25" s="145">
        <v>99801082</v>
      </c>
      <c r="B25" s="146" t="s">
        <v>132</v>
      </c>
      <c r="C25" s="147">
        <v>5003</v>
      </c>
      <c r="D25" s="148">
        <v>2</v>
      </c>
      <c r="E25" s="146">
        <v>7.5</v>
      </c>
      <c r="F25" s="146">
        <v>0.7</v>
      </c>
      <c r="G25" s="146">
        <v>128</v>
      </c>
      <c r="H25" s="146">
        <v>593</v>
      </c>
      <c r="I25" s="146">
        <v>141</v>
      </c>
      <c r="J25" s="146">
        <v>194</v>
      </c>
      <c r="K25" s="149">
        <f t="shared" si="0"/>
        <v>192</v>
      </c>
      <c r="M25" s="144">
        <f t="shared" ref="M25:N25" si="25">(H25+200)/1000</f>
        <v>0.79300000000000004</v>
      </c>
      <c r="N25" s="144">
        <f t="shared" si="25"/>
        <v>0.34100000000000003</v>
      </c>
      <c r="O25" s="144">
        <f t="shared" si="2"/>
        <v>0.27041300000000001</v>
      </c>
    </row>
    <row r="26" spans="1:15">
      <c r="A26" s="18">
        <v>99801083</v>
      </c>
      <c r="B26" s="19" t="s">
        <v>151</v>
      </c>
      <c r="C26" s="141">
        <v>7288</v>
      </c>
      <c r="D26" s="142">
        <v>2</v>
      </c>
      <c r="E26" s="19">
        <v>11</v>
      </c>
      <c r="F26" s="19">
        <v>0.7</v>
      </c>
      <c r="G26" s="19">
        <v>164</v>
      </c>
      <c r="H26" s="19">
        <v>811</v>
      </c>
      <c r="I26" s="19">
        <v>251</v>
      </c>
      <c r="J26" s="19">
        <v>292</v>
      </c>
      <c r="K26" s="143">
        <f t="shared" si="0"/>
        <v>246</v>
      </c>
      <c r="M26" s="144">
        <f t="shared" ref="M26:N26" si="26">(H26+200)/1000</f>
        <v>1.0109999999999999</v>
      </c>
      <c r="N26" s="144">
        <f t="shared" si="26"/>
        <v>0.45100000000000001</v>
      </c>
      <c r="O26" s="144">
        <f t="shared" si="2"/>
        <v>0.45596099999999995</v>
      </c>
    </row>
    <row r="27" spans="1:15">
      <c r="A27" s="145">
        <v>99801085</v>
      </c>
      <c r="B27" s="146" t="s">
        <v>157</v>
      </c>
      <c r="C27" s="147">
        <v>6442</v>
      </c>
      <c r="D27" s="148">
        <v>2</v>
      </c>
      <c r="E27" s="146">
        <v>11</v>
      </c>
      <c r="F27" s="146">
        <v>0.7</v>
      </c>
      <c r="G27" s="146">
        <v>171</v>
      </c>
      <c r="H27" s="146">
        <v>830.5</v>
      </c>
      <c r="I27" s="146">
        <v>305</v>
      </c>
      <c r="J27" s="146">
        <v>360</v>
      </c>
      <c r="K27" s="149">
        <f t="shared" si="0"/>
        <v>256.5</v>
      </c>
      <c r="M27" s="144">
        <f t="shared" ref="M27:N27" si="27">(H27+200)/1000</f>
        <v>1.0305</v>
      </c>
      <c r="N27" s="144">
        <f t="shared" si="27"/>
        <v>0.505</v>
      </c>
      <c r="O27" s="144">
        <f t="shared" si="2"/>
        <v>0.52040249999999999</v>
      </c>
    </row>
    <row r="28" spans="1:15">
      <c r="A28" s="18">
        <v>99801086</v>
      </c>
      <c r="B28" s="19" t="s">
        <v>162</v>
      </c>
      <c r="C28" s="141">
        <v>6957</v>
      </c>
      <c r="D28" s="142">
        <v>2</v>
      </c>
      <c r="E28" s="19">
        <v>15</v>
      </c>
      <c r="F28" s="19">
        <v>0.7</v>
      </c>
      <c r="G28" s="19">
        <v>176</v>
      </c>
      <c r="H28" s="19">
        <v>830.5</v>
      </c>
      <c r="I28" s="19">
        <v>305</v>
      </c>
      <c r="J28" s="19">
        <v>360</v>
      </c>
      <c r="K28" s="143">
        <f t="shared" si="0"/>
        <v>264</v>
      </c>
      <c r="M28" s="144">
        <f t="shared" ref="M28:N28" si="28">(H28+200)/1000</f>
        <v>1.0305</v>
      </c>
      <c r="N28" s="144">
        <f t="shared" si="28"/>
        <v>0.505</v>
      </c>
      <c r="O28" s="144">
        <f t="shared" si="2"/>
        <v>0.52040249999999999</v>
      </c>
    </row>
    <row r="29" spans="1:15">
      <c r="A29" s="145">
        <v>99801087</v>
      </c>
      <c r="B29" s="146" t="s">
        <v>111</v>
      </c>
      <c r="C29" s="147">
        <v>7753</v>
      </c>
      <c r="D29" s="148">
        <v>2</v>
      </c>
      <c r="E29" s="146">
        <v>18.5</v>
      </c>
      <c r="F29" s="146">
        <v>0.7</v>
      </c>
      <c r="G29" s="146">
        <v>198</v>
      </c>
      <c r="H29" s="146">
        <v>830.5</v>
      </c>
      <c r="I29" s="146">
        <v>305</v>
      </c>
      <c r="J29" s="146">
        <v>360</v>
      </c>
      <c r="K29" s="149">
        <f t="shared" si="0"/>
        <v>297</v>
      </c>
      <c r="M29" s="144">
        <f t="shared" ref="M29:N29" si="29">(H29+200)/1000</f>
        <v>1.0305</v>
      </c>
      <c r="N29" s="144">
        <f t="shared" si="29"/>
        <v>0.505</v>
      </c>
      <c r="O29" s="144">
        <f t="shared" si="2"/>
        <v>0.52040249999999999</v>
      </c>
    </row>
    <row r="30" spans="1:15">
      <c r="A30" s="18">
        <v>99801088</v>
      </c>
      <c r="B30" s="19" t="s">
        <v>118</v>
      </c>
      <c r="C30" s="141">
        <v>8183</v>
      </c>
      <c r="D30" s="142">
        <v>2</v>
      </c>
      <c r="E30" s="19">
        <v>22</v>
      </c>
      <c r="F30" s="19">
        <v>0.7</v>
      </c>
      <c r="G30" s="19">
        <v>241</v>
      </c>
      <c r="H30" s="19">
        <v>934.5</v>
      </c>
      <c r="I30" s="19">
        <v>305</v>
      </c>
      <c r="J30" s="19">
        <v>360</v>
      </c>
      <c r="K30" s="143">
        <f t="shared" si="0"/>
        <v>361.5</v>
      </c>
      <c r="M30" s="144">
        <f t="shared" ref="M30:N30" si="30">(H30+200)/1000</f>
        <v>1.1345000000000001</v>
      </c>
      <c r="N30" s="144">
        <f t="shared" si="30"/>
        <v>0.505</v>
      </c>
      <c r="O30" s="144">
        <f t="shared" si="2"/>
        <v>0.5729225</v>
      </c>
    </row>
    <row r="31" spans="1:15">
      <c r="A31" s="145">
        <v>99801089</v>
      </c>
      <c r="B31" s="146" t="s">
        <v>177</v>
      </c>
      <c r="C31" s="147">
        <v>8420</v>
      </c>
      <c r="D31" s="148">
        <v>2</v>
      </c>
      <c r="E31" s="146">
        <v>15</v>
      </c>
      <c r="F31" s="146">
        <v>0.67</v>
      </c>
      <c r="G31" s="146">
        <v>194</v>
      </c>
      <c r="H31" s="146">
        <v>855.5</v>
      </c>
      <c r="I31" s="146">
        <v>344</v>
      </c>
      <c r="J31" s="146">
        <v>405</v>
      </c>
      <c r="K31" s="149">
        <f t="shared" si="0"/>
        <v>291</v>
      </c>
      <c r="M31" s="144">
        <f t="shared" ref="M31:N31" si="31">(H31+200)/1000</f>
        <v>1.0555000000000001</v>
      </c>
      <c r="N31" s="144">
        <f t="shared" si="31"/>
        <v>0.54400000000000004</v>
      </c>
      <c r="O31" s="144">
        <f t="shared" si="2"/>
        <v>0.57419200000000015</v>
      </c>
    </row>
    <row r="32" spans="1:15">
      <c r="A32" s="18">
        <v>99801090</v>
      </c>
      <c r="B32" s="19" t="s">
        <v>180</v>
      </c>
      <c r="C32" s="141">
        <v>8920</v>
      </c>
      <c r="D32" s="142">
        <v>2</v>
      </c>
      <c r="E32" s="19">
        <v>18.5</v>
      </c>
      <c r="F32" s="19">
        <v>0.67</v>
      </c>
      <c r="G32" s="19">
        <v>215</v>
      </c>
      <c r="H32" s="19">
        <v>855.5</v>
      </c>
      <c r="I32" s="19">
        <v>344</v>
      </c>
      <c r="J32" s="19">
        <v>405</v>
      </c>
      <c r="K32" s="143">
        <f t="shared" si="0"/>
        <v>322.5</v>
      </c>
      <c r="M32" s="144">
        <f t="shared" ref="M32:N32" si="32">(H32+200)/1000</f>
        <v>1.0555000000000001</v>
      </c>
      <c r="N32" s="144">
        <f t="shared" si="32"/>
        <v>0.54400000000000004</v>
      </c>
      <c r="O32" s="144">
        <f t="shared" si="2"/>
        <v>0.57419200000000015</v>
      </c>
    </row>
    <row r="33" spans="1:15">
      <c r="A33" s="145">
        <v>99801091</v>
      </c>
      <c r="B33" s="146" t="s">
        <v>185</v>
      </c>
      <c r="C33" s="147">
        <v>9251</v>
      </c>
      <c r="D33" s="148">
        <v>2</v>
      </c>
      <c r="E33" s="146">
        <v>22</v>
      </c>
      <c r="F33" s="146">
        <v>0.67</v>
      </c>
      <c r="G33" s="146">
        <v>255</v>
      </c>
      <c r="H33" s="146">
        <v>959.5</v>
      </c>
      <c r="I33" s="146">
        <v>344</v>
      </c>
      <c r="J33" s="146">
        <v>405</v>
      </c>
      <c r="K33" s="149">
        <f t="shared" si="0"/>
        <v>382.5</v>
      </c>
      <c r="M33" s="144">
        <f t="shared" ref="M33:N33" si="33">(H33+200)/1000</f>
        <v>1.1595</v>
      </c>
      <c r="N33" s="144">
        <f t="shared" si="33"/>
        <v>0.54400000000000004</v>
      </c>
      <c r="O33" s="144">
        <f t="shared" si="2"/>
        <v>0.630768</v>
      </c>
    </row>
    <row r="34" spans="1:15">
      <c r="A34" s="18">
        <v>99801092</v>
      </c>
      <c r="B34" s="19" t="s">
        <v>208</v>
      </c>
      <c r="C34" s="141">
        <v>10657</v>
      </c>
      <c r="D34" s="142">
        <v>2</v>
      </c>
      <c r="E34" s="19">
        <v>30</v>
      </c>
      <c r="F34" s="19">
        <v>0.67</v>
      </c>
      <c r="G34" s="19">
        <v>311</v>
      </c>
      <c r="H34" s="19">
        <v>1024.5</v>
      </c>
      <c r="I34" s="19">
        <v>344</v>
      </c>
      <c r="J34" s="19">
        <v>405</v>
      </c>
      <c r="K34" s="143">
        <f t="shared" si="0"/>
        <v>466.5</v>
      </c>
      <c r="M34" s="144">
        <f t="shared" ref="M34:N34" si="34">(H34+200)/1000</f>
        <v>1.2244999999999999</v>
      </c>
      <c r="N34" s="144">
        <f t="shared" si="34"/>
        <v>0.54400000000000004</v>
      </c>
      <c r="O34" s="144">
        <f t="shared" si="2"/>
        <v>0.66612800000000005</v>
      </c>
    </row>
    <row r="35" spans="1:15">
      <c r="A35" s="145">
        <v>99801093</v>
      </c>
      <c r="B35" s="146" t="s">
        <v>143</v>
      </c>
      <c r="C35" s="147">
        <v>11243</v>
      </c>
      <c r="D35" s="148">
        <v>2</v>
      </c>
      <c r="E35" s="146">
        <v>37</v>
      </c>
      <c r="F35" s="146">
        <v>0.67</v>
      </c>
      <c r="G35" s="146">
        <v>326</v>
      </c>
      <c r="H35" s="146">
        <v>1024.5</v>
      </c>
      <c r="I35" s="146">
        <v>344</v>
      </c>
      <c r="J35" s="146">
        <v>405</v>
      </c>
      <c r="K35" s="149">
        <f t="shared" si="0"/>
        <v>489</v>
      </c>
      <c r="M35" s="144">
        <f t="shared" ref="M35:N35" si="35">(H35+200)/1000</f>
        <v>1.2244999999999999</v>
      </c>
      <c r="N35" s="144">
        <f t="shared" si="35"/>
        <v>0.54400000000000004</v>
      </c>
      <c r="O35" s="144">
        <f t="shared" si="2"/>
        <v>0.66612800000000005</v>
      </c>
    </row>
    <row r="36" spans="1:15">
      <c r="A36" s="18">
        <v>99801094</v>
      </c>
      <c r="B36" s="19" t="s">
        <v>217</v>
      </c>
      <c r="C36" s="141">
        <v>10671</v>
      </c>
      <c r="D36" s="142">
        <v>2</v>
      </c>
      <c r="E36" s="19">
        <v>30</v>
      </c>
      <c r="F36" s="19">
        <v>0.49</v>
      </c>
      <c r="G36" s="19">
        <v>344</v>
      </c>
      <c r="H36" s="19">
        <v>1055</v>
      </c>
      <c r="I36" s="19">
        <v>417</v>
      </c>
      <c r="J36" s="19">
        <v>505</v>
      </c>
      <c r="K36" s="143">
        <f t="shared" si="0"/>
        <v>516</v>
      </c>
      <c r="M36" s="144">
        <f t="shared" ref="M36:N36" si="36">(H36+200)/1000</f>
        <v>1.2549999999999999</v>
      </c>
      <c r="N36" s="144">
        <f t="shared" si="36"/>
        <v>0.61699999999999999</v>
      </c>
      <c r="O36" s="144">
        <f t="shared" si="2"/>
        <v>0.77433499999999988</v>
      </c>
    </row>
    <row r="37" spans="1:15">
      <c r="A37" s="145">
        <v>99801095</v>
      </c>
      <c r="B37" s="146" t="s">
        <v>224</v>
      </c>
      <c r="C37" s="147">
        <v>11632</v>
      </c>
      <c r="D37" s="148">
        <v>2</v>
      </c>
      <c r="E37" s="146">
        <v>37</v>
      </c>
      <c r="F37" s="146">
        <v>0.49</v>
      </c>
      <c r="G37" s="146">
        <v>360</v>
      </c>
      <c r="H37" s="146">
        <v>1055</v>
      </c>
      <c r="I37" s="146">
        <v>417</v>
      </c>
      <c r="J37" s="146">
        <v>505</v>
      </c>
      <c r="K37" s="149">
        <f t="shared" si="0"/>
        <v>540</v>
      </c>
      <c r="M37" s="144">
        <f t="shared" ref="M37:N37" si="37">(H37+200)/1000</f>
        <v>1.2549999999999999</v>
      </c>
      <c r="N37" s="144">
        <f t="shared" si="37"/>
        <v>0.61699999999999999</v>
      </c>
      <c r="O37" s="144">
        <f t="shared" si="2"/>
        <v>0.77433499999999988</v>
      </c>
    </row>
    <row r="38" spans="1:15">
      <c r="A38" s="18">
        <v>99801096</v>
      </c>
      <c r="B38" s="19" t="s">
        <v>245</v>
      </c>
      <c r="C38" s="141">
        <v>12865</v>
      </c>
      <c r="D38" s="142">
        <v>2</v>
      </c>
      <c r="E38" s="19">
        <v>45</v>
      </c>
      <c r="F38" s="19">
        <v>0.49</v>
      </c>
      <c r="G38" s="19">
        <v>564</v>
      </c>
      <c r="H38" s="19">
        <v>1135</v>
      </c>
      <c r="I38" s="19">
        <v>417</v>
      </c>
      <c r="J38" s="19">
        <v>505</v>
      </c>
      <c r="K38" s="143">
        <f t="shared" si="0"/>
        <v>846</v>
      </c>
      <c r="M38" s="144">
        <f t="shared" ref="M38:N38" si="38">(H38+200)/1000</f>
        <v>1.335</v>
      </c>
      <c r="N38" s="144">
        <f t="shared" si="38"/>
        <v>0.61699999999999999</v>
      </c>
      <c r="O38" s="144">
        <f t="shared" si="2"/>
        <v>0.82369499999999995</v>
      </c>
    </row>
    <row r="39" spans="1:15">
      <c r="A39" s="145">
        <v>99801097</v>
      </c>
      <c r="B39" s="146" t="s">
        <v>260</v>
      </c>
      <c r="C39" s="147">
        <v>16050</v>
      </c>
      <c r="D39" s="148">
        <v>2</v>
      </c>
      <c r="E39" s="146">
        <v>55</v>
      </c>
      <c r="F39" s="146">
        <v>0.49</v>
      </c>
      <c r="G39" s="146">
        <v>667</v>
      </c>
      <c r="H39" s="146">
        <v>1211</v>
      </c>
      <c r="I39" s="146">
        <v>417</v>
      </c>
      <c r="J39" s="146">
        <v>505</v>
      </c>
      <c r="K39" s="149">
        <f t="shared" si="0"/>
        <v>1000.5</v>
      </c>
      <c r="M39" s="144">
        <f t="shared" ref="M39:N39" si="39">(H39+200)/1000</f>
        <v>1.411</v>
      </c>
      <c r="N39" s="144">
        <f t="shared" si="39"/>
        <v>0.61699999999999999</v>
      </c>
      <c r="O39" s="144">
        <f t="shared" si="2"/>
        <v>0.870587</v>
      </c>
    </row>
    <row r="40" spans="1:15">
      <c r="A40" s="18">
        <v>99801098</v>
      </c>
      <c r="B40" s="19" t="s">
        <v>130</v>
      </c>
      <c r="C40" s="141">
        <v>4798</v>
      </c>
      <c r="D40" s="142">
        <v>2</v>
      </c>
      <c r="E40" s="19">
        <v>5.5</v>
      </c>
      <c r="F40" s="19">
        <v>0.7</v>
      </c>
      <c r="G40" s="19">
        <v>123</v>
      </c>
      <c r="H40" s="19">
        <v>613</v>
      </c>
      <c r="I40" s="19">
        <v>141</v>
      </c>
      <c r="J40" s="19">
        <v>216</v>
      </c>
      <c r="K40" s="143">
        <f t="shared" si="0"/>
        <v>184.5</v>
      </c>
      <c r="M40" s="144">
        <f t="shared" ref="M40:N40" si="40">(H40+200)/1000</f>
        <v>0.81299999999999994</v>
      </c>
      <c r="N40" s="144">
        <f t="shared" si="40"/>
        <v>0.34100000000000003</v>
      </c>
      <c r="O40" s="144">
        <f t="shared" si="2"/>
        <v>0.27723300000000001</v>
      </c>
    </row>
    <row r="41" spans="1:15">
      <c r="A41" s="145">
        <v>99801099</v>
      </c>
      <c r="B41" s="146" t="s">
        <v>137</v>
      </c>
      <c r="C41" s="147">
        <v>5099</v>
      </c>
      <c r="D41" s="148">
        <v>2</v>
      </c>
      <c r="E41" s="146">
        <v>7.5</v>
      </c>
      <c r="F41" s="146">
        <v>0.7</v>
      </c>
      <c r="G41" s="146">
        <v>132</v>
      </c>
      <c r="H41" s="146">
        <v>613</v>
      </c>
      <c r="I41" s="146">
        <v>141</v>
      </c>
      <c r="J41" s="146">
        <v>216</v>
      </c>
      <c r="K41" s="149">
        <f t="shared" si="0"/>
        <v>198</v>
      </c>
      <c r="M41" s="144">
        <f t="shared" ref="M41:N41" si="41">(H41+200)/1000</f>
        <v>0.81299999999999994</v>
      </c>
      <c r="N41" s="144">
        <f t="shared" si="41"/>
        <v>0.34100000000000003</v>
      </c>
      <c r="O41" s="144">
        <f t="shared" si="2"/>
        <v>0.27723300000000001</v>
      </c>
    </row>
    <row r="42" spans="1:15">
      <c r="A42" s="18">
        <v>99801100</v>
      </c>
      <c r="B42" s="19" t="s">
        <v>153</v>
      </c>
      <c r="C42" s="141">
        <v>6062</v>
      </c>
      <c r="D42" s="142">
        <v>2</v>
      </c>
      <c r="E42" s="19">
        <v>11</v>
      </c>
      <c r="F42" s="19">
        <v>0.7</v>
      </c>
      <c r="G42" s="19">
        <v>168</v>
      </c>
      <c r="H42" s="19">
        <v>831</v>
      </c>
      <c r="I42" s="19">
        <v>276</v>
      </c>
      <c r="J42" s="19">
        <v>340</v>
      </c>
      <c r="K42" s="143">
        <f t="shared" si="0"/>
        <v>252</v>
      </c>
      <c r="M42" s="144">
        <f t="shared" ref="M42:N42" si="42">(H42+200)/1000</f>
        <v>1.0309999999999999</v>
      </c>
      <c r="N42" s="144">
        <f t="shared" si="42"/>
        <v>0.47599999999999998</v>
      </c>
      <c r="O42" s="144">
        <f t="shared" si="2"/>
        <v>0.49075599999999991</v>
      </c>
    </row>
    <row r="43" spans="1:15">
      <c r="A43" s="145">
        <v>99801101</v>
      </c>
      <c r="B43" s="146" t="s">
        <v>160</v>
      </c>
      <c r="C43" s="147">
        <v>6430</v>
      </c>
      <c r="D43" s="148">
        <v>2</v>
      </c>
      <c r="E43" s="146">
        <v>15</v>
      </c>
      <c r="F43" s="146">
        <v>0.7</v>
      </c>
      <c r="G43" s="146">
        <v>173</v>
      </c>
      <c r="H43" s="146">
        <v>831</v>
      </c>
      <c r="I43" s="146">
        <v>276</v>
      </c>
      <c r="J43" s="146">
        <v>340</v>
      </c>
      <c r="K43" s="149">
        <f t="shared" si="0"/>
        <v>259.5</v>
      </c>
      <c r="M43" s="144">
        <f t="shared" ref="M43:N43" si="43">(H43+200)/1000</f>
        <v>1.0309999999999999</v>
      </c>
      <c r="N43" s="144">
        <f t="shared" si="43"/>
        <v>0.47599999999999998</v>
      </c>
      <c r="O43" s="144">
        <f t="shared" si="2"/>
        <v>0.49075599999999991</v>
      </c>
    </row>
    <row r="44" spans="1:15">
      <c r="A44" s="18">
        <v>99801102</v>
      </c>
      <c r="B44" s="19" t="s">
        <v>167</v>
      </c>
      <c r="C44" s="141">
        <v>6894</v>
      </c>
      <c r="D44" s="142">
        <v>2</v>
      </c>
      <c r="E44" s="19">
        <v>11</v>
      </c>
      <c r="F44" s="19">
        <v>0.7</v>
      </c>
      <c r="G44" s="19">
        <v>181</v>
      </c>
      <c r="H44" s="19">
        <v>830.5</v>
      </c>
      <c r="I44" s="19">
        <v>322</v>
      </c>
      <c r="J44" s="19">
        <v>405</v>
      </c>
      <c r="K44" s="143">
        <f t="shared" si="0"/>
        <v>271.5</v>
      </c>
      <c r="M44" s="144">
        <f t="shared" ref="M44:N44" si="44">(H44+200)/1000</f>
        <v>1.0305</v>
      </c>
      <c r="N44" s="144">
        <f t="shared" si="44"/>
        <v>0.52200000000000002</v>
      </c>
      <c r="O44" s="144">
        <f t="shared" si="2"/>
        <v>0.53792099999999998</v>
      </c>
    </row>
    <row r="45" spans="1:15">
      <c r="A45" s="145">
        <v>99801103</v>
      </c>
      <c r="B45" s="146" t="s">
        <v>170</v>
      </c>
      <c r="C45" s="147">
        <v>7287</v>
      </c>
      <c r="D45" s="148">
        <v>2</v>
      </c>
      <c r="E45" s="146">
        <v>15</v>
      </c>
      <c r="F45" s="146">
        <v>0.7</v>
      </c>
      <c r="G45" s="146">
        <v>186</v>
      </c>
      <c r="H45" s="146">
        <v>830.5</v>
      </c>
      <c r="I45" s="146">
        <v>322</v>
      </c>
      <c r="J45" s="146">
        <v>405</v>
      </c>
      <c r="K45" s="149">
        <f t="shared" si="0"/>
        <v>279</v>
      </c>
      <c r="M45" s="144">
        <f t="shared" ref="M45:N45" si="45">(H45+200)/1000</f>
        <v>1.0305</v>
      </c>
      <c r="N45" s="144">
        <f t="shared" si="45"/>
        <v>0.52200000000000002</v>
      </c>
      <c r="O45" s="144">
        <f t="shared" si="2"/>
        <v>0.53792099999999998</v>
      </c>
    </row>
    <row r="46" spans="1:15">
      <c r="A46" s="18">
        <v>99801104</v>
      </c>
      <c r="B46" s="19" t="s">
        <v>179</v>
      </c>
      <c r="C46" s="141">
        <v>8293</v>
      </c>
      <c r="D46" s="142">
        <v>2</v>
      </c>
      <c r="E46" s="19">
        <v>18.5</v>
      </c>
      <c r="F46" s="19">
        <v>0.7</v>
      </c>
      <c r="G46" s="19">
        <v>208</v>
      </c>
      <c r="H46" s="19">
        <v>830.5</v>
      </c>
      <c r="I46" s="19">
        <v>322</v>
      </c>
      <c r="J46" s="19">
        <v>405</v>
      </c>
      <c r="K46" s="143">
        <f t="shared" si="0"/>
        <v>312</v>
      </c>
      <c r="M46" s="144">
        <f t="shared" ref="M46:N46" si="46">(H46+200)/1000</f>
        <v>1.0305</v>
      </c>
      <c r="N46" s="144">
        <f t="shared" si="46"/>
        <v>0.52200000000000002</v>
      </c>
      <c r="O46" s="144">
        <f t="shared" si="2"/>
        <v>0.53792099999999998</v>
      </c>
    </row>
    <row r="47" spans="1:15">
      <c r="A47" s="145">
        <v>99801105</v>
      </c>
      <c r="B47" s="146" t="s">
        <v>182</v>
      </c>
      <c r="C47" s="147">
        <v>9039</v>
      </c>
      <c r="D47" s="148">
        <v>2</v>
      </c>
      <c r="E47" s="146">
        <v>22</v>
      </c>
      <c r="F47" s="146">
        <v>0.7</v>
      </c>
      <c r="G47" s="146">
        <v>251</v>
      </c>
      <c r="H47" s="146">
        <v>934.5</v>
      </c>
      <c r="I47" s="146">
        <v>322</v>
      </c>
      <c r="J47" s="146">
        <v>405</v>
      </c>
      <c r="K47" s="149">
        <f t="shared" si="0"/>
        <v>376.5</v>
      </c>
      <c r="M47" s="144">
        <f t="shared" ref="M47:N47" si="47">(H47+200)/1000</f>
        <v>1.1345000000000001</v>
      </c>
      <c r="N47" s="144">
        <f t="shared" si="47"/>
        <v>0.52200000000000002</v>
      </c>
      <c r="O47" s="144">
        <f t="shared" si="2"/>
        <v>0.5922090000000001</v>
      </c>
    </row>
    <row r="48" spans="1:15">
      <c r="A48" s="18">
        <v>99801107</v>
      </c>
      <c r="B48" s="19" t="s">
        <v>131</v>
      </c>
      <c r="C48" s="141">
        <v>10863</v>
      </c>
      <c r="D48" s="142">
        <v>2</v>
      </c>
      <c r="E48" s="19">
        <v>37</v>
      </c>
      <c r="F48" s="19">
        <v>0.7</v>
      </c>
      <c r="G48" s="19">
        <v>321</v>
      </c>
      <c r="H48" s="19">
        <v>999.5</v>
      </c>
      <c r="I48" s="19">
        <v>322</v>
      </c>
      <c r="J48" s="19">
        <v>405</v>
      </c>
      <c r="K48" s="143">
        <f t="shared" si="0"/>
        <v>481.5</v>
      </c>
      <c r="M48" s="144">
        <f t="shared" ref="M48:N48" si="48">(H48+200)/1000</f>
        <v>1.1995</v>
      </c>
      <c r="N48" s="144">
        <f t="shared" si="48"/>
        <v>0.52200000000000002</v>
      </c>
      <c r="O48" s="144">
        <f t="shared" si="2"/>
        <v>0.626139</v>
      </c>
    </row>
    <row r="49" spans="1:15">
      <c r="A49" s="145">
        <v>99801108</v>
      </c>
      <c r="B49" s="146" t="s">
        <v>213</v>
      </c>
      <c r="C49" s="147">
        <v>10714</v>
      </c>
      <c r="D49" s="148">
        <v>2</v>
      </c>
      <c r="E49" s="146">
        <v>30</v>
      </c>
      <c r="F49" s="146">
        <v>0.56999999999999995</v>
      </c>
      <c r="G49" s="146">
        <v>332</v>
      </c>
      <c r="H49" s="146">
        <v>1055</v>
      </c>
      <c r="I49" s="146">
        <v>383</v>
      </c>
      <c r="J49" s="146">
        <v>450</v>
      </c>
      <c r="K49" s="149">
        <f t="shared" si="0"/>
        <v>498</v>
      </c>
      <c r="M49" s="144">
        <f t="shared" ref="M49:N49" si="49">(H49+200)/1000</f>
        <v>1.2549999999999999</v>
      </c>
      <c r="N49" s="144">
        <f t="shared" si="49"/>
        <v>0.58299999999999996</v>
      </c>
      <c r="O49" s="144">
        <f t="shared" si="2"/>
        <v>0.7316649999999999</v>
      </c>
    </row>
    <row r="50" spans="1:15">
      <c r="A50" s="18">
        <v>99801109</v>
      </c>
      <c r="B50" s="19" t="s">
        <v>218</v>
      </c>
      <c r="C50" s="141">
        <v>11440</v>
      </c>
      <c r="D50" s="142">
        <v>2</v>
      </c>
      <c r="E50" s="19">
        <v>37</v>
      </c>
      <c r="F50" s="19">
        <v>0.56999999999999995</v>
      </c>
      <c r="G50" s="19">
        <v>348</v>
      </c>
      <c r="H50" s="19">
        <v>1055</v>
      </c>
      <c r="I50" s="19">
        <v>383</v>
      </c>
      <c r="J50" s="19">
        <v>450</v>
      </c>
      <c r="K50" s="143">
        <f t="shared" si="0"/>
        <v>522</v>
      </c>
      <c r="M50" s="144">
        <f t="shared" ref="M50:N50" si="50">(H50+200)/1000</f>
        <v>1.2549999999999999</v>
      </c>
      <c r="N50" s="144">
        <f t="shared" si="50"/>
        <v>0.58299999999999996</v>
      </c>
      <c r="O50" s="144">
        <f t="shared" si="2"/>
        <v>0.7316649999999999</v>
      </c>
    </row>
    <row r="51" spans="1:15">
      <c r="A51" s="145">
        <v>99801110</v>
      </c>
      <c r="B51" s="146" t="s">
        <v>242</v>
      </c>
      <c r="C51" s="147">
        <v>13984</v>
      </c>
      <c r="D51" s="148">
        <v>2</v>
      </c>
      <c r="E51" s="146">
        <v>45</v>
      </c>
      <c r="F51" s="146">
        <v>0.56999999999999995</v>
      </c>
      <c r="G51" s="146">
        <v>550</v>
      </c>
      <c r="H51" s="146">
        <v>1135</v>
      </c>
      <c r="I51" s="146">
        <v>383</v>
      </c>
      <c r="J51" s="146">
        <v>450</v>
      </c>
      <c r="K51" s="149">
        <f t="shared" si="0"/>
        <v>825</v>
      </c>
      <c r="M51" s="144">
        <f t="shared" ref="M51:N51" si="51">(H51+200)/1000</f>
        <v>1.335</v>
      </c>
      <c r="N51" s="144">
        <f t="shared" si="51"/>
        <v>0.58299999999999996</v>
      </c>
      <c r="O51" s="144">
        <f t="shared" si="2"/>
        <v>0.77830499999999991</v>
      </c>
    </row>
    <row r="52" spans="1:15">
      <c r="A52" s="18">
        <v>99801111</v>
      </c>
      <c r="B52" s="19" t="s">
        <v>258</v>
      </c>
      <c r="C52" s="141">
        <v>15635</v>
      </c>
      <c r="D52" s="142">
        <v>2</v>
      </c>
      <c r="E52" s="19">
        <v>55</v>
      </c>
      <c r="F52" s="19">
        <v>0.56999999999999995</v>
      </c>
      <c r="G52" s="19">
        <v>654</v>
      </c>
      <c r="H52" s="19">
        <v>1211</v>
      </c>
      <c r="I52" s="19">
        <v>383</v>
      </c>
      <c r="J52" s="19">
        <v>450</v>
      </c>
      <c r="K52" s="143">
        <f t="shared" si="0"/>
        <v>981</v>
      </c>
      <c r="M52" s="144">
        <f t="shared" ref="M52:N52" si="52">(H52+200)/1000</f>
        <v>1.411</v>
      </c>
      <c r="N52" s="144">
        <f t="shared" si="52"/>
        <v>0.58299999999999996</v>
      </c>
      <c r="O52" s="144">
        <f t="shared" si="2"/>
        <v>0.82261299999999993</v>
      </c>
    </row>
    <row r="53" spans="1:15">
      <c r="A53" s="145">
        <v>99801112</v>
      </c>
      <c r="B53" s="146" t="s">
        <v>161</v>
      </c>
      <c r="C53" s="147">
        <v>18906</v>
      </c>
      <c r="D53" s="148">
        <v>2</v>
      </c>
      <c r="E53" s="146">
        <v>75</v>
      </c>
      <c r="F53" s="146">
        <v>0.56999999999999995</v>
      </c>
      <c r="G53" s="146">
        <v>684</v>
      </c>
      <c r="H53" s="146">
        <v>1211</v>
      </c>
      <c r="I53" s="146">
        <v>383</v>
      </c>
      <c r="J53" s="146">
        <v>450</v>
      </c>
      <c r="K53" s="149">
        <f t="shared" si="0"/>
        <v>1026</v>
      </c>
      <c r="M53" s="144">
        <f t="shared" ref="M53:N53" si="53">(H53+200)/1000</f>
        <v>1.411</v>
      </c>
      <c r="N53" s="144">
        <f t="shared" si="53"/>
        <v>0.58299999999999996</v>
      </c>
      <c r="O53" s="144">
        <f t="shared" si="2"/>
        <v>0.82261299999999993</v>
      </c>
    </row>
    <row r="54" spans="1:15">
      <c r="A54" s="18">
        <v>99801113</v>
      </c>
      <c r="B54" s="19" t="s">
        <v>263</v>
      </c>
      <c r="C54" s="141">
        <v>18067</v>
      </c>
      <c r="D54" s="142">
        <v>2</v>
      </c>
      <c r="E54" s="19">
        <v>55</v>
      </c>
      <c r="F54" s="19">
        <v>0.7</v>
      </c>
      <c r="G54" s="19">
        <v>671</v>
      </c>
      <c r="H54" s="19">
        <v>1209</v>
      </c>
      <c r="I54" s="19">
        <v>430</v>
      </c>
      <c r="J54" s="19">
        <v>505</v>
      </c>
      <c r="K54" s="143">
        <f t="shared" si="0"/>
        <v>1006.5</v>
      </c>
      <c r="M54" s="144">
        <f t="shared" ref="M54:N54" si="54">(H54+200)/1000</f>
        <v>1.409</v>
      </c>
      <c r="N54" s="144">
        <f t="shared" si="54"/>
        <v>0.63</v>
      </c>
      <c r="O54" s="144">
        <f t="shared" si="2"/>
        <v>0.88767000000000007</v>
      </c>
    </row>
    <row r="55" spans="1:15">
      <c r="A55" s="145">
        <v>99801114</v>
      </c>
      <c r="B55" s="146" t="s">
        <v>269</v>
      </c>
      <c r="C55" s="147">
        <v>21388</v>
      </c>
      <c r="D55" s="148">
        <v>2</v>
      </c>
      <c r="E55" s="146">
        <v>75</v>
      </c>
      <c r="F55" s="146">
        <v>0.7</v>
      </c>
      <c r="G55" s="146">
        <v>702</v>
      </c>
      <c r="H55" s="146">
        <v>1209</v>
      </c>
      <c r="I55" s="146">
        <v>430</v>
      </c>
      <c r="J55" s="146">
        <v>505</v>
      </c>
      <c r="K55" s="149">
        <f t="shared" si="0"/>
        <v>1053</v>
      </c>
      <c r="M55" s="144">
        <f t="shared" ref="M55:N55" si="55">(H55+200)/1000</f>
        <v>1.409</v>
      </c>
      <c r="N55" s="144">
        <f t="shared" si="55"/>
        <v>0.63</v>
      </c>
      <c r="O55" s="144">
        <f t="shared" si="2"/>
        <v>0.88767000000000007</v>
      </c>
    </row>
    <row r="56" spans="1:15">
      <c r="A56" s="18">
        <v>99801115</v>
      </c>
      <c r="B56" s="19" t="s">
        <v>279</v>
      </c>
      <c r="C56" s="141">
        <v>24179</v>
      </c>
      <c r="D56" s="142">
        <v>2</v>
      </c>
      <c r="E56" s="19">
        <v>90</v>
      </c>
      <c r="F56" s="19">
        <v>0.7</v>
      </c>
      <c r="G56" s="19">
        <v>1010</v>
      </c>
      <c r="H56" s="19">
        <v>1322</v>
      </c>
      <c r="I56" s="19">
        <v>430</v>
      </c>
      <c r="J56" s="19">
        <v>505</v>
      </c>
      <c r="K56" s="143">
        <f t="shared" si="0"/>
        <v>1515</v>
      </c>
      <c r="M56" s="144">
        <f t="shared" ref="M56:N56" si="56">(H56+200)/1000</f>
        <v>1.522</v>
      </c>
      <c r="N56" s="144">
        <f t="shared" si="56"/>
        <v>0.63</v>
      </c>
      <c r="O56" s="144">
        <f t="shared" si="2"/>
        <v>0.95886000000000005</v>
      </c>
    </row>
    <row r="57" spans="1:15">
      <c r="A57" s="145">
        <v>99801116</v>
      </c>
      <c r="B57" s="146" t="s">
        <v>144</v>
      </c>
      <c r="C57" s="147">
        <v>6482</v>
      </c>
      <c r="D57" s="148">
        <v>2</v>
      </c>
      <c r="E57" s="146">
        <v>7.5</v>
      </c>
      <c r="F57" s="146">
        <v>0.7</v>
      </c>
      <c r="G57" s="146">
        <v>136</v>
      </c>
      <c r="H57" s="146">
        <v>613</v>
      </c>
      <c r="I57" s="146">
        <v>145</v>
      </c>
      <c r="J57" s="146">
        <v>216</v>
      </c>
      <c r="K57" s="149">
        <f t="shared" si="0"/>
        <v>204</v>
      </c>
      <c r="M57" s="144">
        <f t="shared" ref="M57:N57" si="57">(H57+200)/1000</f>
        <v>0.81299999999999994</v>
      </c>
      <c r="N57" s="144">
        <f t="shared" si="57"/>
        <v>0.34499999999999997</v>
      </c>
      <c r="O57" s="144">
        <f t="shared" si="2"/>
        <v>0.28048499999999998</v>
      </c>
    </row>
    <row r="58" spans="1:15">
      <c r="A58" s="18">
        <v>99801117</v>
      </c>
      <c r="B58" s="19" t="s">
        <v>159</v>
      </c>
      <c r="C58" s="141">
        <v>6799</v>
      </c>
      <c r="D58" s="142">
        <v>2</v>
      </c>
      <c r="E58" s="19">
        <v>11</v>
      </c>
      <c r="F58" s="19">
        <v>0.7</v>
      </c>
      <c r="G58" s="19">
        <v>173</v>
      </c>
      <c r="H58" s="19">
        <v>831</v>
      </c>
      <c r="I58" s="19">
        <v>288</v>
      </c>
      <c r="J58" s="19">
        <v>360</v>
      </c>
      <c r="K58" s="143">
        <f t="shared" si="0"/>
        <v>259.5</v>
      </c>
      <c r="M58" s="144">
        <f t="shared" ref="M58:N58" si="58">(H58+200)/1000</f>
        <v>1.0309999999999999</v>
      </c>
      <c r="N58" s="144">
        <f t="shared" si="58"/>
        <v>0.48799999999999999</v>
      </c>
      <c r="O58" s="144">
        <f t="shared" si="2"/>
        <v>0.50312799999999991</v>
      </c>
    </row>
    <row r="59" spans="1:15">
      <c r="A59" s="145">
        <v>99801118</v>
      </c>
      <c r="B59" s="146" t="s">
        <v>164</v>
      </c>
      <c r="C59" s="147">
        <v>7553</v>
      </c>
      <c r="D59" s="148">
        <v>2</v>
      </c>
      <c r="E59" s="146">
        <v>15</v>
      </c>
      <c r="F59" s="146">
        <v>0.7</v>
      </c>
      <c r="G59" s="146">
        <v>179</v>
      </c>
      <c r="H59" s="146">
        <v>831</v>
      </c>
      <c r="I59" s="146">
        <v>288</v>
      </c>
      <c r="J59" s="146">
        <v>360</v>
      </c>
      <c r="K59" s="149">
        <f t="shared" si="0"/>
        <v>268.5</v>
      </c>
      <c r="M59" s="144">
        <f t="shared" ref="M59:N59" si="59">(H59+200)/1000</f>
        <v>1.0309999999999999</v>
      </c>
      <c r="N59" s="144">
        <f t="shared" si="59"/>
        <v>0.48799999999999999</v>
      </c>
      <c r="O59" s="144">
        <f t="shared" si="2"/>
        <v>0.50312799999999991</v>
      </c>
    </row>
    <row r="60" spans="1:15">
      <c r="A60" s="18">
        <v>99801119</v>
      </c>
      <c r="B60" s="19" t="s">
        <v>171</v>
      </c>
      <c r="C60" s="141">
        <v>7955</v>
      </c>
      <c r="D60" s="142">
        <v>2</v>
      </c>
      <c r="E60" s="19">
        <v>11</v>
      </c>
      <c r="F60" s="19">
        <v>0.7</v>
      </c>
      <c r="G60" s="19">
        <v>187</v>
      </c>
      <c r="H60" s="19">
        <v>856</v>
      </c>
      <c r="I60" s="19">
        <v>321</v>
      </c>
      <c r="J60" s="19">
        <v>405</v>
      </c>
      <c r="K60" s="143">
        <f t="shared" si="0"/>
        <v>280.5</v>
      </c>
      <c r="M60" s="144">
        <f t="shared" ref="M60:N60" si="60">(H60+200)/1000</f>
        <v>1.056</v>
      </c>
      <c r="N60" s="144">
        <f t="shared" si="60"/>
        <v>0.52100000000000002</v>
      </c>
      <c r="O60" s="144">
        <f t="shared" si="2"/>
        <v>0.550176</v>
      </c>
    </row>
    <row r="61" spans="1:15">
      <c r="A61" s="145">
        <v>99801120</v>
      </c>
      <c r="B61" s="146" t="s">
        <v>174</v>
      </c>
      <c r="C61" s="147">
        <v>8384</v>
      </c>
      <c r="D61" s="148">
        <v>2</v>
      </c>
      <c r="E61" s="146">
        <v>15</v>
      </c>
      <c r="F61" s="146">
        <v>0.7</v>
      </c>
      <c r="G61" s="146">
        <v>190</v>
      </c>
      <c r="H61" s="146">
        <v>856</v>
      </c>
      <c r="I61" s="146">
        <v>321</v>
      </c>
      <c r="J61" s="146">
        <v>405</v>
      </c>
      <c r="K61" s="149">
        <f t="shared" si="0"/>
        <v>285</v>
      </c>
      <c r="M61" s="144">
        <f t="shared" ref="M61:N61" si="61">(H61+200)/1000</f>
        <v>1.056</v>
      </c>
      <c r="N61" s="144">
        <f t="shared" si="61"/>
        <v>0.52100000000000002</v>
      </c>
      <c r="O61" s="144">
        <f t="shared" si="2"/>
        <v>0.550176</v>
      </c>
    </row>
    <row r="62" spans="1:15">
      <c r="A62" s="18">
        <v>99801121</v>
      </c>
      <c r="B62" s="19" t="s">
        <v>120</v>
      </c>
      <c r="C62" s="141">
        <v>8886</v>
      </c>
      <c r="D62" s="142">
        <v>2</v>
      </c>
      <c r="E62" s="19">
        <v>18.5</v>
      </c>
      <c r="F62" s="19">
        <v>0.7</v>
      </c>
      <c r="G62" s="19">
        <v>213</v>
      </c>
      <c r="H62" s="19">
        <v>856</v>
      </c>
      <c r="I62" s="19">
        <v>321</v>
      </c>
      <c r="J62" s="19">
        <v>405</v>
      </c>
      <c r="K62" s="143">
        <f t="shared" si="0"/>
        <v>319.5</v>
      </c>
      <c r="M62" s="144">
        <f t="shared" ref="M62:N62" si="62">(H62+200)/1000</f>
        <v>1.056</v>
      </c>
      <c r="N62" s="144">
        <f t="shared" si="62"/>
        <v>0.52100000000000002</v>
      </c>
      <c r="O62" s="144">
        <f t="shared" si="2"/>
        <v>0.550176</v>
      </c>
    </row>
    <row r="63" spans="1:15">
      <c r="A63" s="145">
        <v>99801122</v>
      </c>
      <c r="B63" s="146" t="s">
        <v>183</v>
      </c>
      <c r="C63" s="147">
        <v>10224</v>
      </c>
      <c r="D63" s="148">
        <v>2</v>
      </c>
      <c r="E63" s="146">
        <v>22</v>
      </c>
      <c r="F63" s="146">
        <v>0.7</v>
      </c>
      <c r="G63" s="146">
        <v>252</v>
      </c>
      <c r="H63" s="146">
        <v>960</v>
      </c>
      <c r="I63" s="146">
        <v>321</v>
      </c>
      <c r="J63" s="146">
        <v>405</v>
      </c>
      <c r="K63" s="149">
        <f t="shared" si="0"/>
        <v>378</v>
      </c>
      <c r="M63" s="144">
        <f t="shared" ref="M63:N63" si="63">(H63+200)/1000</f>
        <v>1.1599999999999999</v>
      </c>
      <c r="N63" s="144">
        <f t="shared" si="63"/>
        <v>0.52100000000000002</v>
      </c>
      <c r="O63" s="144">
        <f t="shared" si="2"/>
        <v>0.60436000000000001</v>
      </c>
    </row>
    <row r="64" spans="1:15">
      <c r="A64" s="18">
        <v>99801123</v>
      </c>
      <c r="B64" s="19" t="s">
        <v>138</v>
      </c>
      <c r="C64" s="141">
        <v>12515</v>
      </c>
      <c r="D64" s="142">
        <v>2</v>
      </c>
      <c r="E64" s="19">
        <v>30</v>
      </c>
      <c r="F64" s="19">
        <v>0.7</v>
      </c>
      <c r="G64" s="19">
        <v>307</v>
      </c>
      <c r="H64" s="19">
        <v>1025</v>
      </c>
      <c r="I64" s="19">
        <v>321</v>
      </c>
      <c r="J64" s="19">
        <v>405</v>
      </c>
      <c r="K64" s="143">
        <f t="shared" si="0"/>
        <v>460.5</v>
      </c>
      <c r="M64" s="144">
        <f t="shared" ref="M64:N64" si="64">(H64+200)/1000</f>
        <v>1.2250000000000001</v>
      </c>
      <c r="N64" s="144">
        <f t="shared" si="64"/>
        <v>0.52100000000000002</v>
      </c>
      <c r="O64" s="144">
        <f t="shared" si="2"/>
        <v>0.63822500000000004</v>
      </c>
    </row>
    <row r="65" spans="1:15">
      <c r="A65" s="145">
        <v>99801124</v>
      </c>
      <c r="B65" s="146" t="s">
        <v>191</v>
      </c>
      <c r="C65" s="147">
        <v>9014</v>
      </c>
      <c r="D65" s="148">
        <v>2</v>
      </c>
      <c r="E65" s="146">
        <v>22</v>
      </c>
      <c r="F65" s="146">
        <v>0.7</v>
      </c>
      <c r="G65" s="146">
        <v>265</v>
      </c>
      <c r="H65" s="146">
        <v>990</v>
      </c>
      <c r="I65" s="146">
        <v>354</v>
      </c>
      <c r="J65" s="146">
        <v>430</v>
      </c>
      <c r="K65" s="149">
        <f t="shared" si="0"/>
        <v>397.5</v>
      </c>
      <c r="M65" s="144">
        <f t="shared" ref="M65:N65" si="65">(H65+200)/1000</f>
        <v>1.19</v>
      </c>
      <c r="N65" s="144">
        <f t="shared" si="65"/>
        <v>0.55400000000000005</v>
      </c>
      <c r="O65" s="144">
        <f t="shared" si="2"/>
        <v>0.65926000000000007</v>
      </c>
    </row>
    <row r="66" spans="1:15">
      <c r="A66" s="18">
        <v>99801125</v>
      </c>
      <c r="B66" s="19" t="s">
        <v>209</v>
      </c>
      <c r="C66" s="141">
        <v>10460</v>
      </c>
      <c r="D66" s="142">
        <v>2</v>
      </c>
      <c r="E66" s="19">
        <v>30</v>
      </c>
      <c r="F66" s="19">
        <v>0.7</v>
      </c>
      <c r="G66" s="19">
        <v>317</v>
      </c>
      <c r="H66" s="19">
        <v>1055</v>
      </c>
      <c r="I66" s="19">
        <v>354</v>
      </c>
      <c r="J66" s="19">
        <v>430</v>
      </c>
      <c r="K66" s="143">
        <f t="shared" si="0"/>
        <v>475.5</v>
      </c>
      <c r="M66" s="144">
        <f t="shared" ref="M66:N66" si="66">(H66+200)/1000</f>
        <v>1.2549999999999999</v>
      </c>
      <c r="N66" s="144">
        <f t="shared" si="66"/>
        <v>0.55400000000000005</v>
      </c>
      <c r="O66" s="144">
        <f t="shared" si="2"/>
        <v>0.69527000000000005</v>
      </c>
    </row>
    <row r="67" spans="1:15">
      <c r="A67" s="145">
        <v>99801126</v>
      </c>
      <c r="B67" s="146" t="s">
        <v>214</v>
      </c>
      <c r="C67" s="147">
        <v>11619</v>
      </c>
      <c r="D67" s="148">
        <v>2</v>
      </c>
      <c r="E67" s="146">
        <v>37</v>
      </c>
      <c r="F67" s="146">
        <v>0.7</v>
      </c>
      <c r="G67" s="146">
        <v>332</v>
      </c>
      <c r="H67" s="146">
        <v>1055</v>
      </c>
      <c r="I67" s="146">
        <v>354</v>
      </c>
      <c r="J67" s="146">
        <v>430</v>
      </c>
      <c r="K67" s="149">
        <f t="shared" si="0"/>
        <v>498</v>
      </c>
      <c r="M67" s="144">
        <f t="shared" ref="M67:N67" si="67">(H67+200)/1000</f>
        <v>1.2549999999999999</v>
      </c>
      <c r="N67" s="144">
        <f t="shared" si="67"/>
        <v>0.55400000000000005</v>
      </c>
      <c r="O67" s="144">
        <f t="shared" si="2"/>
        <v>0.69527000000000005</v>
      </c>
    </row>
    <row r="68" spans="1:15">
      <c r="A68" s="18">
        <v>99801127</v>
      </c>
      <c r="B68" s="19" t="s">
        <v>240</v>
      </c>
      <c r="C68" s="141">
        <v>13028</v>
      </c>
      <c r="D68" s="142">
        <v>2</v>
      </c>
      <c r="E68" s="19">
        <v>45</v>
      </c>
      <c r="F68" s="19">
        <v>0.7</v>
      </c>
      <c r="G68" s="19">
        <v>535</v>
      </c>
      <c r="H68" s="19">
        <v>1135</v>
      </c>
      <c r="I68" s="19">
        <v>354</v>
      </c>
      <c r="J68" s="19">
        <v>430</v>
      </c>
      <c r="K68" s="143">
        <f t="shared" si="0"/>
        <v>802.5</v>
      </c>
      <c r="M68" s="144">
        <f t="shared" ref="M68:N68" si="68">(H68+200)/1000</f>
        <v>1.335</v>
      </c>
      <c r="N68" s="144">
        <f t="shared" si="68"/>
        <v>0.55400000000000005</v>
      </c>
      <c r="O68" s="144">
        <f t="shared" si="2"/>
        <v>0.73959000000000008</v>
      </c>
    </row>
    <row r="69" spans="1:15">
      <c r="A69" s="145">
        <v>99801128</v>
      </c>
      <c r="B69" s="146" t="s">
        <v>165</v>
      </c>
      <c r="C69" s="147">
        <v>19274</v>
      </c>
      <c r="D69" s="148">
        <v>2</v>
      </c>
      <c r="E69" s="146">
        <v>55</v>
      </c>
      <c r="F69" s="146">
        <v>0.7</v>
      </c>
      <c r="G69" s="146">
        <v>639</v>
      </c>
      <c r="H69" s="146">
        <v>1211</v>
      </c>
      <c r="I69" s="146">
        <v>354</v>
      </c>
      <c r="J69" s="146">
        <v>430</v>
      </c>
      <c r="K69" s="149">
        <f t="shared" si="0"/>
        <v>958.5</v>
      </c>
      <c r="M69" s="144">
        <f t="shared" ref="M69:N69" si="69">(H69+200)/1000</f>
        <v>1.411</v>
      </c>
      <c r="N69" s="144">
        <f t="shared" si="69"/>
        <v>0.55400000000000005</v>
      </c>
      <c r="O69" s="144">
        <f t="shared" si="2"/>
        <v>0.78169400000000011</v>
      </c>
    </row>
    <row r="70" spans="1:15">
      <c r="A70" s="18">
        <v>99801129</v>
      </c>
      <c r="B70" s="19" t="s">
        <v>243</v>
      </c>
      <c r="C70" s="141">
        <v>14942</v>
      </c>
      <c r="D70" s="142">
        <v>2</v>
      </c>
      <c r="E70" s="19">
        <v>45</v>
      </c>
      <c r="F70" s="19">
        <v>0.7</v>
      </c>
      <c r="G70" s="19">
        <v>553</v>
      </c>
      <c r="H70" s="19">
        <v>1135</v>
      </c>
      <c r="I70" s="19">
        <v>392</v>
      </c>
      <c r="J70" s="19">
        <v>505</v>
      </c>
      <c r="K70" s="143">
        <f t="shared" si="0"/>
        <v>829.5</v>
      </c>
      <c r="M70" s="144">
        <f t="shared" ref="M70:N70" si="70">(H70+200)/1000</f>
        <v>1.335</v>
      </c>
      <c r="N70" s="144">
        <f t="shared" si="70"/>
        <v>0.59199999999999997</v>
      </c>
      <c r="O70" s="144">
        <f t="shared" si="2"/>
        <v>0.79031999999999991</v>
      </c>
    </row>
    <row r="71" spans="1:15">
      <c r="A71" s="145">
        <v>99801130</v>
      </c>
      <c r="B71" s="146" t="s">
        <v>259</v>
      </c>
      <c r="C71" s="147">
        <v>16321</v>
      </c>
      <c r="D71" s="148">
        <v>2</v>
      </c>
      <c r="E71" s="146">
        <v>55</v>
      </c>
      <c r="F71" s="146">
        <v>0.7</v>
      </c>
      <c r="G71" s="146">
        <v>657</v>
      </c>
      <c r="H71" s="146">
        <v>1211</v>
      </c>
      <c r="I71" s="146">
        <v>392</v>
      </c>
      <c r="J71" s="146">
        <v>505</v>
      </c>
      <c r="K71" s="149">
        <f t="shared" si="0"/>
        <v>985.5</v>
      </c>
      <c r="M71" s="144">
        <f t="shared" ref="M71:N71" si="71">(H71+200)/1000</f>
        <v>1.411</v>
      </c>
      <c r="N71" s="144">
        <f t="shared" si="71"/>
        <v>0.59199999999999997</v>
      </c>
      <c r="O71" s="144">
        <f t="shared" si="2"/>
        <v>0.83531199999999994</v>
      </c>
    </row>
    <row r="72" spans="1:15">
      <c r="A72" s="18">
        <v>99801132</v>
      </c>
      <c r="B72" s="19" t="s">
        <v>267</v>
      </c>
      <c r="C72" s="141">
        <v>20052</v>
      </c>
      <c r="D72" s="142">
        <v>2</v>
      </c>
      <c r="E72" s="19">
        <v>75</v>
      </c>
      <c r="F72" s="19">
        <v>0.7</v>
      </c>
      <c r="G72" s="19">
        <v>688</v>
      </c>
      <c r="H72" s="19">
        <v>1211</v>
      </c>
      <c r="I72" s="19">
        <v>392</v>
      </c>
      <c r="J72" s="19">
        <v>505</v>
      </c>
      <c r="K72" s="143">
        <f t="shared" si="0"/>
        <v>1032</v>
      </c>
      <c r="M72" s="144">
        <f t="shared" ref="M72:N72" si="72">(H72+200)/1000</f>
        <v>1.411</v>
      </c>
      <c r="N72" s="144">
        <f t="shared" si="72"/>
        <v>0.59199999999999997</v>
      </c>
      <c r="O72" s="144">
        <f t="shared" si="2"/>
        <v>0.83531199999999994</v>
      </c>
    </row>
    <row r="73" spans="1:15">
      <c r="A73" s="145">
        <v>99801133</v>
      </c>
      <c r="B73" s="146" t="s">
        <v>201</v>
      </c>
      <c r="C73" s="147">
        <v>22435</v>
      </c>
      <c r="D73" s="148">
        <v>2</v>
      </c>
      <c r="E73" s="146">
        <v>90</v>
      </c>
      <c r="F73" s="146">
        <v>0.7</v>
      </c>
      <c r="G73" s="146">
        <v>996</v>
      </c>
      <c r="H73" s="146">
        <v>1324</v>
      </c>
      <c r="I73" s="146">
        <v>392</v>
      </c>
      <c r="J73" s="146">
        <v>505</v>
      </c>
      <c r="K73" s="149">
        <f t="shared" si="0"/>
        <v>1494</v>
      </c>
      <c r="M73" s="144">
        <f t="shared" ref="M73:N73" si="73">(H73+200)/1000</f>
        <v>1.524</v>
      </c>
      <c r="N73" s="144">
        <f t="shared" si="73"/>
        <v>0.59199999999999997</v>
      </c>
      <c r="O73" s="144">
        <f t="shared" si="2"/>
        <v>0.90220800000000001</v>
      </c>
    </row>
    <row r="74" spans="1:15">
      <c r="A74" s="18">
        <v>99801134</v>
      </c>
      <c r="B74" s="19" t="s">
        <v>281</v>
      </c>
      <c r="C74" s="141">
        <v>24887</v>
      </c>
      <c r="D74" s="142">
        <v>2</v>
      </c>
      <c r="E74" s="19">
        <v>90</v>
      </c>
      <c r="F74" s="19">
        <v>0.69</v>
      </c>
      <c r="G74" s="19">
        <v>1020</v>
      </c>
      <c r="H74" s="19">
        <v>1322</v>
      </c>
      <c r="I74" s="19">
        <v>460</v>
      </c>
      <c r="J74" s="19">
        <v>565</v>
      </c>
      <c r="K74" s="143">
        <f t="shared" si="0"/>
        <v>1530</v>
      </c>
      <c r="M74" s="144">
        <f t="shared" ref="M74:N74" si="74">(H74+200)/1000</f>
        <v>1.522</v>
      </c>
      <c r="N74" s="144">
        <f t="shared" si="74"/>
        <v>0.66</v>
      </c>
      <c r="O74" s="144">
        <f t="shared" si="2"/>
        <v>1.0045200000000001</v>
      </c>
    </row>
    <row r="75" spans="1:15">
      <c r="A75" s="145">
        <v>99801135</v>
      </c>
      <c r="B75" s="146" t="s">
        <v>181</v>
      </c>
      <c r="C75" s="147">
        <v>10932</v>
      </c>
      <c r="D75" s="148">
        <v>2</v>
      </c>
      <c r="E75" s="146">
        <v>18.5</v>
      </c>
      <c r="F75" s="146">
        <v>0.7</v>
      </c>
      <c r="G75" s="146">
        <v>228</v>
      </c>
      <c r="H75" s="146">
        <v>856</v>
      </c>
      <c r="I75" s="146">
        <v>382</v>
      </c>
      <c r="J75" s="146">
        <v>480</v>
      </c>
      <c r="K75" s="149">
        <f t="shared" si="0"/>
        <v>342</v>
      </c>
      <c r="M75" s="144">
        <f t="shared" ref="M75:N75" si="75">(H75+200)/1000</f>
        <v>1.056</v>
      </c>
      <c r="N75" s="144">
        <f t="shared" si="75"/>
        <v>0.58199999999999996</v>
      </c>
      <c r="O75" s="144">
        <f t="shared" si="2"/>
        <v>0.61459200000000003</v>
      </c>
    </row>
    <row r="76" spans="1:15">
      <c r="A76" s="18">
        <v>99801136</v>
      </c>
      <c r="B76" s="19" t="s">
        <v>192</v>
      </c>
      <c r="C76" s="141">
        <v>12900</v>
      </c>
      <c r="D76" s="142">
        <v>2</v>
      </c>
      <c r="E76" s="19">
        <v>22</v>
      </c>
      <c r="F76" s="19">
        <v>0.7</v>
      </c>
      <c r="G76" s="19">
        <v>268</v>
      </c>
      <c r="H76" s="19">
        <v>960</v>
      </c>
      <c r="I76" s="19">
        <v>382</v>
      </c>
      <c r="J76" s="19">
        <v>480</v>
      </c>
      <c r="K76" s="143">
        <f t="shared" si="0"/>
        <v>402</v>
      </c>
      <c r="M76" s="144">
        <f t="shared" ref="M76:N76" si="76">(H76+200)/1000</f>
        <v>1.1599999999999999</v>
      </c>
      <c r="N76" s="144">
        <f t="shared" si="76"/>
        <v>0.58199999999999996</v>
      </c>
      <c r="O76" s="144">
        <f t="shared" si="2"/>
        <v>0.67511999999999994</v>
      </c>
    </row>
    <row r="77" spans="1:15">
      <c r="A77" s="145">
        <v>99801137</v>
      </c>
      <c r="B77" s="146" t="s">
        <v>148</v>
      </c>
      <c r="C77" s="147">
        <v>14073</v>
      </c>
      <c r="D77" s="148">
        <v>2</v>
      </c>
      <c r="E77" s="146">
        <v>30</v>
      </c>
      <c r="F77" s="146">
        <v>0.7</v>
      </c>
      <c r="G77" s="146">
        <v>324</v>
      </c>
      <c r="H77" s="146">
        <v>1025</v>
      </c>
      <c r="I77" s="146">
        <v>382</v>
      </c>
      <c r="J77" s="146">
        <v>480</v>
      </c>
      <c r="K77" s="149">
        <f t="shared" si="0"/>
        <v>486</v>
      </c>
      <c r="M77" s="144">
        <f t="shared" ref="M77:N77" si="77">(H77+200)/1000</f>
        <v>1.2250000000000001</v>
      </c>
      <c r="N77" s="144">
        <f t="shared" si="77"/>
        <v>0.58199999999999996</v>
      </c>
      <c r="O77" s="144">
        <f t="shared" si="2"/>
        <v>0.71294999999999997</v>
      </c>
    </row>
    <row r="78" spans="1:15">
      <c r="A78" s="18">
        <v>99801138</v>
      </c>
      <c r="B78" s="19" t="s">
        <v>212</v>
      </c>
      <c r="C78" s="141">
        <v>11060</v>
      </c>
      <c r="D78" s="142">
        <v>2</v>
      </c>
      <c r="E78" s="19">
        <v>30</v>
      </c>
      <c r="F78" s="19">
        <v>0.68</v>
      </c>
      <c r="G78" s="19">
        <v>327</v>
      </c>
      <c r="H78" s="19">
        <v>1055</v>
      </c>
      <c r="I78" s="19">
        <v>381</v>
      </c>
      <c r="J78" s="19">
        <v>480</v>
      </c>
      <c r="K78" s="143">
        <f t="shared" si="0"/>
        <v>490.5</v>
      </c>
      <c r="M78" s="144">
        <f t="shared" ref="M78:N78" si="78">(H78+200)/1000</f>
        <v>1.2549999999999999</v>
      </c>
      <c r="N78" s="144">
        <f t="shared" si="78"/>
        <v>0.58099999999999996</v>
      </c>
      <c r="O78" s="144">
        <f t="shared" si="2"/>
        <v>0.72915499999999989</v>
      </c>
    </row>
    <row r="79" spans="1:15">
      <c r="A79" s="145">
        <v>99801139</v>
      </c>
      <c r="B79" s="146" t="s">
        <v>216</v>
      </c>
      <c r="C79" s="147">
        <v>11345</v>
      </c>
      <c r="D79" s="148">
        <v>2</v>
      </c>
      <c r="E79" s="146">
        <v>37</v>
      </c>
      <c r="F79" s="146">
        <v>0.68</v>
      </c>
      <c r="G79" s="146">
        <v>342</v>
      </c>
      <c r="H79" s="146">
        <v>1055</v>
      </c>
      <c r="I79" s="146">
        <v>381</v>
      </c>
      <c r="J79" s="146">
        <v>480</v>
      </c>
      <c r="K79" s="149">
        <f t="shared" si="0"/>
        <v>513</v>
      </c>
      <c r="M79" s="144">
        <f t="shared" ref="M79:N79" si="79">(H79+200)/1000</f>
        <v>1.2549999999999999</v>
      </c>
      <c r="N79" s="144">
        <f t="shared" si="79"/>
        <v>0.58099999999999996</v>
      </c>
      <c r="O79" s="144">
        <f t="shared" si="2"/>
        <v>0.72915499999999989</v>
      </c>
    </row>
    <row r="80" spans="1:15">
      <c r="A80" s="18">
        <v>99801140</v>
      </c>
      <c r="B80" s="19" t="s">
        <v>241</v>
      </c>
      <c r="C80" s="141">
        <v>15395</v>
      </c>
      <c r="D80" s="142">
        <v>2</v>
      </c>
      <c r="E80" s="19">
        <v>45</v>
      </c>
      <c r="F80" s="19">
        <v>0.68</v>
      </c>
      <c r="G80" s="19">
        <v>546</v>
      </c>
      <c r="H80" s="19">
        <v>1135</v>
      </c>
      <c r="I80" s="19">
        <v>381</v>
      </c>
      <c r="J80" s="19">
        <v>480</v>
      </c>
      <c r="K80" s="143">
        <f t="shared" si="0"/>
        <v>819</v>
      </c>
      <c r="M80" s="144">
        <f t="shared" ref="M80:N80" si="80">(H80+200)/1000</f>
        <v>1.335</v>
      </c>
      <c r="N80" s="144">
        <f t="shared" si="80"/>
        <v>0.58099999999999996</v>
      </c>
      <c r="O80" s="144">
        <f t="shared" si="2"/>
        <v>0.77563499999999996</v>
      </c>
    </row>
    <row r="81" spans="1:15">
      <c r="A81" s="145">
        <v>99801141</v>
      </c>
      <c r="B81" s="146" t="s">
        <v>194</v>
      </c>
      <c r="C81" s="147">
        <v>19208</v>
      </c>
      <c r="D81" s="148">
        <v>2</v>
      </c>
      <c r="E81" s="146">
        <v>75</v>
      </c>
      <c r="F81" s="146">
        <v>0.68</v>
      </c>
      <c r="G81" s="146">
        <v>680</v>
      </c>
      <c r="H81" s="146">
        <v>1211</v>
      </c>
      <c r="I81" s="146">
        <v>381</v>
      </c>
      <c r="J81" s="146">
        <v>480</v>
      </c>
      <c r="K81" s="149">
        <f t="shared" si="0"/>
        <v>1020</v>
      </c>
      <c r="M81" s="144">
        <f t="shared" ref="M81:N81" si="81">(H81+200)/1000</f>
        <v>1.411</v>
      </c>
      <c r="N81" s="144">
        <f t="shared" si="81"/>
        <v>0.58099999999999996</v>
      </c>
      <c r="O81" s="144">
        <f t="shared" si="2"/>
        <v>0.81979099999999994</v>
      </c>
    </row>
    <row r="82" spans="1:15">
      <c r="A82" s="18">
        <v>99801142</v>
      </c>
      <c r="B82" s="19" t="s">
        <v>261</v>
      </c>
      <c r="C82" s="141">
        <v>20730</v>
      </c>
      <c r="D82" s="142">
        <v>2</v>
      </c>
      <c r="E82" s="19">
        <v>55</v>
      </c>
      <c r="F82" s="19">
        <v>0.7</v>
      </c>
      <c r="G82" s="19">
        <v>668</v>
      </c>
      <c r="H82" s="19">
        <v>184</v>
      </c>
      <c r="I82" s="19">
        <v>96</v>
      </c>
      <c r="J82" s="19">
        <v>352</v>
      </c>
      <c r="K82" s="143">
        <f t="shared" si="0"/>
        <v>1002</v>
      </c>
      <c r="M82" s="144">
        <f t="shared" ref="M82:N82" si="82">(H82+200)/1000</f>
        <v>0.38400000000000001</v>
      </c>
      <c r="N82" s="144">
        <f t="shared" si="82"/>
        <v>0.29599999999999999</v>
      </c>
      <c r="O82" s="144">
        <f t="shared" si="2"/>
        <v>0.113664</v>
      </c>
    </row>
    <row r="83" spans="1:15">
      <c r="A83" s="145">
        <v>99801143</v>
      </c>
      <c r="B83" s="146" t="s">
        <v>265</v>
      </c>
      <c r="C83" s="147">
        <v>23452</v>
      </c>
      <c r="D83" s="148">
        <v>2</v>
      </c>
      <c r="E83" s="146">
        <v>75</v>
      </c>
      <c r="F83" s="146">
        <v>0.7</v>
      </c>
      <c r="G83" s="146">
        <v>699</v>
      </c>
      <c r="H83" s="146">
        <v>1224</v>
      </c>
      <c r="I83" s="146">
        <v>432</v>
      </c>
      <c r="J83" s="146">
        <v>505</v>
      </c>
      <c r="K83" s="149">
        <f t="shared" si="0"/>
        <v>1048.5</v>
      </c>
      <c r="M83" s="144">
        <f t="shared" ref="M83:N83" si="83">(H83+200)/1000</f>
        <v>1.4239999999999999</v>
      </c>
      <c r="N83" s="144">
        <f t="shared" si="83"/>
        <v>0.63200000000000001</v>
      </c>
      <c r="O83" s="144">
        <f t="shared" si="2"/>
        <v>0.89996799999999999</v>
      </c>
    </row>
    <row r="84" spans="1:15">
      <c r="A84" s="18">
        <v>99801144</v>
      </c>
      <c r="B84" s="19" t="s">
        <v>280</v>
      </c>
      <c r="C84" s="141">
        <v>26062</v>
      </c>
      <c r="D84" s="142">
        <v>2</v>
      </c>
      <c r="E84" s="19">
        <v>90</v>
      </c>
      <c r="F84" s="19">
        <v>0.7</v>
      </c>
      <c r="G84" s="19">
        <v>1010</v>
      </c>
      <c r="H84" s="19">
        <v>1337</v>
      </c>
      <c r="I84" s="19">
        <v>432</v>
      </c>
      <c r="J84" s="19">
        <v>505</v>
      </c>
      <c r="K84" s="143">
        <f t="shared" si="0"/>
        <v>1515</v>
      </c>
      <c r="M84" s="144">
        <f t="shared" ref="M84:N84" si="84">(H84+200)/1000</f>
        <v>1.5369999999999999</v>
      </c>
      <c r="N84" s="144">
        <f t="shared" si="84"/>
        <v>0.63200000000000001</v>
      </c>
      <c r="O84" s="144">
        <f t="shared" si="2"/>
        <v>0.97138399999999991</v>
      </c>
    </row>
    <row r="85" spans="1:15">
      <c r="A85" s="145">
        <v>99801145</v>
      </c>
      <c r="B85" s="146" t="s">
        <v>175</v>
      </c>
      <c r="C85" s="147">
        <v>14656</v>
      </c>
      <c r="D85" s="148">
        <v>2</v>
      </c>
      <c r="E85" s="146">
        <v>45</v>
      </c>
      <c r="F85" s="146">
        <v>0.7</v>
      </c>
      <c r="G85" s="146">
        <v>603</v>
      </c>
      <c r="H85" s="146">
        <v>1150</v>
      </c>
      <c r="I85" s="146">
        <v>452</v>
      </c>
      <c r="J85" s="146">
        <v>565</v>
      </c>
      <c r="K85" s="149">
        <f t="shared" si="0"/>
        <v>904.5</v>
      </c>
      <c r="M85" s="144">
        <f t="shared" ref="M85:N85" si="85">(H85+200)/1000</f>
        <v>1.35</v>
      </c>
      <c r="N85" s="144">
        <f t="shared" si="85"/>
        <v>0.65200000000000002</v>
      </c>
      <c r="O85" s="144">
        <f t="shared" si="2"/>
        <v>0.88020000000000009</v>
      </c>
    </row>
    <row r="86" spans="1:15">
      <c r="A86" s="18">
        <v>99801146</v>
      </c>
      <c r="B86" s="19" t="s">
        <v>264</v>
      </c>
      <c r="C86" s="141">
        <v>17638</v>
      </c>
      <c r="D86" s="142">
        <v>2</v>
      </c>
      <c r="E86" s="19">
        <v>55</v>
      </c>
      <c r="F86" s="19">
        <v>0.7</v>
      </c>
      <c r="G86" s="19">
        <v>680</v>
      </c>
      <c r="H86" s="19">
        <v>1226</v>
      </c>
      <c r="I86" s="19">
        <v>452</v>
      </c>
      <c r="J86" s="19">
        <v>565</v>
      </c>
      <c r="K86" s="143">
        <f t="shared" si="0"/>
        <v>1020</v>
      </c>
      <c r="M86" s="144">
        <f t="shared" ref="M86:N86" si="86">(H86+200)/1000</f>
        <v>1.4259999999999999</v>
      </c>
      <c r="N86" s="144">
        <f t="shared" si="86"/>
        <v>0.65200000000000002</v>
      </c>
      <c r="O86" s="144">
        <f t="shared" si="2"/>
        <v>0.92975200000000002</v>
      </c>
    </row>
    <row r="87" spans="1:15">
      <c r="A87" s="145">
        <v>99801147</v>
      </c>
      <c r="B87" s="146" t="s">
        <v>270</v>
      </c>
      <c r="C87" s="147">
        <v>19884</v>
      </c>
      <c r="D87" s="148">
        <v>2</v>
      </c>
      <c r="E87" s="146">
        <v>75</v>
      </c>
      <c r="F87" s="146">
        <v>0.7</v>
      </c>
      <c r="G87" s="146">
        <v>711</v>
      </c>
      <c r="H87" s="146">
        <v>1226</v>
      </c>
      <c r="I87" s="146">
        <v>452</v>
      </c>
      <c r="J87" s="146">
        <v>565</v>
      </c>
      <c r="K87" s="149">
        <f t="shared" si="0"/>
        <v>1066.5</v>
      </c>
      <c r="M87" s="144">
        <f t="shared" ref="M87:N87" si="87">(H87+200)/1000</f>
        <v>1.4259999999999999</v>
      </c>
      <c r="N87" s="144">
        <f t="shared" si="87"/>
        <v>0.65200000000000002</v>
      </c>
      <c r="O87" s="144">
        <f t="shared" si="2"/>
        <v>0.92975200000000002</v>
      </c>
    </row>
    <row r="88" spans="1:15">
      <c r="A88" s="18">
        <v>99801148</v>
      </c>
      <c r="B88" s="19" t="s">
        <v>198</v>
      </c>
      <c r="C88" s="141">
        <v>22120</v>
      </c>
      <c r="D88" s="142">
        <v>2</v>
      </c>
      <c r="E88" s="19">
        <v>90</v>
      </c>
      <c r="F88" s="19">
        <v>0.7</v>
      </c>
      <c r="G88" s="19">
        <v>1020</v>
      </c>
      <c r="H88" s="19">
        <v>1339</v>
      </c>
      <c r="I88" s="19">
        <v>452</v>
      </c>
      <c r="J88" s="19">
        <v>565</v>
      </c>
      <c r="K88" s="143">
        <f t="shared" si="0"/>
        <v>1530</v>
      </c>
      <c r="M88" s="144">
        <f t="shared" ref="M88:N88" si="88">(H88+200)/1000</f>
        <v>1.5389999999999999</v>
      </c>
      <c r="N88" s="144">
        <f t="shared" si="88"/>
        <v>0.65200000000000002</v>
      </c>
      <c r="O88" s="144">
        <f t="shared" si="2"/>
        <v>1.003428</v>
      </c>
    </row>
    <row r="89" spans="1:15">
      <c r="A89" s="145">
        <v>99801149</v>
      </c>
      <c r="B89" s="146" t="s">
        <v>282</v>
      </c>
      <c r="C89" s="147">
        <v>22754</v>
      </c>
      <c r="D89" s="148">
        <v>2</v>
      </c>
      <c r="E89" s="146">
        <v>90</v>
      </c>
      <c r="F89" s="146">
        <v>0.7</v>
      </c>
      <c r="G89" s="146">
        <v>1020</v>
      </c>
      <c r="H89" s="146">
        <v>1337</v>
      </c>
      <c r="I89" s="146">
        <v>472</v>
      </c>
      <c r="J89" s="146">
        <v>605</v>
      </c>
      <c r="K89" s="149">
        <f t="shared" si="0"/>
        <v>1530</v>
      </c>
      <c r="M89" s="144">
        <f t="shared" ref="M89:N89" si="89">(H89+200)/1000</f>
        <v>1.5369999999999999</v>
      </c>
      <c r="N89" s="144">
        <f t="shared" si="89"/>
        <v>0.67200000000000004</v>
      </c>
      <c r="O89" s="144">
        <f t="shared" si="2"/>
        <v>1.032864</v>
      </c>
    </row>
    <row r="90" spans="1:15">
      <c r="A90" s="18">
        <v>99801150</v>
      </c>
      <c r="B90" s="19" t="s">
        <v>273</v>
      </c>
      <c r="C90" s="141">
        <v>22003</v>
      </c>
      <c r="D90" s="142">
        <v>2</v>
      </c>
      <c r="E90" s="19">
        <v>75</v>
      </c>
      <c r="F90" s="19">
        <v>0.7</v>
      </c>
      <c r="G90" s="19">
        <v>763</v>
      </c>
      <c r="H90" s="19">
        <v>1246</v>
      </c>
      <c r="I90" s="19">
        <v>549</v>
      </c>
      <c r="J90" s="19">
        <v>680</v>
      </c>
      <c r="K90" s="143">
        <f t="shared" si="0"/>
        <v>1144.5</v>
      </c>
      <c r="M90" s="144">
        <f t="shared" ref="M90:N90" si="90">(H90+200)/1000</f>
        <v>1.446</v>
      </c>
      <c r="N90" s="144">
        <f t="shared" si="90"/>
        <v>0.749</v>
      </c>
      <c r="O90" s="144">
        <f t="shared" si="2"/>
        <v>1.083054</v>
      </c>
    </row>
    <row r="91" spans="1:15">
      <c r="A91" s="145">
        <v>99801151</v>
      </c>
      <c r="B91" s="146" t="s">
        <v>283</v>
      </c>
      <c r="C91" s="147">
        <v>24260</v>
      </c>
      <c r="D91" s="148">
        <v>2</v>
      </c>
      <c r="E91" s="146">
        <v>90</v>
      </c>
      <c r="F91" s="146">
        <v>0.7</v>
      </c>
      <c r="G91" s="146">
        <v>1070</v>
      </c>
      <c r="H91" s="146">
        <v>1359</v>
      </c>
      <c r="I91" s="146">
        <v>549</v>
      </c>
      <c r="J91" s="146">
        <v>680</v>
      </c>
      <c r="K91" s="149">
        <f t="shared" si="0"/>
        <v>1605</v>
      </c>
      <c r="M91" s="144">
        <f t="shared" ref="M91:N91" si="91">(H91+200)/1000</f>
        <v>1.5589999999999999</v>
      </c>
      <c r="N91" s="144">
        <f t="shared" si="91"/>
        <v>0.749</v>
      </c>
      <c r="O91" s="144">
        <f t="shared" si="2"/>
        <v>1.167691</v>
      </c>
    </row>
    <row r="92" spans="1:15">
      <c r="A92" s="18">
        <v>99801272</v>
      </c>
      <c r="B92" s="19" t="s">
        <v>77</v>
      </c>
      <c r="C92" s="141">
        <v>3545</v>
      </c>
      <c r="D92" s="142">
        <v>4</v>
      </c>
      <c r="E92" s="19">
        <v>0.55000000000000004</v>
      </c>
      <c r="F92" s="19">
        <v>0.65</v>
      </c>
      <c r="G92" s="19">
        <v>46</v>
      </c>
      <c r="H92" s="19">
        <v>361</v>
      </c>
      <c r="I92" s="19">
        <v>103</v>
      </c>
      <c r="J92" s="19">
        <v>194</v>
      </c>
      <c r="K92" s="143">
        <f t="shared" si="0"/>
        <v>69</v>
      </c>
      <c r="M92" s="144">
        <f t="shared" ref="M92:N92" si="92">(H92+200)/1000</f>
        <v>0.56100000000000005</v>
      </c>
      <c r="N92" s="144">
        <f t="shared" si="92"/>
        <v>0.30299999999999999</v>
      </c>
      <c r="O92" s="144">
        <f t="shared" si="2"/>
        <v>0.16998300000000002</v>
      </c>
    </row>
    <row r="93" spans="1:15">
      <c r="A93" s="145">
        <v>99801273</v>
      </c>
      <c r="B93" s="146" t="s">
        <v>287</v>
      </c>
      <c r="C93" s="147">
        <v>3588</v>
      </c>
      <c r="D93" s="148">
        <v>4</v>
      </c>
      <c r="E93" s="146">
        <v>0.75</v>
      </c>
      <c r="F93" s="146">
        <v>0.65</v>
      </c>
      <c r="G93" s="146">
        <v>49</v>
      </c>
      <c r="H93" s="146">
        <v>426</v>
      </c>
      <c r="I93" s="146">
        <v>103</v>
      </c>
      <c r="J93" s="146">
        <v>194</v>
      </c>
      <c r="K93" s="149">
        <f t="shared" si="0"/>
        <v>73.5</v>
      </c>
      <c r="M93" s="144">
        <f t="shared" ref="M93:N93" si="93">(H93+200)/1000</f>
        <v>0.626</v>
      </c>
      <c r="N93" s="144">
        <f t="shared" si="93"/>
        <v>0.30299999999999999</v>
      </c>
      <c r="O93" s="144">
        <f t="shared" si="2"/>
        <v>0.18967799999999999</v>
      </c>
    </row>
    <row r="94" spans="1:15">
      <c r="A94" s="18">
        <v>99801274</v>
      </c>
      <c r="B94" s="19" t="s">
        <v>85</v>
      </c>
      <c r="C94" s="141">
        <v>3623</v>
      </c>
      <c r="D94" s="142">
        <v>4</v>
      </c>
      <c r="E94" s="19">
        <v>0.55000000000000004</v>
      </c>
      <c r="F94" s="19">
        <v>0.69</v>
      </c>
      <c r="G94" s="19">
        <v>57</v>
      </c>
      <c r="H94" s="19">
        <v>402.5</v>
      </c>
      <c r="I94" s="19">
        <v>103</v>
      </c>
      <c r="J94" s="19">
        <v>194</v>
      </c>
      <c r="K94" s="143">
        <f t="shared" si="0"/>
        <v>85.5</v>
      </c>
      <c r="M94" s="144">
        <f t="shared" ref="M94:N94" si="94">(H94+200)/1000</f>
        <v>0.60250000000000004</v>
      </c>
      <c r="N94" s="144">
        <f t="shared" si="94"/>
        <v>0.30299999999999999</v>
      </c>
      <c r="O94" s="144">
        <f t="shared" si="2"/>
        <v>0.18255750000000001</v>
      </c>
    </row>
    <row r="95" spans="1:15">
      <c r="A95" s="145">
        <v>99801275</v>
      </c>
      <c r="B95" s="146" t="s">
        <v>83</v>
      </c>
      <c r="C95" s="147">
        <v>3906</v>
      </c>
      <c r="D95" s="148">
        <v>4</v>
      </c>
      <c r="E95" s="146">
        <v>0.75</v>
      </c>
      <c r="F95" s="146">
        <v>0.69</v>
      </c>
      <c r="G95" s="146">
        <v>54</v>
      </c>
      <c r="H95" s="146">
        <v>425.5</v>
      </c>
      <c r="I95" s="146">
        <v>103</v>
      </c>
      <c r="J95" s="146">
        <v>194</v>
      </c>
      <c r="K95" s="149">
        <f t="shared" si="0"/>
        <v>81</v>
      </c>
      <c r="M95" s="144">
        <f t="shared" ref="M95:N95" si="95">(H95+200)/1000</f>
        <v>0.62549999999999994</v>
      </c>
      <c r="N95" s="144">
        <f t="shared" si="95"/>
        <v>0.30299999999999999</v>
      </c>
      <c r="O95" s="144">
        <f t="shared" si="2"/>
        <v>0.18952649999999999</v>
      </c>
    </row>
    <row r="96" spans="1:15">
      <c r="A96" s="18">
        <v>99801276</v>
      </c>
      <c r="B96" s="19" t="s">
        <v>87</v>
      </c>
      <c r="C96" s="141">
        <v>4013</v>
      </c>
      <c r="D96" s="142">
        <v>4</v>
      </c>
      <c r="E96" s="19">
        <v>1.1000000000000001</v>
      </c>
      <c r="F96" s="19">
        <v>0.69</v>
      </c>
      <c r="G96" s="19">
        <v>59</v>
      </c>
      <c r="H96" s="19">
        <v>425.5</v>
      </c>
      <c r="I96" s="19">
        <v>103</v>
      </c>
      <c r="J96" s="19">
        <v>194</v>
      </c>
      <c r="K96" s="143">
        <f t="shared" si="0"/>
        <v>88.5</v>
      </c>
      <c r="M96" s="144">
        <f t="shared" ref="M96:N96" si="96">(H96+200)/1000</f>
        <v>0.62549999999999994</v>
      </c>
      <c r="N96" s="144">
        <f t="shared" si="96"/>
        <v>0.30299999999999999</v>
      </c>
      <c r="O96" s="144">
        <f t="shared" si="2"/>
        <v>0.18952649999999999</v>
      </c>
    </row>
    <row r="97" spans="1:15">
      <c r="A97" s="145">
        <v>99801277</v>
      </c>
      <c r="B97" s="146" t="s">
        <v>89</v>
      </c>
      <c r="C97" s="147">
        <v>4034</v>
      </c>
      <c r="D97" s="148">
        <v>4</v>
      </c>
      <c r="E97" s="146">
        <v>1.5</v>
      </c>
      <c r="F97" s="146">
        <v>0.69</v>
      </c>
      <c r="G97" s="146">
        <v>63</v>
      </c>
      <c r="H97" s="146">
        <v>425.5</v>
      </c>
      <c r="I97" s="146">
        <v>103</v>
      </c>
      <c r="J97" s="146">
        <v>194</v>
      </c>
      <c r="K97" s="149">
        <f t="shared" si="0"/>
        <v>94.5</v>
      </c>
      <c r="M97" s="144">
        <f t="shared" ref="M97:N97" si="97">(H97+200)/1000</f>
        <v>0.62549999999999994</v>
      </c>
      <c r="N97" s="144">
        <f t="shared" si="97"/>
        <v>0.30299999999999999</v>
      </c>
      <c r="O97" s="144">
        <f t="shared" si="2"/>
        <v>0.18952649999999999</v>
      </c>
    </row>
    <row r="98" spans="1:15">
      <c r="A98" s="18">
        <v>99801278</v>
      </c>
      <c r="B98" s="19" t="s">
        <v>90</v>
      </c>
      <c r="C98" s="141">
        <v>3528</v>
      </c>
      <c r="D98" s="142">
        <v>4</v>
      </c>
      <c r="E98" s="19">
        <v>0.75</v>
      </c>
      <c r="F98" s="19">
        <v>0.7</v>
      </c>
      <c r="G98" s="19">
        <v>64</v>
      </c>
      <c r="H98" s="19">
        <v>445.5</v>
      </c>
      <c r="I98" s="19">
        <v>103</v>
      </c>
      <c r="J98" s="19">
        <v>216</v>
      </c>
      <c r="K98" s="143">
        <f t="shared" si="0"/>
        <v>96</v>
      </c>
      <c r="M98" s="144">
        <f t="shared" ref="M98:N98" si="98">(H98+200)/1000</f>
        <v>0.64549999999999996</v>
      </c>
      <c r="N98" s="144">
        <f t="shared" si="98"/>
        <v>0.30299999999999999</v>
      </c>
      <c r="O98" s="144">
        <f t="shared" si="2"/>
        <v>0.1955865</v>
      </c>
    </row>
    <row r="99" spans="1:15">
      <c r="A99" s="145">
        <v>99801279</v>
      </c>
      <c r="B99" s="146" t="s">
        <v>93</v>
      </c>
      <c r="C99" s="147">
        <v>4005</v>
      </c>
      <c r="D99" s="148">
        <v>4</v>
      </c>
      <c r="E99" s="146">
        <v>1.1000000000000001</v>
      </c>
      <c r="F99" s="146">
        <v>0.7</v>
      </c>
      <c r="G99" s="146">
        <v>69</v>
      </c>
      <c r="H99" s="146">
        <v>445.5</v>
      </c>
      <c r="I99" s="146">
        <v>103</v>
      </c>
      <c r="J99" s="146">
        <v>216</v>
      </c>
      <c r="K99" s="149">
        <f t="shared" si="0"/>
        <v>103.5</v>
      </c>
      <c r="M99" s="144">
        <f t="shared" ref="M99:N99" si="99">(H99+200)/1000</f>
        <v>0.64549999999999996</v>
      </c>
      <c r="N99" s="144">
        <f t="shared" si="99"/>
        <v>0.30299999999999999</v>
      </c>
      <c r="O99" s="144">
        <f t="shared" si="2"/>
        <v>0.1955865</v>
      </c>
    </row>
    <row r="100" spans="1:15">
      <c r="A100" s="18">
        <v>99801280</v>
      </c>
      <c r="B100" s="19" t="s">
        <v>96</v>
      </c>
      <c r="C100" s="141">
        <v>4025</v>
      </c>
      <c r="D100" s="142">
        <v>4</v>
      </c>
      <c r="E100" s="19">
        <v>1.5</v>
      </c>
      <c r="F100" s="19">
        <v>0.7</v>
      </c>
      <c r="G100" s="19">
        <v>73</v>
      </c>
      <c r="H100" s="19">
        <v>445.5</v>
      </c>
      <c r="I100" s="19">
        <v>103</v>
      </c>
      <c r="J100" s="19">
        <v>216</v>
      </c>
      <c r="K100" s="143">
        <f t="shared" si="0"/>
        <v>109.5</v>
      </c>
      <c r="M100" s="144">
        <f t="shared" ref="M100:N100" si="100">(H100+200)/1000</f>
        <v>0.64549999999999996</v>
      </c>
      <c r="N100" s="144">
        <f t="shared" si="100"/>
        <v>0.30299999999999999</v>
      </c>
      <c r="O100" s="144">
        <f t="shared" si="2"/>
        <v>0.1955865</v>
      </c>
    </row>
    <row r="101" spans="1:15">
      <c r="A101" s="145">
        <v>99801281</v>
      </c>
      <c r="B101" s="146" t="s">
        <v>108</v>
      </c>
      <c r="C101" s="147">
        <v>4170</v>
      </c>
      <c r="D101" s="148">
        <v>4</v>
      </c>
      <c r="E101" s="146">
        <v>2.2000000000000002</v>
      </c>
      <c r="F101" s="146">
        <v>0.7</v>
      </c>
      <c r="G101" s="146">
        <v>81</v>
      </c>
      <c r="H101" s="146">
        <v>445.5</v>
      </c>
      <c r="I101" s="146">
        <v>103</v>
      </c>
      <c r="J101" s="146">
        <v>216</v>
      </c>
      <c r="K101" s="149">
        <f t="shared" si="0"/>
        <v>121.5</v>
      </c>
      <c r="M101" s="144">
        <f t="shared" ref="M101:N101" si="101">(H101+200)/1000</f>
        <v>0.64549999999999996</v>
      </c>
      <c r="N101" s="144">
        <f t="shared" si="101"/>
        <v>0.30299999999999999</v>
      </c>
      <c r="O101" s="144">
        <f t="shared" si="2"/>
        <v>0.1955865</v>
      </c>
    </row>
    <row r="102" spans="1:15">
      <c r="A102" s="18">
        <v>99801282</v>
      </c>
      <c r="B102" s="19" t="s">
        <v>105</v>
      </c>
      <c r="C102" s="141">
        <v>4612</v>
      </c>
      <c r="D102" s="142">
        <v>4</v>
      </c>
      <c r="E102" s="19">
        <v>1.5</v>
      </c>
      <c r="F102" s="19">
        <v>0.7</v>
      </c>
      <c r="G102" s="19">
        <v>88</v>
      </c>
      <c r="H102" s="19">
        <v>472.5</v>
      </c>
      <c r="I102" s="19">
        <v>103</v>
      </c>
      <c r="J102" s="19">
        <v>254</v>
      </c>
      <c r="K102" s="143">
        <f t="shared" si="0"/>
        <v>132</v>
      </c>
      <c r="M102" s="144">
        <f t="shared" ref="M102:N102" si="102">(H102+200)/1000</f>
        <v>0.67249999999999999</v>
      </c>
      <c r="N102" s="144">
        <f t="shared" si="102"/>
        <v>0.30299999999999999</v>
      </c>
      <c r="O102" s="144">
        <f t="shared" si="2"/>
        <v>0.20376749999999999</v>
      </c>
    </row>
    <row r="103" spans="1:15">
      <c r="A103" s="145">
        <v>99801283</v>
      </c>
      <c r="B103" s="146" t="s">
        <v>119</v>
      </c>
      <c r="C103" s="147">
        <v>4676</v>
      </c>
      <c r="D103" s="148">
        <v>4</v>
      </c>
      <c r="E103" s="146">
        <v>2.2000000000000002</v>
      </c>
      <c r="F103" s="146">
        <v>0.7</v>
      </c>
      <c r="G103" s="146">
        <v>98</v>
      </c>
      <c r="H103" s="146">
        <v>472.5</v>
      </c>
      <c r="I103" s="146">
        <v>103</v>
      </c>
      <c r="J103" s="146">
        <v>254</v>
      </c>
      <c r="K103" s="149">
        <f t="shared" si="0"/>
        <v>147</v>
      </c>
      <c r="M103" s="144">
        <f t="shared" ref="M103:N103" si="103">(H103+200)/1000</f>
        <v>0.67249999999999999</v>
      </c>
      <c r="N103" s="144">
        <f t="shared" si="103"/>
        <v>0.30299999999999999</v>
      </c>
      <c r="O103" s="144">
        <f t="shared" si="2"/>
        <v>0.20376749999999999</v>
      </c>
    </row>
    <row r="104" spans="1:15">
      <c r="A104" s="18">
        <v>99801284</v>
      </c>
      <c r="B104" s="19" t="s">
        <v>127</v>
      </c>
      <c r="C104" s="141">
        <v>4981</v>
      </c>
      <c r="D104" s="142">
        <v>4</v>
      </c>
      <c r="E104" s="19">
        <v>3</v>
      </c>
      <c r="F104" s="19">
        <v>0.7</v>
      </c>
      <c r="G104" s="19">
        <v>109</v>
      </c>
      <c r="H104" s="19">
        <v>542.5</v>
      </c>
      <c r="I104" s="19">
        <v>103</v>
      </c>
      <c r="J104" s="19">
        <v>254</v>
      </c>
      <c r="K104" s="143">
        <f t="shared" si="0"/>
        <v>163.5</v>
      </c>
      <c r="M104" s="144">
        <f t="shared" ref="M104:N104" si="104">(H104+200)/1000</f>
        <v>0.74250000000000005</v>
      </c>
      <c r="N104" s="144">
        <f t="shared" si="104"/>
        <v>0.30299999999999999</v>
      </c>
      <c r="O104" s="144">
        <f t="shared" si="2"/>
        <v>0.2249775</v>
      </c>
    </row>
    <row r="105" spans="1:15">
      <c r="A105" s="145">
        <v>99801285</v>
      </c>
      <c r="B105" s="146" t="s">
        <v>142</v>
      </c>
      <c r="C105" s="147">
        <v>6248</v>
      </c>
      <c r="D105" s="148">
        <v>4</v>
      </c>
      <c r="E105" s="146">
        <v>3</v>
      </c>
      <c r="F105" s="146">
        <v>0.64</v>
      </c>
      <c r="G105" s="146">
        <v>141</v>
      </c>
      <c r="H105" s="146">
        <v>598</v>
      </c>
      <c r="I105" s="146">
        <v>103</v>
      </c>
      <c r="J105" s="146">
        <v>284</v>
      </c>
      <c r="K105" s="149">
        <f t="shared" si="0"/>
        <v>211.5</v>
      </c>
      <c r="M105" s="144">
        <f t="shared" ref="M105:N105" si="105">(H105+200)/1000</f>
        <v>0.79800000000000004</v>
      </c>
      <c r="N105" s="144">
        <f t="shared" si="105"/>
        <v>0.30299999999999999</v>
      </c>
      <c r="O105" s="144">
        <f t="shared" si="2"/>
        <v>0.24179400000000001</v>
      </c>
    </row>
    <row r="106" spans="1:15">
      <c r="A106" s="18">
        <v>99801286</v>
      </c>
      <c r="B106" s="19" t="s">
        <v>145</v>
      </c>
      <c r="C106" s="141">
        <v>6304</v>
      </c>
      <c r="D106" s="142">
        <v>4</v>
      </c>
      <c r="E106" s="19">
        <v>4</v>
      </c>
      <c r="F106" s="19">
        <v>0.64</v>
      </c>
      <c r="G106" s="19">
        <v>146</v>
      </c>
      <c r="H106" s="19">
        <v>598</v>
      </c>
      <c r="I106" s="19">
        <v>141</v>
      </c>
      <c r="J106" s="19">
        <v>284</v>
      </c>
      <c r="K106" s="143">
        <f t="shared" si="0"/>
        <v>219</v>
      </c>
      <c r="M106" s="144">
        <f t="shared" ref="M106:N106" si="106">(H106+200)/1000</f>
        <v>0.79800000000000004</v>
      </c>
      <c r="N106" s="144">
        <f t="shared" si="106"/>
        <v>0.34100000000000003</v>
      </c>
      <c r="O106" s="144">
        <f t="shared" si="2"/>
        <v>0.27211800000000003</v>
      </c>
    </row>
    <row r="107" spans="1:15">
      <c r="A107" s="145">
        <v>99801287</v>
      </c>
      <c r="B107" s="146" t="s">
        <v>158</v>
      </c>
      <c r="C107" s="147">
        <v>6579</v>
      </c>
      <c r="D107" s="148">
        <v>4</v>
      </c>
      <c r="E107" s="146">
        <v>5.5</v>
      </c>
      <c r="F107" s="146">
        <v>0.64</v>
      </c>
      <c r="G107" s="146">
        <v>184</v>
      </c>
      <c r="H107" s="146">
        <v>668</v>
      </c>
      <c r="I107" s="146">
        <v>141</v>
      </c>
      <c r="J107" s="146">
        <v>284</v>
      </c>
      <c r="K107" s="149">
        <f t="shared" si="0"/>
        <v>276</v>
      </c>
      <c r="M107" s="144">
        <f t="shared" ref="M107:N107" si="107">(H107+200)/1000</f>
        <v>0.86799999999999999</v>
      </c>
      <c r="N107" s="144">
        <f t="shared" si="107"/>
        <v>0.34100000000000003</v>
      </c>
      <c r="O107" s="144">
        <f t="shared" si="2"/>
        <v>0.29598800000000003</v>
      </c>
    </row>
    <row r="108" spans="1:15">
      <c r="A108" s="18">
        <v>99801288</v>
      </c>
      <c r="B108" s="19" t="s">
        <v>80</v>
      </c>
      <c r="C108" s="141">
        <v>3654</v>
      </c>
      <c r="D108" s="142">
        <v>4</v>
      </c>
      <c r="E108" s="19">
        <v>0.55000000000000004</v>
      </c>
      <c r="F108" s="19">
        <v>0.7</v>
      </c>
      <c r="G108" s="19">
        <v>48</v>
      </c>
      <c r="H108" s="19">
        <v>361</v>
      </c>
      <c r="I108" s="19">
        <v>103</v>
      </c>
      <c r="J108" s="19">
        <v>194</v>
      </c>
      <c r="K108" s="143">
        <f t="shared" si="0"/>
        <v>72</v>
      </c>
      <c r="M108" s="144">
        <f t="shared" ref="M108:N108" si="108">(H108+200)/1000</f>
        <v>0.56100000000000005</v>
      </c>
      <c r="N108" s="144">
        <f t="shared" si="108"/>
        <v>0.30299999999999999</v>
      </c>
      <c r="O108" s="144">
        <f t="shared" si="2"/>
        <v>0.16998300000000002</v>
      </c>
    </row>
    <row r="109" spans="1:15">
      <c r="A109" s="145">
        <v>99801289</v>
      </c>
      <c r="B109" s="146" t="s">
        <v>81</v>
      </c>
      <c r="C109" s="147">
        <v>3911</v>
      </c>
      <c r="D109" s="148">
        <v>4</v>
      </c>
      <c r="E109" s="146">
        <v>0.75</v>
      </c>
      <c r="F109" s="146">
        <v>0.7</v>
      </c>
      <c r="G109" s="146">
        <v>52</v>
      </c>
      <c r="H109" s="146">
        <v>426</v>
      </c>
      <c r="I109" s="146">
        <v>103</v>
      </c>
      <c r="J109" s="146">
        <v>194</v>
      </c>
      <c r="K109" s="149">
        <f t="shared" si="0"/>
        <v>78</v>
      </c>
      <c r="M109" s="144">
        <f t="shared" ref="M109:N109" si="109">(H109+200)/1000</f>
        <v>0.626</v>
      </c>
      <c r="N109" s="144">
        <f t="shared" si="109"/>
        <v>0.30299999999999999</v>
      </c>
      <c r="O109" s="144">
        <f t="shared" si="2"/>
        <v>0.18967799999999999</v>
      </c>
    </row>
    <row r="110" spans="1:15">
      <c r="A110" s="18">
        <v>99801290</v>
      </c>
      <c r="B110" s="19" t="s">
        <v>151</v>
      </c>
      <c r="C110" s="141">
        <v>3961</v>
      </c>
      <c r="D110" s="142">
        <v>4</v>
      </c>
      <c r="E110" s="19">
        <v>1.1000000000000001</v>
      </c>
      <c r="F110" s="19">
        <v>0.7</v>
      </c>
      <c r="G110" s="19">
        <v>57</v>
      </c>
      <c r="H110" s="19">
        <v>426</v>
      </c>
      <c r="I110" s="19">
        <v>103</v>
      </c>
      <c r="J110" s="19">
        <v>194</v>
      </c>
      <c r="K110" s="143">
        <f t="shared" si="0"/>
        <v>85.5</v>
      </c>
      <c r="M110" s="144">
        <f t="shared" ref="M110:N110" si="110">(H110+200)/1000</f>
        <v>0.626</v>
      </c>
      <c r="N110" s="144">
        <f t="shared" si="110"/>
        <v>0.30299999999999999</v>
      </c>
      <c r="O110" s="144">
        <f t="shared" si="2"/>
        <v>0.18967799999999999</v>
      </c>
    </row>
    <row r="111" spans="1:15">
      <c r="A111" s="145">
        <v>99801291</v>
      </c>
      <c r="B111" s="146" t="s">
        <v>95</v>
      </c>
      <c r="C111" s="147">
        <v>4326</v>
      </c>
      <c r="D111" s="148">
        <v>4</v>
      </c>
      <c r="E111" s="146">
        <v>1.1000000000000001</v>
      </c>
      <c r="F111" s="146">
        <v>0.7</v>
      </c>
      <c r="G111" s="146">
        <v>72</v>
      </c>
      <c r="H111" s="146">
        <v>445.5</v>
      </c>
      <c r="I111" s="146">
        <v>103</v>
      </c>
      <c r="J111" s="146">
        <v>216</v>
      </c>
      <c r="K111" s="149">
        <f t="shared" si="0"/>
        <v>108</v>
      </c>
      <c r="M111" s="144">
        <f t="shared" ref="M111:N111" si="111">(H111+200)/1000</f>
        <v>0.64549999999999996</v>
      </c>
      <c r="N111" s="144">
        <f t="shared" si="111"/>
        <v>0.30299999999999999</v>
      </c>
      <c r="O111" s="144">
        <f t="shared" si="2"/>
        <v>0.1955865</v>
      </c>
    </row>
    <row r="112" spans="1:15">
      <c r="A112" s="18">
        <v>99801292</v>
      </c>
      <c r="B112" s="19" t="s">
        <v>97</v>
      </c>
      <c r="C112" s="141">
        <v>4093</v>
      </c>
      <c r="D112" s="142">
        <v>4</v>
      </c>
      <c r="E112" s="19">
        <v>1.5</v>
      </c>
      <c r="F112" s="19">
        <v>0.7</v>
      </c>
      <c r="G112" s="19">
        <v>75</v>
      </c>
      <c r="H112" s="19">
        <v>445.5</v>
      </c>
      <c r="I112" s="19">
        <v>103</v>
      </c>
      <c r="J112" s="19">
        <v>216</v>
      </c>
      <c r="K112" s="143">
        <f t="shared" si="0"/>
        <v>112.5</v>
      </c>
      <c r="M112" s="144">
        <f t="shared" ref="M112:N112" si="112">(H112+200)/1000</f>
        <v>0.64549999999999996</v>
      </c>
      <c r="N112" s="144">
        <f t="shared" si="112"/>
        <v>0.30299999999999999</v>
      </c>
      <c r="O112" s="144">
        <f t="shared" si="2"/>
        <v>0.1955865</v>
      </c>
    </row>
    <row r="113" spans="1:15">
      <c r="A113" s="145">
        <v>99801293</v>
      </c>
      <c r="B113" s="146" t="s">
        <v>111</v>
      </c>
      <c r="C113" s="147">
        <v>4209</v>
      </c>
      <c r="D113" s="148">
        <v>4</v>
      </c>
      <c r="E113" s="146">
        <v>2.2000000000000002</v>
      </c>
      <c r="F113" s="146">
        <v>0.7</v>
      </c>
      <c r="G113" s="146">
        <v>85</v>
      </c>
      <c r="H113" s="146">
        <v>445.5</v>
      </c>
      <c r="I113" s="146">
        <v>103</v>
      </c>
      <c r="J113" s="146">
        <v>216</v>
      </c>
      <c r="K113" s="149">
        <f t="shared" si="0"/>
        <v>127.5</v>
      </c>
      <c r="M113" s="144">
        <f t="shared" ref="M113:N113" si="113">(H113+200)/1000</f>
        <v>0.64549999999999996</v>
      </c>
      <c r="N113" s="144">
        <f t="shared" si="113"/>
        <v>0.30299999999999999</v>
      </c>
      <c r="O113" s="144">
        <f t="shared" si="2"/>
        <v>0.1955865</v>
      </c>
    </row>
    <row r="114" spans="1:15">
      <c r="A114" s="18">
        <v>99801294</v>
      </c>
      <c r="B114" s="19" t="s">
        <v>118</v>
      </c>
      <c r="C114" s="141">
        <v>4331</v>
      </c>
      <c r="D114" s="142">
        <v>4</v>
      </c>
      <c r="E114" s="19">
        <v>3</v>
      </c>
      <c r="F114" s="19">
        <v>0.7</v>
      </c>
      <c r="G114" s="19">
        <v>95</v>
      </c>
      <c r="H114" s="19">
        <v>523.5</v>
      </c>
      <c r="I114" s="19">
        <v>103</v>
      </c>
      <c r="J114" s="19">
        <v>216</v>
      </c>
      <c r="K114" s="143">
        <f t="shared" si="0"/>
        <v>142.5</v>
      </c>
      <c r="M114" s="144">
        <f t="shared" ref="M114:N114" si="114">(H114+200)/1000</f>
        <v>0.72350000000000003</v>
      </c>
      <c r="N114" s="144">
        <f t="shared" si="114"/>
        <v>0.30299999999999999</v>
      </c>
      <c r="O114" s="144">
        <f t="shared" si="2"/>
        <v>0.21922050000000001</v>
      </c>
    </row>
    <row r="115" spans="1:15">
      <c r="A115" s="145">
        <v>99801295</v>
      </c>
      <c r="B115" s="146" t="s">
        <v>107</v>
      </c>
      <c r="C115" s="147">
        <v>4750</v>
      </c>
      <c r="D115" s="148">
        <v>4</v>
      </c>
      <c r="E115" s="146">
        <v>2.2000000000000002</v>
      </c>
      <c r="F115" s="146">
        <v>0.7</v>
      </c>
      <c r="G115" s="146">
        <v>100</v>
      </c>
      <c r="H115" s="146">
        <v>497.5</v>
      </c>
      <c r="I115" s="146">
        <v>103</v>
      </c>
      <c r="J115" s="146">
        <v>254</v>
      </c>
      <c r="K115" s="149">
        <f t="shared" si="0"/>
        <v>150</v>
      </c>
      <c r="M115" s="144">
        <f t="shared" ref="M115:N115" si="115">(H115+200)/1000</f>
        <v>0.69750000000000001</v>
      </c>
      <c r="N115" s="144">
        <f t="shared" si="115"/>
        <v>0.30299999999999999</v>
      </c>
      <c r="O115" s="144">
        <f t="shared" si="2"/>
        <v>0.21134249999999999</v>
      </c>
    </row>
    <row r="116" spans="1:15">
      <c r="A116" s="18">
        <v>99801296</v>
      </c>
      <c r="B116" s="19" t="s">
        <v>117</v>
      </c>
      <c r="C116" s="141">
        <v>4876</v>
      </c>
      <c r="D116" s="142">
        <v>4</v>
      </c>
      <c r="E116" s="19">
        <v>3</v>
      </c>
      <c r="F116" s="19">
        <v>0.7</v>
      </c>
      <c r="G116" s="19">
        <v>112</v>
      </c>
      <c r="H116" s="19">
        <v>567.5</v>
      </c>
      <c r="I116" s="19">
        <v>103</v>
      </c>
      <c r="J116" s="19">
        <v>254</v>
      </c>
      <c r="K116" s="143">
        <f t="shared" si="0"/>
        <v>168</v>
      </c>
      <c r="M116" s="144">
        <f t="shared" ref="M116:N116" si="116">(H116+200)/1000</f>
        <v>0.76749999999999996</v>
      </c>
      <c r="N116" s="144">
        <f t="shared" si="116"/>
        <v>0.30299999999999999</v>
      </c>
      <c r="O116" s="144">
        <f t="shared" si="2"/>
        <v>0.23255249999999997</v>
      </c>
    </row>
    <row r="117" spans="1:15">
      <c r="A117" s="145">
        <v>99801297</v>
      </c>
      <c r="B117" s="146" t="s">
        <v>143</v>
      </c>
      <c r="C117" s="147">
        <v>5214</v>
      </c>
      <c r="D117" s="148">
        <v>4</v>
      </c>
      <c r="E117" s="146">
        <v>4</v>
      </c>
      <c r="F117" s="146">
        <v>0.7</v>
      </c>
      <c r="G117" s="146">
        <v>116</v>
      </c>
      <c r="H117" s="146">
        <v>567.5</v>
      </c>
      <c r="I117" s="146">
        <v>141</v>
      </c>
      <c r="J117" s="146">
        <v>254</v>
      </c>
      <c r="K117" s="149">
        <f t="shared" si="0"/>
        <v>174</v>
      </c>
      <c r="M117" s="144">
        <f t="shared" ref="M117:N117" si="117">(H117+200)/1000</f>
        <v>0.76749999999999996</v>
      </c>
      <c r="N117" s="144">
        <f t="shared" si="117"/>
        <v>0.34100000000000003</v>
      </c>
      <c r="O117" s="144">
        <f t="shared" si="2"/>
        <v>0.26171749999999999</v>
      </c>
    </row>
    <row r="118" spans="1:15">
      <c r="A118" s="18">
        <v>99801298</v>
      </c>
      <c r="B118" s="19" t="s">
        <v>147</v>
      </c>
      <c r="C118" s="141">
        <v>6424</v>
      </c>
      <c r="D118" s="142">
        <v>4</v>
      </c>
      <c r="E118" s="19">
        <v>4</v>
      </c>
      <c r="F118" s="19">
        <v>0.7</v>
      </c>
      <c r="G118" s="19">
        <v>155</v>
      </c>
      <c r="H118" s="19">
        <v>598</v>
      </c>
      <c r="I118" s="19">
        <v>141</v>
      </c>
      <c r="J118" s="19">
        <v>284</v>
      </c>
      <c r="K118" s="143">
        <f t="shared" si="0"/>
        <v>232.5</v>
      </c>
      <c r="M118" s="144">
        <f t="shared" ref="M118:N118" si="118">(H118+200)/1000</f>
        <v>0.79800000000000004</v>
      </c>
      <c r="N118" s="144">
        <f t="shared" si="118"/>
        <v>0.34100000000000003</v>
      </c>
      <c r="O118" s="144">
        <f t="shared" si="2"/>
        <v>0.27211800000000003</v>
      </c>
    </row>
    <row r="119" spans="1:15">
      <c r="A119" s="145">
        <v>99801299</v>
      </c>
      <c r="B119" s="146" t="s">
        <v>163</v>
      </c>
      <c r="C119" s="147">
        <v>6545</v>
      </c>
      <c r="D119" s="148">
        <v>4</v>
      </c>
      <c r="E119" s="146">
        <v>5.5</v>
      </c>
      <c r="F119" s="146">
        <v>0.7</v>
      </c>
      <c r="G119" s="146">
        <v>191</v>
      </c>
      <c r="H119" s="146">
        <v>668</v>
      </c>
      <c r="I119" s="146">
        <v>141</v>
      </c>
      <c r="J119" s="146">
        <v>284</v>
      </c>
      <c r="K119" s="149">
        <f t="shared" si="0"/>
        <v>286.5</v>
      </c>
      <c r="M119" s="144">
        <f t="shared" ref="M119:N119" si="119">(H119+200)/1000</f>
        <v>0.86799999999999999</v>
      </c>
      <c r="N119" s="144">
        <f t="shared" si="119"/>
        <v>0.34100000000000003</v>
      </c>
      <c r="O119" s="144">
        <f t="shared" si="2"/>
        <v>0.29598800000000003</v>
      </c>
    </row>
    <row r="120" spans="1:15">
      <c r="A120" s="18">
        <v>99801300</v>
      </c>
      <c r="B120" s="19" t="s">
        <v>173</v>
      </c>
      <c r="C120" s="141">
        <v>6761</v>
      </c>
      <c r="D120" s="142">
        <v>4</v>
      </c>
      <c r="E120" s="19">
        <v>7.5</v>
      </c>
      <c r="F120" s="19">
        <v>0.7</v>
      </c>
      <c r="G120" s="19">
        <v>201</v>
      </c>
      <c r="H120" s="19">
        <v>668</v>
      </c>
      <c r="I120" s="19">
        <v>141</v>
      </c>
      <c r="J120" s="19">
        <v>284</v>
      </c>
      <c r="K120" s="143">
        <f t="shared" si="0"/>
        <v>301.5</v>
      </c>
      <c r="M120" s="144">
        <f t="shared" ref="M120:N120" si="120">(H120+200)/1000</f>
        <v>0.86799999999999999</v>
      </c>
      <c r="N120" s="144">
        <f t="shared" si="120"/>
        <v>0.34100000000000003</v>
      </c>
      <c r="O120" s="144">
        <f t="shared" si="2"/>
        <v>0.29598800000000003</v>
      </c>
    </row>
    <row r="121" spans="1:15">
      <c r="A121" s="145">
        <v>99801301</v>
      </c>
      <c r="B121" s="146" t="s">
        <v>186</v>
      </c>
      <c r="C121" s="147">
        <v>9499</v>
      </c>
      <c r="D121" s="148">
        <v>4</v>
      </c>
      <c r="E121" s="146">
        <v>11</v>
      </c>
      <c r="F121" s="146">
        <v>0.7</v>
      </c>
      <c r="G121" s="146">
        <v>256</v>
      </c>
      <c r="H121" s="146">
        <v>886</v>
      </c>
      <c r="I121" s="146">
        <v>417</v>
      </c>
      <c r="J121" s="146">
        <v>505</v>
      </c>
      <c r="K121" s="149">
        <f t="shared" si="0"/>
        <v>384</v>
      </c>
      <c r="M121" s="144">
        <f t="shared" ref="M121:N121" si="121">(H121+200)/1000</f>
        <v>1.0860000000000001</v>
      </c>
      <c r="N121" s="144">
        <f t="shared" si="121"/>
        <v>0.61699999999999999</v>
      </c>
      <c r="O121" s="144">
        <f t="shared" si="2"/>
        <v>0.67006200000000005</v>
      </c>
    </row>
    <row r="122" spans="1:15">
      <c r="A122" s="18">
        <v>99801302</v>
      </c>
      <c r="B122" s="19" t="s">
        <v>82</v>
      </c>
      <c r="C122" s="141">
        <v>3692</v>
      </c>
      <c r="D122" s="142">
        <v>4</v>
      </c>
      <c r="E122" s="19">
        <v>0.55000000000000004</v>
      </c>
      <c r="F122" s="19">
        <v>0.7</v>
      </c>
      <c r="G122" s="19">
        <v>52</v>
      </c>
      <c r="H122" s="19">
        <v>381</v>
      </c>
      <c r="I122" s="19">
        <v>103</v>
      </c>
      <c r="J122" s="19">
        <v>216</v>
      </c>
      <c r="K122" s="143">
        <f t="shared" si="0"/>
        <v>78</v>
      </c>
      <c r="M122" s="144">
        <f t="shared" ref="M122:N122" si="122">(H122+200)/1000</f>
        <v>0.58099999999999996</v>
      </c>
      <c r="N122" s="144">
        <f t="shared" si="122"/>
        <v>0.30299999999999999</v>
      </c>
      <c r="O122" s="144">
        <f t="shared" si="2"/>
        <v>0.17604299999999998</v>
      </c>
    </row>
    <row r="123" spans="1:15">
      <c r="A123" s="145">
        <v>99801303</v>
      </c>
      <c r="B123" s="146" t="s">
        <v>84</v>
      </c>
      <c r="C123" s="147">
        <v>3774</v>
      </c>
      <c r="D123" s="148">
        <v>4</v>
      </c>
      <c r="E123" s="146">
        <v>0.75</v>
      </c>
      <c r="F123" s="146">
        <v>0.7</v>
      </c>
      <c r="G123" s="146">
        <v>55</v>
      </c>
      <c r="H123" s="146">
        <v>446</v>
      </c>
      <c r="I123" s="146">
        <v>103</v>
      </c>
      <c r="J123" s="146">
        <v>216</v>
      </c>
      <c r="K123" s="149">
        <f t="shared" si="0"/>
        <v>82.5</v>
      </c>
      <c r="M123" s="144">
        <f t="shared" ref="M123:N123" si="123">(H123+200)/1000</f>
        <v>0.64600000000000002</v>
      </c>
      <c r="N123" s="144">
        <f t="shared" si="123"/>
        <v>0.30299999999999999</v>
      </c>
      <c r="O123" s="144">
        <f t="shared" si="2"/>
        <v>0.195738</v>
      </c>
    </row>
    <row r="124" spans="1:15">
      <c r="A124" s="18">
        <v>99801304</v>
      </c>
      <c r="B124" s="19" t="s">
        <v>88</v>
      </c>
      <c r="C124" s="141">
        <v>3832</v>
      </c>
      <c r="D124" s="142">
        <v>4</v>
      </c>
      <c r="E124" s="19">
        <v>1.1000000000000001</v>
      </c>
      <c r="F124" s="19">
        <v>0.7</v>
      </c>
      <c r="G124" s="19">
        <v>61</v>
      </c>
      <c r="H124" s="19">
        <v>446</v>
      </c>
      <c r="I124" s="19">
        <v>103</v>
      </c>
      <c r="J124" s="19">
        <v>216</v>
      </c>
      <c r="K124" s="143">
        <f t="shared" si="0"/>
        <v>91.5</v>
      </c>
      <c r="M124" s="144">
        <f t="shared" ref="M124:N124" si="124">(H124+200)/1000</f>
        <v>0.64600000000000002</v>
      </c>
      <c r="N124" s="144">
        <f t="shared" si="124"/>
        <v>0.30299999999999999</v>
      </c>
      <c r="O124" s="144">
        <f t="shared" si="2"/>
        <v>0.195738</v>
      </c>
    </row>
    <row r="125" spans="1:15">
      <c r="A125" s="145">
        <v>99801305</v>
      </c>
      <c r="B125" s="146" t="s">
        <v>91</v>
      </c>
      <c r="C125" s="147">
        <v>3930</v>
      </c>
      <c r="D125" s="148">
        <v>4</v>
      </c>
      <c r="E125" s="146">
        <v>1.5</v>
      </c>
      <c r="F125" s="146">
        <v>0.7</v>
      </c>
      <c r="G125" s="146">
        <v>65</v>
      </c>
      <c r="H125" s="146">
        <v>446</v>
      </c>
      <c r="I125" s="146">
        <v>103</v>
      </c>
      <c r="J125" s="146">
        <v>216</v>
      </c>
      <c r="K125" s="149">
        <f t="shared" si="0"/>
        <v>97.5</v>
      </c>
      <c r="M125" s="144">
        <f t="shared" ref="M125:N125" si="125">(H125+200)/1000</f>
        <v>0.64600000000000002</v>
      </c>
      <c r="N125" s="144">
        <f t="shared" si="125"/>
        <v>0.30299999999999999</v>
      </c>
      <c r="O125" s="144">
        <f t="shared" si="2"/>
        <v>0.195738</v>
      </c>
    </row>
    <row r="126" spans="1:15">
      <c r="A126" s="18">
        <v>99801306</v>
      </c>
      <c r="B126" s="19" t="s">
        <v>160</v>
      </c>
      <c r="C126" s="141">
        <v>4259</v>
      </c>
      <c r="D126" s="142">
        <v>4</v>
      </c>
      <c r="E126" s="19">
        <v>2.2000000000000002</v>
      </c>
      <c r="F126" s="19">
        <v>0.7</v>
      </c>
      <c r="G126" s="19">
        <v>73</v>
      </c>
      <c r="H126" s="19">
        <v>446</v>
      </c>
      <c r="I126" s="19">
        <v>103</v>
      </c>
      <c r="J126" s="19">
        <v>216</v>
      </c>
      <c r="K126" s="143">
        <f t="shared" si="0"/>
        <v>109.5</v>
      </c>
      <c r="M126" s="144">
        <f t="shared" ref="M126:N126" si="126">(H126+200)/1000</f>
        <v>0.64600000000000002</v>
      </c>
      <c r="N126" s="144">
        <f t="shared" si="126"/>
        <v>0.30299999999999999</v>
      </c>
      <c r="O126" s="144">
        <f t="shared" si="2"/>
        <v>0.195738</v>
      </c>
    </row>
    <row r="127" spans="1:15">
      <c r="A127" s="145">
        <v>99801307</v>
      </c>
      <c r="B127" s="146" t="s">
        <v>103</v>
      </c>
      <c r="C127" s="147">
        <v>4400</v>
      </c>
      <c r="D127" s="148">
        <v>4</v>
      </c>
      <c r="E127" s="146">
        <v>1.5</v>
      </c>
      <c r="F127" s="146">
        <v>0.7</v>
      </c>
      <c r="G127" s="146">
        <v>87</v>
      </c>
      <c r="H127" s="146">
        <v>472.5</v>
      </c>
      <c r="I127" s="146">
        <v>107</v>
      </c>
      <c r="J127" s="146">
        <v>254</v>
      </c>
      <c r="K127" s="149">
        <f t="shared" si="0"/>
        <v>130.5</v>
      </c>
      <c r="M127" s="144">
        <f t="shared" ref="M127:N127" si="127">(H127+200)/1000</f>
        <v>0.67249999999999999</v>
      </c>
      <c r="N127" s="144">
        <f t="shared" si="127"/>
        <v>0.307</v>
      </c>
      <c r="O127" s="144">
        <f t="shared" si="2"/>
        <v>0.20645749999999999</v>
      </c>
    </row>
    <row r="128" spans="1:15">
      <c r="A128" s="18">
        <v>99801308</v>
      </c>
      <c r="B128" s="19" t="s">
        <v>106</v>
      </c>
      <c r="C128" s="141">
        <v>4488</v>
      </c>
      <c r="D128" s="142">
        <v>4</v>
      </c>
      <c r="E128" s="19">
        <v>2.2000000000000002</v>
      </c>
      <c r="F128" s="19">
        <v>0.7</v>
      </c>
      <c r="G128" s="19">
        <v>96</v>
      </c>
      <c r="H128" s="19">
        <v>472.5</v>
      </c>
      <c r="I128" s="19">
        <v>107</v>
      </c>
      <c r="J128" s="19">
        <v>254</v>
      </c>
      <c r="K128" s="143">
        <f t="shared" si="0"/>
        <v>144</v>
      </c>
      <c r="M128" s="144">
        <f t="shared" ref="M128:N128" si="128">(H128+200)/1000</f>
        <v>0.67249999999999999</v>
      </c>
      <c r="N128" s="144">
        <f t="shared" si="128"/>
        <v>0.307</v>
      </c>
      <c r="O128" s="144">
        <f t="shared" si="2"/>
        <v>0.20645749999999999</v>
      </c>
    </row>
    <row r="129" spans="1:15">
      <c r="A129" s="145">
        <v>99801309</v>
      </c>
      <c r="B129" s="146" t="s">
        <v>112</v>
      </c>
      <c r="C129" s="147">
        <v>4735</v>
      </c>
      <c r="D129" s="148">
        <v>4</v>
      </c>
      <c r="E129" s="146">
        <v>3</v>
      </c>
      <c r="F129" s="146">
        <v>0.7</v>
      </c>
      <c r="G129" s="146">
        <v>107</v>
      </c>
      <c r="H129" s="146">
        <v>542.5</v>
      </c>
      <c r="I129" s="146">
        <v>107</v>
      </c>
      <c r="J129" s="146">
        <v>254</v>
      </c>
      <c r="K129" s="149">
        <f t="shared" si="0"/>
        <v>160.5</v>
      </c>
      <c r="M129" s="144">
        <f t="shared" ref="M129:N129" si="129">(H129+200)/1000</f>
        <v>0.74250000000000005</v>
      </c>
      <c r="N129" s="144">
        <f t="shared" si="129"/>
        <v>0.307</v>
      </c>
      <c r="O129" s="144">
        <f t="shared" si="2"/>
        <v>0.22794750000000003</v>
      </c>
    </row>
    <row r="130" spans="1:15">
      <c r="A130" s="18">
        <v>99801310</v>
      </c>
      <c r="B130" s="19" t="s">
        <v>131</v>
      </c>
      <c r="C130" s="141">
        <v>4988</v>
      </c>
      <c r="D130" s="142">
        <v>4</v>
      </c>
      <c r="E130" s="19">
        <v>4</v>
      </c>
      <c r="F130" s="19">
        <v>0.7</v>
      </c>
      <c r="G130" s="19">
        <v>111</v>
      </c>
      <c r="H130" s="19">
        <v>542.5</v>
      </c>
      <c r="I130" s="19">
        <v>145</v>
      </c>
      <c r="J130" s="19">
        <v>254</v>
      </c>
      <c r="K130" s="143">
        <f t="shared" si="0"/>
        <v>166.5</v>
      </c>
      <c r="M130" s="144">
        <f t="shared" ref="M130:N130" si="130">(H130+200)/1000</f>
        <v>0.74250000000000005</v>
      </c>
      <c r="N130" s="144">
        <f t="shared" si="130"/>
        <v>0.34499999999999997</v>
      </c>
      <c r="O130" s="144">
        <f t="shared" si="2"/>
        <v>0.25616250000000002</v>
      </c>
    </row>
    <row r="131" spans="1:15">
      <c r="A131" s="145">
        <v>99801311</v>
      </c>
      <c r="B131" s="146" t="s">
        <v>133</v>
      </c>
      <c r="C131" s="147">
        <v>6054</v>
      </c>
      <c r="D131" s="148">
        <v>4</v>
      </c>
      <c r="E131" s="146">
        <v>3</v>
      </c>
      <c r="F131" s="146">
        <v>0.7</v>
      </c>
      <c r="G131" s="146">
        <v>136</v>
      </c>
      <c r="H131" s="146">
        <v>598</v>
      </c>
      <c r="I131" s="146">
        <v>107</v>
      </c>
      <c r="J131" s="146">
        <v>284</v>
      </c>
      <c r="K131" s="149">
        <f t="shared" si="0"/>
        <v>204</v>
      </c>
      <c r="M131" s="144">
        <f t="shared" ref="M131:N131" si="131">(H131+200)/1000</f>
        <v>0.79800000000000004</v>
      </c>
      <c r="N131" s="144">
        <f t="shared" si="131"/>
        <v>0.307</v>
      </c>
      <c r="O131" s="144">
        <f t="shared" si="2"/>
        <v>0.24498600000000001</v>
      </c>
    </row>
    <row r="132" spans="1:15">
      <c r="A132" s="18">
        <v>99801312</v>
      </c>
      <c r="B132" s="19" t="s">
        <v>141</v>
      </c>
      <c r="C132" s="141">
        <v>5746</v>
      </c>
      <c r="D132" s="142">
        <v>4</v>
      </c>
      <c r="E132" s="19">
        <v>4</v>
      </c>
      <c r="F132" s="19">
        <v>0.7</v>
      </c>
      <c r="G132" s="19">
        <v>141</v>
      </c>
      <c r="H132" s="19">
        <v>598</v>
      </c>
      <c r="I132" s="19">
        <v>145</v>
      </c>
      <c r="J132" s="19">
        <v>284</v>
      </c>
      <c r="K132" s="143">
        <f t="shared" si="0"/>
        <v>211.5</v>
      </c>
      <c r="M132" s="144">
        <f t="shared" ref="M132:N132" si="132">(H132+200)/1000</f>
        <v>0.79800000000000004</v>
      </c>
      <c r="N132" s="144">
        <f t="shared" si="132"/>
        <v>0.34499999999999997</v>
      </c>
      <c r="O132" s="144">
        <f t="shared" si="2"/>
        <v>0.27531</v>
      </c>
    </row>
    <row r="133" spans="1:15">
      <c r="A133" s="145">
        <v>99801313</v>
      </c>
      <c r="B133" s="146" t="s">
        <v>152</v>
      </c>
      <c r="C133" s="147">
        <v>5803</v>
      </c>
      <c r="D133" s="148">
        <v>4</v>
      </c>
      <c r="E133" s="146">
        <v>5.5</v>
      </c>
      <c r="F133" s="146">
        <v>0.7</v>
      </c>
      <c r="G133" s="146">
        <v>177</v>
      </c>
      <c r="H133" s="146">
        <v>668</v>
      </c>
      <c r="I133" s="146">
        <v>145</v>
      </c>
      <c r="J133" s="146">
        <v>284</v>
      </c>
      <c r="K133" s="149">
        <f t="shared" si="0"/>
        <v>265.5</v>
      </c>
      <c r="M133" s="144">
        <f t="shared" ref="M133:N133" si="133">(H133+200)/1000</f>
        <v>0.86799999999999999</v>
      </c>
      <c r="N133" s="144">
        <f t="shared" si="133"/>
        <v>0.34499999999999997</v>
      </c>
      <c r="O133" s="144">
        <f t="shared" si="2"/>
        <v>0.29945999999999995</v>
      </c>
    </row>
    <row r="134" spans="1:15">
      <c r="A134" s="18">
        <v>99801314</v>
      </c>
      <c r="B134" s="19" t="s">
        <v>161</v>
      </c>
      <c r="C134" s="141">
        <v>6249</v>
      </c>
      <c r="D134" s="142">
        <v>4</v>
      </c>
      <c r="E134" s="19">
        <v>7.5</v>
      </c>
      <c r="F134" s="19">
        <v>0.7</v>
      </c>
      <c r="G134" s="19">
        <v>187</v>
      </c>
      <c r="H134" s="19">
        <v>668</v>
      </c>
      <c r="I134" s="19">
        <v>145</v>
      </c>
      <c r="J134" s="19">
        <v>284</v>
      </c>
      <c r="K134" s="143">
        <f t="shared" si="0"/>
        <v>280.5</v>
      </c>
      <c r="M134" s="144">
        <f t="shared" ref="M134:N134" si="134">(H134+200)/1000</f>
        <v>0.86799999999999999</v>
      </c>
      <c r="N134" s="144">
        <f t="shared" si="134"/>
        <v>0.34499999999999997</v>
      </c>
      <c r="O134" s="144">
        <f t="shared" si="2"/>
        <v>0.29945999999999995</v>
      </c>
    </row>
    <row r="135" spans="1:15">
      <c r="A135" s="145">
        <v>99801315</v>
      </c>
      <c r="B135" s="146" t="s">
        <v>169</v>
      </c>
      <c r="C135" s="147">
        <v>7608</v>
      </c>
      <c r="D135" s="148">
        <v>4</v>
      </c>
      <c r="E135" s="146">
        <v>5.5</v>
      </c>
      <c r="F135" s="146">
        <v>0.7</v>
      </c>
      <c r="G135" s="146">
        <v>196</v>
      </c>
      <c r="H135" s="146">
        <v>666</v>
      </c>
      <c r="I135" s="146">
        <v>145</v>
      </c>
      <c r="J135" s="146">
        <v>319</v>
      </c>
      <c r="K135" s="149">
        <f t="shared" si="0"/>
        <v>294</v>
      </c>
      <c r="M135" s="144">
        <f t="shared" ref="M135:N135" si="135">(H135+200)/1000</f>
        <v>0.86599999999999999</v>
      </c>
      <c r="N135" s="144">
        <f t="shared" si="135"/>
        <v>0.34499999999999997</v>
      </c>
      <c r="O135" s="144">
        <f t="shared" si="2"/>
        <v>0.29876999999999998</v>
      </c>
    </row>
    <row r="136" spans="1:15">
      <c r="A136" s="18">
        <v>99801316</v>
      </c>
      <c r="B136" s="19" t="s">
        <v>176</v>
      </c>
      <c r="C136" s="141">
        <v>7961</v>
      </c>
      <c r="D136" s="142">
        <v>4</v>
      </c>
      <c r="E136" s="19">
        <v>7.5</v>
      </c>
      <c r="F136" s="19">
        <v>0.7</v>
      </c>
      <c r="G136" s="19">
        <v>205</v>
      </c>
      <c r="H136" s="19">
        <v>666</v>
      </c>
      <c r="I136" s="19">
        <v>145</v>
      </c>
      <c r="J136" s="19">
        <v>319</v>
      </c>
      <c r="K136" s="143">
        <f t="shared" si="0"/>
        <v>307.5</v>
      </c>
      <c r="M136" s="144">
        <f t="shared" ref="M136:N136" si="136">(H136+200)/1000</f>
        <v>0.86599999999999999</v>
      </c>
      <c r="N136" s="144">
        <f t="shared" si="136"/>
        <v>0.34499999999999997</v>
      </c>
      <c r="O136" s="144">
        <f t="shared" si="2"/>
        <v>0.29876999999999998</v>
      </c>
    </row>
    <row r="137" spans="1:15">
      <c r="A137" s="145">
        <v>99801317</v>
      </c>
      <c r="B137" s="146" t="s">
        <v>190</v>
      </c>
      <c r="C137" s="147">
        <v>8987</v>
      </c>
      <c r="D137" s="148">
        <v>4</v>
      </c>
      <c r="E137" s="146">
        <v>11</v>
      </c>
      <c r="F137" s="146">
        <v>0.7</v>
      </c>
      <c r="G137" s="146">
        <v>263</v>
      </c>
      <c r="H137" s="146">
        <v>884</v>
      </c>
      <c r="I137" s="146">
        <v>430</v>
      </c>
      <c r="J137" s="146">
        <v>505</v>
      </c>
      <c r="K137" s="149">
        <f t="shared" si="0"/>
        <v>394.5</v>
      </c>
      <c r="M137" s="144">
        <f t="shared" ref="M137:N137" si="137">(H137+200)/1000</f>
        <v>1.0840000000000001</v>
      </c>
      <c r="N137" s="144">
        <f t="shared" si="137"/>
        <v>0.63</v>
      </c>
      <c r="O137" s="144">
        <f t="shared" si="2"/>
        <v>0.68292000000000008</v>
      </c>
    </row>
    <row r="138" spans="1:15">
      <c r="A138" s="18">
        <v>99801318</v>
      </c>
      <c r="B138" s="19" t="s">
        <v>187</v>
      </c>
      <c r="C138" s="141">
        <v>9411</v>
      </c>
      <c r="D138" s="142">
        <v>4</v>
      </c>
      <c r="E138" s="19">
        <v>15</v>
      </c>
      <c r="F138" s="19">
        <v>0.7</v>
      </c>
      <c r="G138" s="19">
        <v>258</v>
      </c>
      <c r="H138" s="19">
        <v>928</v>
      </c>
      <c r="I138" s="19">
        <v>430</v>
      </c>
      <c r="J138" s="19">
        <v>505</v>
      </c>
      <c r="K138" s="143">
        <f t="shared" si="0"/>
        <v>387</v>
      </c>
      <c r="M138" s="144">
        <f t="shared" ref="M138:N138" si="138">(H138+200)/1000</f>
        <v>1.1279999999999999</v>
      </c>
      <c r="N138" s="144">
        <f t="shared" si="138"/>
        <v>0.63</v>
      </c>
      <c r="O138" s="144">
        <f t="shared" si="2"/>
        <v>0.71063999999999994</v>
      </c>
    </row>
    <row r="139" spans="1:15">
      <c r="A139" s="145">
        <v>99801319</v>
      </c>
      <c r="B139" s="146" t="s">
        <v>94</v>
      </c>
      <c r="C139" s="147">
        <v>3912</v>
      </c>
      <c r="D139" s="148">
        <v>4</v>
      </c>
      <c r="E139" s="146">
        <v>0.75</v>
      </c>
      <c r="F139" s="146">
        <v>0.7</v>
      </c>
      <c r="G139" s="146">
        <v>71</v>
      </c>
      <c r="H139" s="146">
        <v>473</v>
      </c>
      <c r="I139" s="146">
        <v>107</v>
      </c>
      <c r="J139" s="146">
        <v>216</v>
      </c>
      <c r="K139" s="149">
        <f t="shared" si="0"/>
        <v>106.5</v>
      </c>
      <c r="M139" s="144">
        <f t="shared" ref="M139:N139" si="139">(H139+200)/1000</f>
        <v>0.67300000000000004</v>
      </c>
      <c r="N139" s="144">
        <f t="shared" si="139"/>
        <v>0.307</v>
      </c>
      <c r="O139" s="144">
        <f t="shared" si="2"/>
        <v>0.20661100000000002</v>
      </c>
    </row>
    <row r="140" spans="1:15">
      <c r="A140" s="18">
        <v>99801320</v>
      </c>
      <c r="B140" s="19" t="s">
        <v>98</v>
      </c>
      <c r="C140" s="141">
        <v>4298</v>
      </c>
      <c r="D140" s="142">
        <v>4</v>
      </c>
      <c r="E140" s="19">
        <v>1.1000000000000001</v>
      </c>
      <c r="F140" s="19">
        <v>0.7</v>
      </c>
      <c r="G140" s="19">
        <v>76</v>
      </c>
      <c r="H140" s="19">
        <v>473</v>
      </c>
      <c r="I140" s="19">
        <v>107</v>
      </c>
      <c r="J140" s="19">
        <v>216</v>
      </c>
      <c r="K140" s="143">
        <f t="shared" si="0"/>
        <v>114</v>
      </c>
      <c r="M140" s="144">
        <f t="shared" ref="M140:N140" si="140">(H140+200)/1000</f>
        <v>0.67300000000000004</v>
      </c>
      <c r="N140" s="144">
        <f t="shared" si="140"/>
        <v>0.307</v>
      </c>
      <c r="O140" s="144">
        <f t="shared" si="2"/>
        <v>0.20661100000000002</v>
      </c>
    </row>
    <row r="141" spans="1:15">
      <c r="A141" s="145">
        <v>99801321</v>
      </c>
      <c r="B141" s="146" t="s">
        <v>100</v>
      </c>
      <c r="C141" s="147">
        <v>4327</v>
      </c>
      <c r="D141" s="148">
        <v>4</v>
      </c>
      <c r="E141" s="146">
        <v>1.5</v>
      </c>
      <c r="F141" s="146">
        <v>0.7</v>
      </c>
      <c r="G141" s="146">
        <v>79</v>
      </c>
      <c r="H141" s="146">
        <v>473</v>
      </c>
      <c r="I141" s="146">
        <v>107</v>
      </c>
      <c r="J141" s="146">
        <v>216</v>
      </c>
      <c r="K141" s="149">
        <f t="shared" si="0"/>
        <v>118.5</v>
      </c>
      <c r="M141" s="144">
        <f t="shared" ref="M141:N141" si="141">(H141+200)/1000</f>
        <v>0.67300000000000004</v>
      </c>
      <c r="N141" s="144">
        <f t="shared" si="141"/>
        <v>0.307</v>
      </c>
      <c r="O141" s="144">
        <f t="shared" si="2"/>
        <v>0.20661100000000002</v>
      </c>
    </row>
    <row r="142" spans="1:15">
      <c r="A142" s="18">
        <v>99801323</v>
      </c>
      <c r="B142" s="19" t="s">
        <v>115</v>
      </c>
      <c r="C142" s="141">
        <v>4438</v>
      </c>
      <c r="D142" s="142">
        <v>4</v>
      </c>
      <c r="E142" s="19">
        <v>2.2000000000000002</v>
      </c>
      <c r="F142" s="19">
        <v>0.7</v>
      </c>
      <c r="G142" s="19">
        <v>89</v>
      </c>
      <c r="H142" s="19">
        <v>473</v>
      </c>
      <c r="I142" s="19">
        <v>107</v>
      </c>
      <c r="J142" s="19">
        <v>216</v>
      </c>
      <c r="K142" s="143">
        <f t="shared" si="0"/>
        <v>133.5</v>
      </c>
      <c r="M142" s="144">
        <f t="shared" ref="M142:N142" si="142">(H142+200)/1000</f>
        <v>0.67300000000000004</v>
      </c>
      <c r="N142" s="144">
        <f t="shared" si="142"/>
        <v>0.307</v>
      </c>
      <c r="O142" s="144">
        <f t="shared" si="2"/>
        <v>0.20661100000000002</v>
      </c>
    </row>
    <row r="143" spans="1:15">
      <c r="A143" s="145">
        <v>99801325</v>
      </c>
      <c r="B143" s="146" t="s">
        <v>104</v>
      </c>
      <c r="C143" s="147">
        <v>4726</v>
      </c>
      <c r="D143" s="148">
        <v>4</v>
      </c>
      <c r="E143" s="146">
        <v>1.5</v>
      </c>
      <c r="F143" s="146">
        <v>0.7</v>
      </c>
      <c r="G143" s="146">
        <v>88</v>
      </c>
      <c r="H143" s="146">
        <v>498</v>
      </c>
      <c r="I143" s="146">
        <v>107</v>
      </c>
      <c r="J143" s="146">
        <v>254</v>
      </c>
      <c r="K143" s="149">
        <f t="shared" si="0"/>
        <v>132</v>
      </c>
      <c r="M143" s="144">
        <f t="shared" ref="M143:N143" si="143">(H143+200)/1000</f>
        <v>0.69799999999999995</v>
      </c>
      <c r="N143" s="144">
        <f t="shared" si="143"/>
        <v>0.307</v>
      </c>
      <c r="O143" s="144">
        <f t="shared" si="2"/>
        <v>0.21428599999999998</v>
      </c>
    </row>
    <row r="144" spans="1:15">
      <c r="A144" s="18">
        <v>99801326</v>
      </c>
      <c r="B144" s="19" t="s">
        <v>120</v>
      </c>
      <c r="C144" s="141">
        <v>4940</v>
      </c>
      <c r="D144" s="142">
        <v>4</v>
      </c>
      <c r="E144" s="19">
        <v>2.2000000000000002</v>
      </c>
      <c r="F144" s="19">
        <v>0.7</v>
      </c>
      <c r="G144" s="19">
        <v>100</v>
      </c>
      <c r="H144" s="19">
        <v>518</v>
      </c>
      <c r="I144" s="19">
        <v>107</v>
      </c>
      <c r="J144" s="19">
        <v>254</v>
      </c>
      <c r="K144" s="143">
        <f t="shared" si="0"/>
        <v>150</v>
      </c>
      <c r="M144" s="144">
        <f t="shared" ref="M144:N144" si="144">(H144+200)/1000</f>
        <v>0.71799999999999997</v>
      </c>
      <c r="N144" s="144">
        <f t="shared" si="144"/>
        <v>0.307</v>
      </c>
      <c r="O144" s="144">
        <f t="shared" si="2"/>
        <v>0.22042599999999998</v>
      </c>
    </row>
    <row r="145" spans="1:15">
      <c r="A145" s="145">
        <v>99801327</v>
      </c>
      <c r="B145" s="146" t="s">
        <v>114</v>
      </c>
      <c r="C145" s="147">
        <v>5061</v>
      </c>
      <c r="D145" s="148">
        <v>4</v>
      </c>
      <c r="E145" s="146">
        <v>3</v>
      </c>
      <c r="F145" s="146">
        <v>0.7</v>
      </c>
      <c r="G145" s="146">
        <v>109</v>
      </c>
      <c r="H145" s="146">
        <v>568</v>
      </c>
      <c r="I145" s="146">
        <v>107</v>
      </c>
      <c r="J145" s="146">
        <v>254</v>
      </c>
      <c r="K145" s="149">
        <f t="shared" si="0"/>
        <v>163.5</v>
      </c>
      <c r="M145" s="144">
        <f t="shared" ref="M145:N145" si="145">(H145+200)/1000</f>
        <v>0.76800000000000002</v>
      </c>
      <c r="N145" s="144">
        <f t="shared" si="145"/>
        <v>0.307</v>
      </c>
      <c r="O145" s="144">
        <f t="shared" si="2"/>
        <v>0.23577600000000001</v>
      </c>
    </row>
    <row r="146" spans="1:15">
      <c r="A146" s="18">
        <v>99801328</v>
      </c>
      <c r="B146" s="19" t="s">
        <v>138</v>
      </c>
      <c r="C146" s="141">
        <v>5391</v>
      </c>
      <c r="D146" s="142">
        <v>4</v>
      </c>
      <c r="E146" s="19">
        <v>4</v>
      </c>
      <c r="F146" s="19">
        <v>0.7</v>
      </c>
      <c r="G146" s="19">
        <v>113</v>
      </c>
      <c r="H146" s="19">
        <v>568</v>
      </c>
      <c r="I146" s="19">
        <v>145</v>
      </c>
      <c r="J146" s="19">
        <v>254</v>
      </c>
      <c r="K146" s="143">
        <f t="shared" si="0"/>
        <v>169.5</v>
      </c>
      <c r="M146" s="144">
        <f t="shared" ref="M146:N146" si="146">(H146+200)/1000</f>
        <v>0.76800000000000002</v>
      </c>
      <c r="N146" s="144">
        <f t="shared" si="146"/>
        <v>0.34499999999999997</v>
      </c>
      <c r="O146" s="144">
        <f t="shared" si="2"/>
        <v>0.26495999999999997</v>
      </c>
    </row>
    <row r="147" spans="1:15">
      <c r="A147" s="145">
        <v>99801329</v>
      </c>
      <c r="B147" s="146" t="s">
        <v>116</v>
      </c>
      <c r="C147" s="147">
        <v>6503</v>
      </c>
      <c r="D147" s="148">
        <v>4</v>
      </c>
      <c r="E147" s="146">
        <v>2.2000000000000002</v>
      </c>
      <c r="F147" s="146">
        <v>0.7</v>
      </c>
      <c r="G147" s="146">
        <v>111</v>
      </c>
      <c r="H147" s="146">
        <v>528</v>
      </c>
      <c r="I147" s="146">
        <v>107</v>
      </c>
      <c r="J147" s="146">
        <v>284</v>
      </c>
      <c r="K147" s="149">
        <f t="shared" si="0"/>
        <v>166.5</v>
      </c>
      <c r="M147" s="144">
        <f t="shared" ref="M147:N147" si="147">(H147+200)/1000</f>
        <v>0.72799999999999998</v>
      </c>
      <c r="N147" s="144">
        <f t="shared" si="147"/>
        <v>0.307</v>
      </c>
      <c r="O147" s="144">
        <f t="shared" si="2"/>
        <v>0.223496</v>
      </c>
    </row>
    <row r="148" spans="1:15">
      <c r="A148" s="18">
        <v>99801330</v>
      </c>
      <c r="B148" s="19" t="s">
        <v>122</v>
      </c>
      <c r="C148" s="141">
        <v>6949</v>
      </c>
      <c r="D148" s="142">
        <v>4</v>
      </c>
      <c r="E148" s="19">
        <v>3</v>
      </c>
      <c r="F148" s="19">
        <v>0.7</v>
      </c>
      <c r="G148" s="19">
        <v>121</v>
      </c>
      <c r="H148" s="19">
        <v>598</v>
      </c>
      <c r="I148" s="19">
        <v>107</v>
      </c>
      <c r="J148" s="19">
        <v>284</v>
      </c>
      <c r="K148" s="143">
        <f t="shared" si="0"/>
        <v>181.5</v>
      </c>
      <c r="M148" s="144">
        <f t="shared" ref="M148:N148" si="148">(H148+200)/1000</f>
        <v>0.79800000000000004</v>
      </c>
      <c r="N148" s="144">
        <f t="shared" si="148"/>
        <v>0.307</v>
      </c>
      <c r="O148" s="144">
        <f t="shared" si="2"/>
        <v>0.24498600000000001</v>
      </c>
    </row>
    <row r="149" spans="1:15">
      <c r="A149" s="145">
        <v>99801331</v>
      </c>
      <c r="B149" s="146" t="s">
        <v>125</v>
      </c>
      <c r="C149" s="147">
        <v>6790</v>
      </c>
      <c r="D149" s="148">
        <v>4</v>
      </c>
      <c r="E149" s="146">
        <v>4</v>
      </c>
      <c r="F149" s="146">
        <v>0.7</v>
      </c>
      <c r="G149" s="146">
        <v>126</v>
      </c>
      <c r="H149" s="146">
        <v>598</v>
      </c>
      <c r="I149" s="146">
        <v>145</v>
      </c>
      <c r="J149" s="146">
        <v>284</v>
      </c>
      <c r="K149" s="149">
        <f t="shared" si="0"/>
        <v>189</v>
      </c>
      <c r="M149" s="144">
        <f t="shared" ref="M149:N149" si="149">(H149+200)/1000</f>
        <v>0.79800000000000004</v>
      </c>
      <c r="N149" s="144">
        <f t="shared" si="149"/>
        <v>0.34499999999999997</v>
      </c>
      <c r="O149" s="144">
        <f t="shared" si="2"/>
        <v>0.27531</v>
      </c>
    </row>
    <row r="150" spans="1:15">
      <c r="A150" s="18">
        <v>99801332</v>
      </c>
      <c r="B150" s="19" t="s">
        <v>149</v>
      </c>
      <c r="C150" s="141">
        <v>7329</v>
      </c>
      <c r="D150" s="142">
        <v>4</v>
      </c>
      <c r="E150" s="19">
        <v>5.5</v>
      </c>
      <c r="F150" s="19">
        <v>0.7</v>
      </c>
      <c r="G150" s="19">
        <v>162</v>
      </c>
      <c r="H150" s="19">
        <v>668</v>
      </c>
      <c r="I150" s="19">
        <v>145</v>
      </c>
      <c r="J150" s="19">
        <v>284</v>
      </c>
      <c r="K150" s="143">
        <f t="shared" si="0"/>
        <v>243</v>
      </c>
      <c r="M150" s="144">
        <f t="shared" ref="M150:N150" si="150">(H150+200)/1000</f>
        <v>0.86799999999999999</v>
      </c>
      <c r="N150" s="144">
        <f t="shared" si="150"/>
        <v>0.34499999999999997</v>
      </c>
      <c r="O150" s="144">
        <f t="shared" si="2"/>
        <v>0.29945999999999995</v>
      </c>
    </row>
    <row r="151" spans="1:15">
      <c r="A151" s="145">
        <v>99801334</v>
      </c>
      <c r="B151" s="146" t="s">
        <v>165</v>
      </c>
      <c r="C151" s="147">
        <v>7948</v>
      </c>
      <c r="D151" s="148">
        <v>4</v>
      </c>
      <c r="E151" s="146">
        <v>7.5</v>
      </c>
      <c r="F151" s="146">
        <v>0.48</v>
      </c>
      <c r="G151" s="146">
        <v>172</v>
      </c>
      <c r="H151" s="146">
        <v>668</v>
      </c>
      <c r="I151" s="146">
        <v>145</v>
      </c>
      <c r="J151" s="146">
        <v>284</v>
      </c>
      <c r="K151" s="149">
        <f t="shared" si="0"/>
        <v>258</v>
      </c>
      <c r="M151" s="144">
        <f t="shared" ref="M151:N151" si="151">(H151+200)/1000</f>
        <v>0.86799999999999999</v>
      </c>
      <c r="N151" s="144">
        <f t="shared" si="151"/>
        <v>0.34499999999999997</v>
      </c>
      <c r="O151" s="144">
        <f t="shared" si="2"/>
        <v>0.29945999999999995</v>
      </c>
    </row>
    <row r="152" spans="1:15">
      <c r="A152" s="18">
        <v>99801336</v>
      </c>
      <c r="B152" s="19" t="s">
        <v>154</v>
      </c>
      <c r="C152" s="141">
        <v>6825</v>
      </c>
      <c r="D152" s="142">
        <v>4</v>
      </c>
      <c r="E152" s="19">
        <v>5.5</v>
      </c>
      <c r="F152" s="19">
        <v>0.7</v>
      </c>
      <c r="G152" s="19">
        <v>181</v>
      </c>
      <c r="H152" s="19">
        <v>668</v>
      </c>
      <c r="I152" s="19">
        <v>145</v>
      </c>
      <c r="J152" s="19">
        <v>319</v>
      </c>
      <c r="K152" s="143">
        <f t="shared" si="0"/>
        <v>271.5</v>
      </c>
      <c r="M152" s="144">
        <f t="shared" ref="M152:N152" si="152">(H152+200)/1000</f>
        <v>0.86799999999999999</v>
      </c>
      <c r="N152" s="144">
        <f t="shared" si="152"/>
        <v>0.34499999999999997</v>
      </c>
      <c r="O152" s="144">
        <f t="shared" si="2"/>
        <v>0.29945999999999995</v>
      </c>
    </row>
    <row r="153" spans="1:15">
      <c r="A153" s="145">
        <v>99801337</v>
      </c>
      <c r="B153" s="146" t="s">
        <v>201</v>
      </c>
      <c r="C153" s="147">
        <v>8662</v>
      </c>
      <c r="D153" s="148">
        <v>4</v>
      </c>
      <c r="E153" s="146">
        <v>11</v>
      </c>
      <c r="F153" s="146">
        <v>0.7</v>
      </c>
      <c r="G153" s="146">
        <v>246</v>
      </c>
      <c r="H153" s="146">
        <v>886</v>
      </c>
      <c r="I153" s="146">
        <v>392</v>
      </c>
      <c r="J153" s="146">
        <v>505</v>
      </c>
      <c r="K153" s="149">
        <f t="shared" si="0"/>
        <v>369</v>
      </c>
      <c r="M153" s="144">
        <f t="shared" ref="M153:N153" si="153">(H153+200)/1000</f>
        <v>1.0860000000000001</v>
      </c>
      <c r="N153" s="144">
        <f t="shared" si="153"/>
        <v>0.59199999999999997</v>
      </c>
      <c r="O153" s="144">
        <f t="shared" si="2"/>
        <v>0.64291200000000004</v>
      </c>
    </row>
    <row r="154" spans="1:15">
      <c r="A154" s="18">
        <v>99801338</v>
      </c>
      <c r="B154" s="19" t="s">
        <v>200</v>
      </c>
      <c r="C154" s="141">
        <v>10427</v>
      </c>
      <c r="D154" s="142">
        <v>4</v>
      </c>
      <c r="E154" s="19">
        <v>11</v>
      </c>
      <c r="F154" s="19">
        <v>0.7</v>
      </c>
      <c r="G154" s="19">
        <v>280</v>
      </c>
      <c r="H154" s="19">
        <v>884</v>
      </c>
      <c r="I154" s="19">
        <v>460</v>
      </c>
      <c r="J154" s="19">
        <v>565</v>
      </c>
      <c r="K154" s="143">
        <f t="shared" si="0"/>
        <v>420</v>
      </c>
      <c r="M154" s="144">
        <f t="shared" ref="M154:N154" si="154">(H154+200)/1000</f>
        <v>1.0840000000000001</v>
      </c>
      <c r="N154" s="144">
        <f t="shared" si="154"/>
        <v>0.66</v>
      </c>
      <c r="O154" s="144">
        <f t="shared" si="2"/>
        <v>0.71544000000000008</v>
      </c>
    </row>
    <row r="155" spans="1:15">
      <c r="A155" s="145">
        <v>99801339</v>
      </c>
      <c r="B155" s="146" t="s">
        <v>197</v>
      </c>
      <c r="C155" s="147">
        <v>10906</v>
      </c>
      <c r="D155" s="148">
        <v>4</v>
      </c>
      <c r="E155" s="146">
        <v>15</v>
      </c>
      <c r="F155" s="146">
        <v>0.7</v>
      </c>
      <c r="G155" s="146">
        <v>276</v>
      </c>
      <c r="H155" s="146">
        <v>928</v>
      </c>
      <c r="I155" s="146">
        <v>460</v>
      </c>
      <c r="J155" s="146">
        <v>565</v>
      </c>
      <c r="K155" s="149">
        <f t="shared" si="0"/>
        <v>414</v>
      </c>
      <c r="M155" s="144">
        <f t="shared" ref="M155:N155" si="155">(H155+200)/1000</f>
        <v>1.1279999999999999</v>
      </c>
      <c r="N155" s="144">
        <f t="shared" si="155"/>
        <v>0.66</v>
      </c>
      <c r="O155" s="144">
        <f t="shared" si="2"/>
        <v>0.74447999999999992</v>
      </c>
    </row>
    <row r="156" spans="1:15">
      <c r="A156" s="18">
        <v>99801340</v>
      </c>
      <c r="B156" s="19" t="s">
        <v>207</v>
      </c>
      <c r="C156" s="141">
        <v>11729</v>
      </c>
      <c r="D156" s="142">
        <v>4</v>
      </c>
      <c r="E156" s="19">
        <v>18.5</v>
      </c>
      <c r="F156" s="19">
        <v>0.7</v>
      </c>
      <c r="G156" s="19">
        <v>318</v>
      </c>
      <c r="H156" s="19">
        <v>950</v>
      </c>
      <c r="I156" s="19">
        <v>460</v>
      </c>
      <c r="J156" s="19">
        <v>565</v>
      </c>
      <c r="K156" s="143">
        <f t="shared" si="0"/>
        <v>477</v>
      </c>
      <c r="M156" s="144">
        <f t="shared" ref="M156:N156" si="156">(H156+200)/1000</f>
        <v>1.1499999999999999</v>
      </c>
      <c r="N156" s="144">
        <f t="shared" si="156"/>
        <v>0.66</v>
      </c>
      <c r="O156" s="144">
        <f t="shared" si="2"/>
        <v>0.75900000000000001</v>
      </c>
    </row>
    <row r="157" spans="1:15">
      <c r="A157" s="145">
        <v>99801341</v>
      </c>
      <c r="B157" s="146" t="s">
        <v>225</v>
      </c>
      <c r="C157" s="147">
        <v>12312</v>
      </c>
      <c r="D157" s="148">
        <v>4</v>
      </c>
      <c r="E157" s="146">
        <v>22</v>
      </c>
      <c r="F157" s="146">
        <v>0.7</v>
      </c>
      <c r="G157" s="146">
        <v>368</v>
      </c>
      <c r="H157" s="146">
        <v>988</v>
      </c>
      <c r="I157" s="146">
        <v>460</v>
      </c>
      <c r="J157" s="146">
        <v>565</v>
      </c>
      <c r="K157" s="149">
        <f t="shared" si="0"/>
        <v>552</v>
      </c>
      <c r="M157" s="144">
        <f t="shared" ref="M157:N157" si="157">(H157+200)/1000</f>
        <v>1.1879999999999999</v>
      </c>
      <c r="N157" s="144">
        <f t="shared" si="157"/>
        <v>0.66</v>
      </c>
      <c r="O157" s="144">
        <f t="shared" si="2"/>
        <v>0.78408</v>
      </c>
    </row>
    <row r="158" spans="1:15">
      <c r="A158" s="18">
        <v>99801342</v>
      </c>
      <c r="B158" s="19" t="s">
        <v>219</v>
      </c>
      <c r="C158" s="141">
        <v>15647</v>
      </c>
      <c r="D158" s="142">
        <v>4</v>
      </c>
      <c r="E158" s="19">
        <v>18.5</v>
      </c>
      <c r="F158" s="19">
        <v>0.44</v>
      </c>
      <c r="G158" s="19">
        <v>356</v>
      </c>
      <c r="H158" s="19">
        <v>950</v>
      </c>
      <c r="I158" s="19">
        <v>554</v>
      </c>
      <c r="J158" s="19">
        <v>635</v>
      </c>
      <c r="K158" s="143">
        <f t="shared" si="0"/>
        <v>534</v>
      </c>
      <c r="M158" s="144">
        <f t="shared" ref="M158:N158" si="158">(H158+200)/1000</f>
        <v>1.1499999999999999</v>
      </c>
      <c r="N158" s="144">
        <f t="shared" si="158"/>
        <v>0.754</v>
      </c>
      <c r="O158" s="144">
        <f t="shared" si="2"/>
        <v>0.86709999999999998</v>
      </c>
    </row>
    <row r="159" spans="1:15">
      <c r="A159" s="145">
        <v>99801343</v>
      </c>
      <c r="B159" s="146" t="s">
        <v>228</v>
      </c>
      <c r="C159" s="147">
        <v>16034</v>
      </c>
      <c r="D159" s="148">
        <v>4</v>
      </c>
      <c r="E159" s="146">
        <v>22</v>
      </c>
      <c r="F159" s="146">
        <v>0.44</v>
      </c>
      <c r="G159" s="146">
        <v>407</v>
      </c>
      <c r="H159" s="146">
        <v>988</v>
      </c>
      <c r="I159" s="146">
        <v>554</v>
      </c>
      <c r="J159" s="146">
        <v>635</v>
      </c>
      <c r="K159" s="149">
        <f t="shared" si="0"/>
        <v>610.5</v>
      </c>
      <c r="M159" s="144">
        <f t="shared" ref="M159:N159" si="159">(H159+200)/1000</f>
        <v>1.1879999999999999</v>
      </c>
      <c r="N159" s="144">
        <f t="shared" si="159"/>
        <v>0.754</v>
      </c>
      <c r="O159" s="144">
        <f t="shared" si="2"/>
        <v>0.89575199999999999</v>
      </c>
    </row>
    <row r="160" spans="1:15">
      <c r="A160" s="18">
        <v>99801344</v>
      </c>
      <c r="B160" s="19" t="s">
        <v>238</v>
      </c>
      <c r="C160" s="141">
        <v>17674</v>
      </c>
      <c r="D160" s="142">
        <v>4</v>
      </c>
      <c r="E160" s="19">
        <v>30</v>
      </c>
      <c r="F160" s="19">
        <v>0.44</v>
      </c>
      <c r="G160" s="19">
        <v>456</v>
      </c>
      <c r="H160" s="19">
        <v>1053</v>
      </c>
      <c r="I160" s="19">
        <v>554</v>
      </c>
      <c r="J160" s="19">
        <v>635</v>
      </c>
      <c r="K160" s="143">
        <f t="shared" si="0"/>
        <v>684</v>
      </c>
      <c r="M160" s="144">
        <f t="shared" ref="M160:N160" si="160">(H160+200)/1000</f>
        <v>1.2529999999999999</v>
      </c>
      <c r="N160" s="144">
        <f t="shared" si="160"/>
        <v>0.754</v>
      </c>
      <c r="O160" s="144">
        <f t="shared" si="2"/>
        <v>0.94476199999999988</v>
      </c>
    </row>
    <row r="161" spans="1:15">
      <c r="A161" s="145">
        <v>99801345</v>
      </c>
      <c r="B161" s="146" t="s">
        <v>246</v>
      </c>
      <c r="C161" s="147">
        <v>21579</v>
      </c>
      <c r="D161" s="148">
        <v>4</v>
      </c>
      <c r="E161" s="146">
        <v>37</v>
      </c>
      <c r="F161" s="146">
        <v>0.44</v>
      </c>
      <c r="G161" s="146">
        <v>599</v>
      </c>
      <c r="H161" s="146">
        <v>1133</v>
      </c>
      <c r="I161" s="146">
        <v>554</v>
      </c>
      <c r="J161" s="146">
        <v>635</v>
      </c>
      <c r="K161" s="149">
        <f t="shared" si="0"/>
        <v>898.5</v>
      </c>
      <c r="M161" s="144">
        <f t="shared" ref="M161:N161" si="161">(H161+200)/1000</f>
        <v>1.333</v>
      </c>
      <c r="N161" s="144">
        <f t="shared" si="161"/>
        <v>0.754</v>
      </c>
      <c r="O161" s="144">
        <f t="shared" si="2"/>
        <v>1.005082</v>
      </c>
    </row>
    <row r="162" spans="1:15">
      <c r="A162" s="18">
        <v>99801346</v>
      </c>
      <c r="B162" s="19" t="s">
        <v>250</v>
      </c>
      <c r="C162" s="141">
        <v>21162</v>
      </c>
      <c r="D162" s="142">
        <v>4</v>
      </c>
      <c r="E162" s="19">
        <v>45</v>
      </c>
      <c r="F162" s="19">
        <v>0.44</v>
      </c>
      <c r="G162" s="19">
        <v>620</v>
      </c>
      <c r="H162" s="19">
        <v>1133</v>
      </c>
      <c r="I162" s="19">
        <v>554</v>
      </c>
      <c r="J162" s="19">
        <v>635</v>
      </c>
      <c r="K162" s="143">
        <f t="shared" si="0"/>
        <v>930</v>
      </c>
      <c r="M162" s="144">
        <f t="shared" ref="M162:N162" si="162">(H162+200)/1000</f>
        <v>1.333</v>
      </c>
      <c r="N162" s="144">
        <f t="shared" si="162"/>
        <v>0.754</v>
      </c>
      <c r="O162" s="144">
        <f t="shared" si="2"/>
        <v>1.005082</v>
      </c>
    </row>
    <row r="163" spans="1:15">
      <c r="A163" s="145">
        <v>99801347</v>
      </c>
      <c r="B163" s="146" t="s">
        <v>121</v>
      </c>
      <c r="C163" s="147">
        <v>5909</v>
      </c>
      <c r="D163" s="148">
        <v>4</v>
      </c>
      <c r="E163" s="146">
        <v>2.2000000000000002</v>
      </c>
      <c r="F163" s="146">
        <v>0.7</v>
      </c>
      <c r="G163" s="146">
        <v>113</v>
      </c>
      <c r="H163" s="146">
        <v>498</v>
      </c>
      <c r="I163" s="146">
        <v>107</v>
      </c>
      <c r="J163" s="146">
        <v>288</v>
      </c>
      <c r="K163" s="149">
        <f t="shared" si="0"/>
        <v>169.5</v>
      </c>
      <c r="M163" s="144">
        <f t="shared" ref="M163:N163" si="163">(H163+200)/1000</f>
        <v>0.69799999999999995</v>
      </c>
      <c r="N163" s="144">
        <f t="shared" si="163"/>
        <v>0.307</v>
      </c>
      <c r="O163" s="144">
        <f t="shared" si="2"/>
        <v>0.21428599999999998</v>
      </c>
    </row>
    <row r="164" spans="1:15">
      <c r="A164" s="18">
        <v>99801348</v>
      </c>
      <c r="B164" s="19" t="s">
        <v>146</v>
      </c>
      <c r="C164" s="141">
        <v>6061</v>
      </c>
      <c r="D164" s="142">
        <v>4</v>
      </c>
      <c r="E164" s="19">
        <v>3</v>
      </c>
      <c r="F164" s="19">
        <v>0.7</v>
      </c>
      <c r="G164" s="19">
        <v>125</v>
      </c>
      <c r="H164" s="19">
        <v>568</v>
      </c>
      <c r="I164" s="19">
        <v>107</v>
      </c>
      <c r="J164" s="19">
        <v>288</v>
      </c>
      <c r="K164" s="143">
        <f t="shared" si="0"/>
        <v>187.5</v>
      </c>
      <c r="M164" s="144">
        <f t="shared" ref="M164:N164" si="164">(H164+200)/1000</f>
        <v>0.76800000000000002</v>
      </c>
      <c r="N164" s="144">
        <f t="shared" si="164"/>
        <v>0.307</v>
      </c>
      <c r="O164" s="144">
        <f t="shared" si="2"/>
        <v>0.23577600000000001</v>
      </c>
    </row>
    <row r="165" spans="1:15">
      <c r="A165" s="145">
        <v>99801349</v>
      </c>
      <c r="B165" s="146" t="s">
        <v>148</v>
      </c>
      <c r="C165" s="147">
        <v>6270</v>
      </c>
      <c r="D165" s="148">
        <v>4</v>
      </c>
      <c r="E165" s="146">
        <v>4</v>
      </c>
      <c r="F165" s="146">
        <v>0.7</v>
      </c>
      <c r="G165" s="146">
        <v>129</v>
      </c>
      <c r="H165" s="146">
        <v>568</v>
      </c>
      <c r="I165" s="146">
        <v>145</v>
      </c>
      <c r="J165" s="146">
        <v>288</v>
      </c>
      <c r="K165" s="149">
        <f t="shared" si="0"/>
        <v>193.5</v>
      </c>
      <c r="M165" s="144">
        <f t="shared" ref="M165:N165" si="165">(H165+200)/1000</f>
        <v>0.76800000000000002</v>
      </c>
      <c r="N165" s="144">
        <f t="shared" si="165"/>
        <v>0.34499999999999997</v>
      </c>
      <c r="O165" s="144">
        <f t="shared" si="2"/>
        <v>0.26495999999999997</v>
      </c>
    </row>
    <row r="166" spans="1:15">
      <c r="A166" s="18">
        <v>99801350</v>
      </c>
      <c r="B166" s="19" t="s">
        <v>134</v>
      </c>
      <c r="C166" s="141">
        <v>6363</v>
      </c>
      <c r="D166" s="142">
        <v>4</v>
      </c>
      <c r="E166" s="19">
        <v>4</v>
      </c>
      <c r="F166" s="19">
        <v>0.65</v>
      </c>
      <c r="G166" s="19">
        <v>136</v>
      </c>
      <c r="H166" s="19">
        <v>598</v>
      </c>
      <c r="I166" s="19">
        <v>145</v>
      </c>
      <c r="J166" s="19">
        <v>288</v>
      </c>
      <c r="K166" s="143">
        <f t="shared" si="0"/>
        <v>204</v>
      </c>
      <c r="M166" s="144">
        <f t="shared" ref="M166:N166" si="166">(H166+200)/1000</f>
        <v>0.79800000000000004</v>
      </c>
      <c r="N166" s="144">
        <f t="shared" si="166"/>
        <v>0.34499999999999997</v>
      </c>
      <c r="O166" s="144">
        <f t="shared" si="2"/>
        <v>0.27531</v>
      </c>
    </row>
    <row r="167" spans="1:15">
      <c r="A167" s="145">
        <v>99801351</v>
      </c>
      <c r="B167" s="146" t="s">
        <v>156</v>
      </c>
      <c r="C167" s="147">
        <v>6753</v>
      </c>
      <c r="D167" s="148">
        <v>4</v>
      </c>
      <c r="E167" s="146">
        <v>7.5</v>
      </c>
      <c r="F167" s="146">
        <v>0.65</v>
      </c>
      <c r="G167" s="146">
        <v>182</v>
      </c>
      <c r="H167" s="146">
        <v>668</v>
      </c>
      <c r="I167" s="146">
        <v>145</v>
      </c>
      <c r="J167" s="146">
        <v>288</v>
      </c>
      <c r="K167" s="149">
        <f t="shared" si="0"/>
        <v>273</v>
      </c>
      <c r="M167" s="144">
        <f t="shared" ref="M167:N167" si="167">(H167+200)/1000</f>
        <v>0.86799999999999999</v>
      </c>
      <c r="N167" s="144">
        <f t="shared" si="167"/>
        <v>0.34499999999999997</v>
      </c>
      <c r="O167" s="144">
        <f t="shared" si="2"/>
        <v>0.29945999999999995</v>
      </c>
    </row>
    <row r="168" spans="1:15">
      <c r="A168" s="18">
        <v>99801352</v>
      </c>
      <c r="B168" s="19" t="s">
        <v>194</v>
      </c>
      <c r="C168" s="141">
        <v>8423</v>
      </c>
      <c r="D168" s="142">
        <v>4</v>
      </c>
      <c r="E168" s="19">
        <v>11</v>
      </c>
      <c r="F168" s="19">
        <v>0.65</v>
      </c>
      <c r="G168" s="19">
        <v>238</v>
      </c>
      <c r="H168" s="19">
        <v>886</v>
      </c>
      <c r="I168" s="19">
        <v>381</v>
      </c>
      <c r="J168" s="19">
        <v>480</v>
      </c>
      <c r="K168" s="143">
        <f t="shared" si="0"/>
        <v>357</v>
      </c>
      <c r="M168" s="144">
        <f t="shared" ref="M168:N168" si="168">(H168+200)/1000</f>
        <v>1.0860000000000001</v>
      </c>
      <c r="N168" s="144">
        <f t="shared" si="168"/>
        <v>0.58099999999999996</v>
      </c>
      <c r="O168" s="144">
        <f t="shared" si="2"/>
        <v>0.63096600000000003</v>
      </c>
    </row>
    <row r="169" spans="1:15">
      <c r="A169" s="145">
        <v>99801354</v>
      </c>
      <c r="B169" s="146" t="s">
        <v>189</v>
      </c>
      <c r="C169" s="147">
        <v>9914</v>
      </c>
      <c r="D169" s="148">
        <v>4</v>
      </c>
      <c r="E169" s="146">
        <v>11</v>
      </c>
      <c r="F169" s="146">
        <v>0.7</v>
      </c>
      <c r="G169" s="146">
        <v>260</v>
      </c>
      <c r="H169" s="146">
        <v>899</v>
      </c>
      <c r="I169" s="146">
        <v>432</v>
      </c>
      <c r="J169" s="146">
        <v>505</v>
      </c>
      <c r="K169" s="149">
        <f t="shared" si="0"/>
        <v>390</v>
      </c>
      <c r="M169" s="144">
        <f t="shared" ref="M169:N169" si="169">(H169+200)/1000</f>
        <v>1.099</v>
      </c>
      <c r="N169" s="144">
        <f t="shared" si="169"/>
        <v>0.63200000000000001</v>
      </c>
      <c r="O169" s="144">
        <f t="shared" si="2"/>
        <v>0.69456799999999996</v>
      </c>
    </row>
    <row r="170" spans="1:15">
      <c r="A170" s="18">
        <v>99801355</v>
      </c>
      <c r="B170" s="19" t="s">
        <v>188</v>
      </c>
      <c r="C170" s="141">
        <v>10577</v>
      </c>
      <c r="D170" s="142">
        <v>4</v>
      </c>
      <c r="E170" s="19">
        <v>15</v>
      </c>
      <c r="F170" s="19">
        <v>0.7</v>
      </c>
      <c r="G170" s="19">
        <v>259</v>
      </c>
      <c r="H170" s="19">
        <v>943</v>
      </c>
      <c r="I170" s="19">
        <v>432</v>
      </c>
      <c r="J170" s="19">
        <v>505</v>
      </c>
      <c r="K170" s="143">
        <f t="shared" si="0"/>
        <v>388.5</v>
      </c>
      <c r="M170" s="144">
        <f t="shared" ref="M170:N170" si="170">(H170+200)/1000</f>
        <v>1.143</v>
      </c>
      <c r="N170" s="144">
        <f t="shared" si="170"/>
        <v>0.63200000000000001</v>
      </c>
      <c r="O170" s="144">
        <f t="shared" si="2"/>
        <v>0.72237600000000002</v>
      </c>
    </row>
    <row r="171" spans="1:15">
      <c r="A171" s="145">
        <v>99801356</v>
      </c>
      <c r="B171" s="146" t="s">
        <v>203</v>
      </c>
      <c r="C171" s="147">
        <v>11583</v>
      </c>
      <c r="D171" s="148">
        <v>4</v>
      </c>
      <c r="E171" s="146">
        <v>15</v>
      </c>
      <c r="F171" s="146">
        <v>0.7</v>
      </c>
      <c r="G171" s="146">
        <v>284</v>
      </c>
      <c r="H171" s="146">
        <v>943</v>
      </c>
      <c r="I171" s="146">
        <v>472</v>
      </c>
      <c r="J171" s="146">
        <v>565</v>
      </c>
      <c r="K171" s="149">
        <f t="shared" si="0"/>
        <v>426</v>
      </c>
      <c r="M171" s="144">
        <f t="shared" ref="M171:N171" si="171">(H171+200)/1000</f>
        <v>1.143</v>
      </c>
      <c r="N171" s="144">
        <f t="shared" si="171"/>
        <v>0.67200000000000004</v>
      </c>
      <c r="O171" s="144">
        <f t="shared" si="2"/>
        <v>0.76809600000000011</v>
      </c>
    </row>
    <row r="172" spans="1:15">
      <c r="A172" s="18">
        <v>99801357</v>
      </c>
      <c r="B172" s="19" t="s">
        <v>210</v>
      </c>
      <c r="C172" s="141">
        <v>12333</v>
      </c>
      <c r="D172" s="142">
        <v>4</v>
      </c>
      <c r="E172" s="19">
        <v>18.5</v>
      </c>
      <c r="F172" s="19">
        <v>0.7</v>
      </c>
      <c r="G172" s="19">
        <v>325</v>
      </c>
      <c r="H172" s="19">
        <v>965</v>
      </c>
      <c r="I172" s="19">
        <v>472</v>
      </c>
      <c r="J172" s="19">
        <v>565</v>
      </c>
      <c r="K172" s="143">
        <f t="shared" si="0"/>
        <v>487.5</v>
      </c>
      <c r="M172" s="144">
        <f t="shared" ref="M172:N172" si="172">(H172+200)/1000</f>
        <v>1.165</v>
      </c>
      <c r="N172" s="144">
        <f t="shared" si="172"/>
        <v>0.67200000000000004</v>
      </c>
      <c r="O172" s="144">
        <f t="shared" si="2"/>
        <v>0.78288000000000002</v>
      </c>
    </row>
    <row r="173" spans="1:15">
      <c r="A173" s="145">
        <v>99801358</v>
      </c>
      <c r="B173" s="146" t="s">
        <v>226</v>
      </c>
      <c r="C173" s="147">
        <v>12840</v>
      </c>
      <c r="D173" s="148">
        <v>4</v>
      </c>
      <c r="E173" s="146">
        <v>22</v>
      </c>
      <c r="F173" s="146">
        <v>0.7</v>
      </c>
      <c r="G173" s="146">
        <v>376</v>
      </c>
      <c r="H173" s="146">
        <v>1003</v>
      </c>
      <c r="I173" s="146">
        <v>472</v>
      </c>
      <c r="J173" s="146">
        <v>565</v>
      </c>
      <c r="K173" s="149">
        <f t="shared" si="0"/>
        <v>564</v>
      </c>
      <c r="M173" s="144">
        <f t="shared" ref="M173:N173" si="173">(H173+200)/1000</f>
        <v>1.2030000000000001</v>
      </c>
      <c r="N173" s="144">
        <f t="shared" si="173"/>
        <v>0.67200000000000004</v>
      </c>
      <c r="O173" s="144">
        <f t="shared" si="2"/>
        <v>0.80841600000000013</v>
      </c>
    </row>
    <row r="174" spans="1:15">
      <c r="A174" s="18">
        <v>99801359</v>
      </c>
      <c r="B174" s="19" t="s">
        <v>231</v>
      </c>
      <c r="C174" s="141">
        <v>14818</v>
      </c>
      <c r="D174" s="142">
        <v>4</v>
      </c>
      <c r="E174" s="19">
        <v>22</v>
      </c>
      <c r="F174" s="19">
        <v>0.7</v>
      </c>
      <c r="G174" s="19">
        <v>412</v>
      </c>
      <c r="H174" s="19">
        <v>1003</v>
      </c>
      <c r="I174" s="19">
        <v>566</v>
      </c>
      <c r="J174" s="19">
        <v>635</v>
      </c>
      <c r="K174" s="143">
        <f t="shared" si="0"/>
        <v>618</v>
      </c>
      <c r="M174" s="144">
        <f t="shared" ref="M174:N174" si="174">(H174+200)/1000</f>
        <v>1.2030000000000001</v>
      </c>
      <c r="N174" s="144">
        <f t="shared" si="174"/>
        <v>0.76600000000000001</v>
      </c>
      <c r="O174" s="144">
        <f t="shared" si="2"/>
        <v>0.92149800000000004</v>
      </c>
    </row>
    <row r="175" spans="1:15">
      <c r="A175" s="145">
        <v>99801360</v>
      </c>
      <c r="B175" s="146" t="s">
        <v>239</v>
      </c>
      <c r="C175" s="147">
        <v>16839</v>
      </c>
      <c r="D175" s="148">
        <v>4</v>
      </c>
      <c r="E175" s="146">
        <v>30</v>
      </c>
      <c r="F175" s="146">
        <v>0.7</v>
      </c>
      <c r="G175" s="146">
        <v>461</v>
      </c>
      <c r="H175" s="146">
        <v>1068</v>
      </c>
      <c r="I175" s="146">
        <v>566</v>
      </c>
      <c r="J175" s="146">
        <v>635</v>
      </c>
      <c r="K175" s="149">
        <f t="shared" si="0"/>
        <v>691.5</v>
      </c>
      <c r="M175" s="144">
        <f t="shared" ref="M175:N175" si="175">(H175+200)/1000</f>
        <v>1.268</v>
      </c>
      <c r="N175" s="144">
        <f t="shared" si="175"/>
        <v>0.76600000000000001</v>
      </c>
      <c r="O175" s="144">
        <f t="shared" si="2"/>
        <v>0.97128800000000004</v>
      </c>
    </row>
    <row r="176" spans="1:15">
      <c r="A176" s="18">
        <v>99801361</v>
      </c>
      <c r="B176" s="19" t="s">
        <v>251</v>
      </c>
      <c r="C176" s="141">
        <v>20210</v>
      </c>
      <c r="D176" s="142">
        <v>4</v>
      </c>
      <c r="E176" s="19">
        <v>37</v>
      </c>
      <c r="F176" s="19">
        <v>0.7</v>
      </c>
      <c r="G176" s="19">
        <v>629</v>
      </c>
      <c r="H176" s="19">
        <v>1148</v>
      </c>
      <c r="I176" s="19">
        <v>566</v>
      </c>
      <c r="J176" s="19">
        <v>635</v>
      </c>
      <c r="K176" s="143">
        <f t="shared" si="0"/>
        <v>943.5</v>
      </c>
      <c r="M176" s="144">
        <f t="shared" ref="M176:N176" si="176">(H176+200)/1000</f>
        <v>1.3480000000000001</v>
      </c>
      <c r="N176" s="144">
        <f t="shared" si="176"/>
        <v>0.76600000000000001</v>
      </c>
      <c r="O176" s="144">
        <f t="shared" si="2"/>
        <v>1.0325680000000002</v>
      </c>
    </row>
    <row r="177" spans="1:15">
      <c r="A177" s="145">
        <v>99801362</v>
      </c>
      <c r="B177" s="146" t="s">
        <v>257</v>
      </c>
      <c r="C177" s="147">
        <v>20502</v>
      </c>
      <c r="D177" s="148">
        <v>4</v>
      </c>
      <c r="E177" s="146">
        <v>45</v>
      </c>
      <c r="F177" s="146">
        <v>0.7</v>
      </c>
      <c r="G177" s="146">
        <v>650</v>
      </c>
      <c r="H177" s="146">
        <v>1148</v>
      </c>
      <c r="I177" s="146">
        <v>566</v>
      </c>
      <c r="J177" s="146">
        <v>635</v>
      </c>
      <c r="K177" s="149">
        <f t="shared" si="0"/>
        <v>975</v>
      </c>
      <c r="M177" s="144">
        <f t="shared" ref="M177:N177" si="177">(H177+200)/1000</f>
        <v>1.3480000000000001</v>
      </c>
      <c r="N177" s="144">
        <f t="shared" si="177"/>
        <v>0.76600000000000001</v>
      </c>
      <c r="O177" s="144">
        <f t="shared" si="2"/>
        <v>1.0325680000000002</v>
      </c>
    </row>
    <row r="178" spans="1:15">
      <c r="A178" s="18">
        <v>99801363</v>
      </c>
      <c r="B178" s="19" t="s">
        <v>271</v>
      </c>
      <c r="C178" s="141">
        <v>22856</v>
      </c>
      <c r="D178" s="142">
        <v>4</v>
      </c>
      <c r="E178" s="19">
        <v>55</v>
      </c>
      <c r="F178" s="19">
        <v>0.7</v>
      </c>
      <c r="G178" s="19">
        <v>731</v>
      </c>
      <c r="H178" s="19">
        <v>1224</v>
      </c>
      <c r="I178" s="19">
        <v>566</v>
      </c>
      <c r="J178" s="19">
        <v>635</v>
      </c>
      <c r="K178" s="143">
        <f t="shared" si="0"/>
        <v>1096.5</v>
      </c>
      <c r="M178" s="144">
        <f t="shared" ref="M178:N178" si="178">(H178+200)/1000</f>
        <v>1.4239999999999999</v>
      </c>
      <c r="N178" s="144">
        <f t="shared" si="178"/>
        <v>0.76600000000000001</v>
      </c>
      <c r="O178" s="144">
        <f t="shared" si="2"/>
        <v>1.090784</v>
      </c>
    </row>
    <row r="179" spans="1:15">
      <c r="A179" s="145">
        <v>99801364</v>
      </c>
      <c r="B179" s="146" t="s">
        <v>175</v>
      </c>
      <c r="C179" s="147">
        <v>7850</v>
      </c>
      <c r="D179" s="148">
        <v>4</v>
      </c>
      <c r="E179" s="146">
        <v>5.5</v>
      </c>
      <c r="F179" s="146">
        <v>0.7</v>
      </c>
      <c r="G179" s="146">
        <v>203</v>
      </c>
      <c r="H179" s="146">
        <v>683</v>
      </c>
      <c r="I179" s="146">
        <v>145</v>
      </c>
      <c r="J179" s="146">
        <v>323</v>
      </c>
      <c r="K179" s="149">
        <f t="shared" si="0"/>
        <v>304.5</v>
      </c>
      <c r="M179" s="144">
        <f t="shared" ref="M179:N179" si="179">(H179+200)/1000</f>
        <v>0.88300000000000001</v>
      </c>
      <c r="N179" s="144">
        <f t="shared" si="179"/>
        <v>0.34499999999999997</v>
      </c>
      <c r="O179" s="144">
        <f t="shared" si="2"/>
        <v>0.30463499999999999</v>
      </c>
    </row>
    <row r="180" spans="1:15">
      <c r="A180" s="18">
        <v>99801365</v>
      </c>
      <c r="B180" s="19" t="s">
        <v>178</v>
      </c>
      <c r="C180" s="141">
        <v>8379</v>
      </c>
      <c r="D180" s="142">
        <v>4</v>
      </c>
      <c r="E180" s="19">
        <v>7.5</v>
      </c>
      <c r="F180" s="19">
        <v>0.7</v>
      </c>
      <c r="G180" s="19">
        <v>213</v>
      </c>
      <c r="H180" s="19">
        <v>683</v>
      </c>
      <c r="I180" s="19">
        <v>145</v>
      </c>
      <c r="J180" s="19">
        <v>323</v>
      </c>
      <c r="K180" s="143">
        <f t="shared" si="0"/>
        <v>319.5</v>
      </c>
      <c r="M180" s="144">
        <f t="shared" ref="M180:N180" si="180">(H180+200)/1000</f>
        <v>0.88300000000000001</v>
      </c>
      <c r="N180" s="144">
        <f t="shared" si="180"/>
        <v>0.34499999999999997</v>
      </c>
      <c r="O180" s="144">
        <f t="shared" si="2"/>
        <v>0.30463499999999999</v>
      </c>
    </row>
    <row r="181" spans="1:15">
      <c r="A181" s="145">
        <v>99801366</v>
      </c>
      <c r="B181" s="146" t="s">
        <v>198</v>
      </c>
      <c r="C181" s="147">
        <v>9140</v>
      </c>
      <c r="D181" s="148">
        <v>4</v>
      </c>
      <c r="E181" s="146">
        <v>11</v>
      </c>
      <c r="F181" s="146">
        <v>0.7</v>
      </c>
      <c r="G181" s="146">
        <v>277</v>
      </c>
      <c r="H181" s="146">
        <v>901</v>
      </c>
      <c r="I181" s="146">
        <v>452</v>
      </c>
      <c r="J181" s="146">
        <v>565</v>
      </c>
      <c r="K181" s="149">
        <f t="shared" si="0"/>
        <v>415.5</v>
      </c>
      <c r="M181" s="144">
        <f t="shared" ref="M181:N181" si="181">(H181+200)/1000</f>
        <v>1.101</v>
      </c>
      <c r="N181" s="144">
        <f t="shared" si="181"/>
        <v>0.65200000000000002</v>
      </c>
      <c r="O181" s="144">
        <f t="shared" si="2"/>
        <v>0.71785200000000005</v>
      </c>
    </row>
    <row r="182" spans="1:15">
      <c r="A182" s="18">
        <v>99801367</v>
      </c>
      <c r="B182" s="19" t="s">
        <v>193</v>
      </c>
      <c r="C182" s="141">
        <v>9661</v>
      </c>
      <c r="D182" s="142">
        <v>4</v>
      </c>
      <c r="E182" s="19">
        <v>15</v>
      </c>
      <c r="F182" s="19">
        <v>0.7</v>
      </c>
      <c r="G182" s="19">
        <v>272</v>
      </c>
      <c r="H182" s="19">
        <v>945</v>
      </c>
      <c r="I182" s="19">
        <v>452</v>
      </c>
      <c r="J182" s="19">
        <v>565</v>
      </c>
      <c r="K182" s="143">
        <f t="shared" si="0"/>
        <v>408</v>
      </c>
      <c r="M182" s="144">
        <f t="shared" ref="M182:N182" si="182">(H182+200)/1000</f>
        <v>1.145</v>
      </c>
      <c r="N182" s="144">
        <f t="shared" si="182"/>
        <v>0.65200000000000002</v>
      </c>
      <c r="O182" s="144">
        <f t="shared" si="2"/>
        <v>0.74654000000000009</v>
      </c>
    </row>
    <row r="183" spans="1:15">
      <c r="A183" s="145">
        <v>99801368</v>
      </c>
      <c r="B183" s="146" t="s">
        <v>202</v>
      </c>
      <c r="C183" s="147">
        <v>9652</v>
      </c>
      <c r="D183" s="148">
        <v>4</v>
      </c>
      <c r="E183" s="146">
        <v>11</v>
      </c>
      <c r="F183" s="146">
        <v>0.62</v>
      </c>
      <c r="G183" s="146">
        <v>283</v>
      </c>
      <c r="H183" s="146">
        <v>899</v>
      </c>
      <c r="I183" s="146">
        <v>472</v>
      </c>
      <c r="J183" s="146">
        <v>605</v>
      </c>
      <c r="K183" s="149">
        <f t="shared" si="0"/>
        <v>424.5</v>
      </c>
      <c r="M183" s="144">
        <f t="shared" ref="M183:N183" si="183">(H183+200)/1000</f>
        <v>1.099</v>
      </c>
      <c r="N183" s="144">
        <f t="shared" si="183"/>
        <v>0.67200000000000004</v>
      </c>
      <c r="O183" s="144">
        <f t="shared" si="2"/>
        <v>0.73852800000000007</v>
      </c>
    </row>
    <row r="184" spans="1:15">
      <c r="A184" s="18">
        <v>99801369</v>
      </c>
      <c r="B184" s="19" t="s">
        <v>199</v>
      </c>
      <c r="C184" s="141">
        <v>10063</v>
      </c>
      <c r="D184" s="142">
        <v>4</v>
      </c>
      <c r="E184" s="19">
        <v>15</v>
      </c>
      <c r="F184" s="19">
        <v>0.62</v>
      </c>
      <c r="G184" s="19">
        <v>279</v>
      </c>
      <c r="H184" s="19">
        <v>943</v>
      </c>
      <c r="I184" s="19">
        <v>472</v>
      </c>
      <c r="J184" s="19">
        <v>605</v>
      </c>
      <c r="K184" s="143">
        <f t="shared" si="0"/>
        <v>418.5</v>
      </c>
      <c r="M184" s="144">
        <f t="shared" ref="M184:N184" si="184">(H184+200)/1000</f>
        <v>1.143</v>
      </c>
      <c r="N184" s="144">
        <f t="shared" si="184"/>
        <v>0.67200000000000004</v>
      </c>
      <c r="O184" s="144">
        <f t="shared" si="2"/>
        <v>0.76809600000000011</v>
      </c>
    </row>
    <row r="185" spans="1:15">
      <c r="A185" s="145">
        <v>99801370</v>
      </c>
      <c r="B185" s="146" t="s">
        <v>211</v>
      </c>
      <c r="C185" s="147">
        <v>11121</v>
      </c>
      <c r="D185" s="148">
        <v>4</v>
      </c>
      <c r="E185" s="146">
        <v>18.5</v>
      </c>
      <c r="F185" s="146">
        <v>0.62</v>
      </c>
      <c r="G185" s="146">
        <v>320</v>
      </c>
      <c r="H185" s="146">
        <v>965</v>
      </c>
      <c r="I185" s="146">
        <v>472</v>
      </c>
      <c r="J185" s="146">
        <v>605</v>
      </c>
      <c r="K185" s="149">
        <f t="shared" si="0"/>
        <v>480</v>
      </c>
      <c r="M185" s="144">
        <f t="shared" ref="M185:N185" si="185">(H185+200)/1000</f>
        <v>1.165</v>
      </c>
      <c r="N185" s="144">
        <f t="shared" si="185"/>
        <v>0.67200000000000004</v>
      </c>
      <c r="O185" s="144">
        <f t="shared" si="2"/>
        <v>0.78288000000000002</v>
      </c>
    </row>
    <row r="186" spans="1:15">
      <c r="A186" s="18">
        <v>99801371</v>
      </c>
      <c r="B186" s="19" t="s">
        <v>227</v>
      </c>
      <c r="C186" s="141">
        <v>11564</v>
      </c>
      <c r="D186" s="142">
        <v>4</v>
      </c>
      <c r="E186" s="19">
        <v>22</v>
      </c>
      <c r="F186" s="19">
        <v>0.62</v>
      </c>
      <c r="G186" s="19">
        <v>371</v>
      </c>
      <c r="H186" s="19">
        <v>1003</v>
      </c>
      <c r="I186" s="19">
        <v>472</v>
      </c>
      <c r="J186" s="19">
        <v>605</v>
      </c>
      <c r="K186" s="143">
        <f t="shared" si="0"/>
        <v>556.5</v>
      </c>
      <c r="M186" s="144">
        <f t="shared" ref="M186:N186" si="186">(H186+200)/1000</f>
        <v>1.2030000000000001</v>
      </c>
      <c r="N186" s="144">
        <f t="shared" si="186"/>
        <v>0.67200000000000004</v>
      </c>
      <c r="O186" s="144">
        <f t="shared" si="2"/>
        <v>0.80841600000000013</v>
      </c>
    </row>
    <row r="187" spans="1:15">
      <c r="A187" s="145">
        <v>99801372</v>
      </c>
      <c r="B187" s="146" t="s">
        <v>232</v>
      </c>
      <c r="C187" s="147">
        <v>13817</v>
      </c>
      <c r="D187" s="148">
        <v>4</v>
      </c>
      <c r="E187" s="146">
        <v>30</v>
      </c>
      <c r="F187" s="146">
        <v>0.62</v>
      </c>
      <c r="G187" s="146">
        <v>418</v>
      </c>
      <c r="H187" s="146">
        <v>1068</v>
      </c>
      <c r="I187" s="146">
        <v>472</v>
      </c>
      <c r="J187" s="146">
        <v>605</v>
      </c>
      <c r="K187" s="149">
        <f t="shared" si="0"/>
        <v>627</v>
      </c>
      <c r="M187" s="144">
        <f t="shared" ref="M187:N187" si="187">(H187+200)/1000</f>
        <v>1.268</v>
      </c>
      <c r="N187" s="144">
        <f t="shared" si="187"/>
        <v>0.67200000000000004</v>
      </c>
      <c r="O187" s="144">
        <f t="shared" si="2"/>
        <v>0.85209600000000008</v>
      </c>
    </row>
    <row r="188" spans="1:15">
      <c r="A188" s="18">
        <v>99801373</v>
      </c>
      <c r="B188" s="19" t="s">
        <v>221</v>
      </c>
      <c r="C188" s="141">
        <v>12121</v>
      </c>
      <c r="D188" s="142">
        <v>4</v>
      </c>
      <c r="E188" s="19">
        <v>18.5</v>
      </c>
      <c r="F188" s="19">
        <v>0.68</v>
      </c>
      <c r="G188" s="19">
        <v>351</v>
      </c>
      <c r="H188" s="19">
        <v>965</v>
      </c>
      <c r="I188" s="19">
        <v>499</v>
      </c>
      <c r="J188" s="19">
        <v>635</v>
      </c>
      <c r="K188" s="143">
        <f t="shared" si="0"/>
        <v>526.5</v>
      </c>
      <c r="M188" s="144">
        <f t="shared" ref="M188:N188" si="188">(H188+200)/1000</f>
        <v>1.165</v>
      </c>
      <c r="N188" s="144">
        <f t="shared" si="188"/>
        <v>0.69899999999999995</v>
      </c>
      <c r="O188" s="144">
        <f t="shared" si="2"/>
        <v>0.81433499999999992</v>
      </c>
    </row>
    <row r="189" spans="1:15">
      <c r="A189" s="145">
        <v>99801374</v>
      </c>
      <c r="B189" s="146" t="s">
        <v>230</v>
      </c>
      <c r="C189" s="147">
        <v>12763</v>
      </c>
      <c r="D189" s="148">
        <v>4</v>
      </c>
      <c r="E189" s="146">
        <v>22</v>
      </c>
      <c r="F189" s="146">
        <v>0.68</v>
      </c>
      <c r="G189" s="146">
        <v>402</v>
      </c>
      <c r="H189" s="146">
        <v>1003</v>
      </c>
      <c r="I189" s="146">
        <v>499</v>
      </c>
      <c r="J189" s="146">
        <v>635</v>
      </c>
      <c r="K189" s="149">
        <f t="shared" si="0"/>
        <v>603</v>
      </c>
      <c r="M189" s="144">
        <f t="shared" ref="M189:N189" si="189">(H189+200)/1000</f>
        <v>1.2030000000000001</v>
      </c>
      <c r="N189" s="144">
        <f t="shared" si="189"/>
        <v>0.69899999999999995</v>
      </c>
      <c r="O189" s="144">
        <f t="shared" si="2"/>
        <v>0.84089700000000001</v>
      </c>
    </row>
    <row r="190" spans="1:15">
      <c r="A190" s="18">
        <v>99801375</v>
      </c>
      <c r="B190" s="19" t="s">
        <v>234</v>
      </c>
      <c r="C190" s="141">
        <v>13624</v>
      </c>
      <c r="D190" s="142">
        <v>4</v>
      </c>
      <c r="E190" s="19">
        <v>30</v>
      </c>
      <c r="F190" s="19">
        <v>0.68</v>
      </c>
      <c r="G190" s="19">
        <v>450</v>
      </c>
      <c r="H190" s="19">
        <v>1068</v>
      </c>
      <c r="I190" s="19">
        <v>499</v>
      </c>
      <c r="J190" s="19">
        <v>635</v>
      </c>
      <c r="K190" s="143">
        <f t="shared" si="0"/>
        <v>675</v>
      </c>
      <c r="M190" s="144">
        <f t="shared" ref="M190:N190" si="190">(H190+200)/1000</f>
        <v>1.268</v>
      </c>
      <c r="N190" s="144">
        <f t="shared" si="190"/>
        <v>0.69899999999999995</v>
      </c>
      <c r="O190" s="144">
        <f t="shared" si="2"/>
        <v>0.88633200000000001</v>
      </c>
    </row>
    <row r="191" spans="1:15">
      <c r="A191" s="145">
        <v>99801376</v>
      </c>
      <c r="B191" s="146" t="s">
        <v>248</v>
      </c>
      <c r="C191" s="147">
        <v>15197</v>
      </c>
      <c r="D191" s="148">
        <v>4</v>
      </c>
      <c r="E191" s="146">
        <v>37</v>
      </c>
      <c r="F191" s="146">
        <v>0.68</v>
      </c>
      <c r="G191" s="146">
        <v>618</v>
      </c>
      <c r="H191" s="146">
        <v>1148</v>
      </c>
      <c r="I191" s="146">
        <v>499</v>
      </c>
      <c r="J191" s="146">
        <v>635</v>
      </c>
      <c r="K191" s="149">
        <f t="shared" si="0"/>
        <v>927</v>
      </c>
      <c r="M191" s="144">
        <f t="shared" ref="M191:N191" si="191">(H191+200)/1000</f>
        <v>1.3480000000000001</v>
      </c>
      <c r="N191" s="144">
        <f t="shared" si="191"/>
        <v>0.69899999999999995</v>
      </c>
      <c r="O191" s="144">
        <f t="shared" si="2"/>
        <v>0.94225199999999998</v>
      </c>
    </row>
    <row r="192" spans="1:15">
      <c r="A192" s="18">
        <v>99801377</v>
      </c>
      <c r="B192" s="19" t="s">
        <v>252</v>
      </c>
      <c r="C192" s="141">
        <v>18142</v>
      </c>
      <c r="D192" s="142">
        <v>4</v>
      </c>
      <c r="E192" s="19">
        <v>45</v>
      </c>
      <c r="F192" s="19">
        <v>0.68</v>
      </c>
      <c r="G192" s="19">
        <v>638</v>
      </c>
      <c r="H192" s="19">
        <v>1148</v>
      </c>
      <c r="I192" s="19">
        <v>499</v>
      </c>
      <c r="J192" s="19">
        <v>635</v>
      </c>
      <c r="K192" s="143">
        <f t="shared" si="0"/>
        <v>957</v>
      </c>
      <c r="M192" s="144">
        <f t="shared" ref="M192:N192" si="192">(H192+200)/1000</f>
        <v>1.3480000000000001</v>
      </c>
      <c r="N192" s="144">
        <f t="shared" si="192"/>
        <v>0.69899999999999995</v>
      </c>
      <c r="O192" s="144">
        <f t="shared" si="2"/>
        <v>0.94225199999999998</v>
      </c>
    </row>
    <row r="193" spans="1:15">
      <c r="A193" s="145">
        <v>99801378</v>
      </c>
      <c r="B193" s="146" t="s">
        <v>256</v>
      </c>
      <c r="C193" s="147">
        <v>18573</v>
      </c>
      <c r="D193" s="148">
        <v>4</v>
      </c>
      <c r="E193" s="146">
        <v>37</v>
      </c>
      <c r="F193" s="146">
        <v>0.55000000000000004</v>
      </c>
      <c r="G193" s="146">
        <v>649</v>
      </c>
      <c r="H193" s="146">
        <v>1148</v>
      </c>
      <c r="I193" s="146">
        <v>604</v>
      </c>
      <c r="J193" s="146">
        <v>715</v>
      </c>
      <c r="K193" s="149">
        <f t="shared" si="0"/>
        <v>973.5</v>
      </c>
      <c r="M193" s="144">
        <f t="shared" ref="M193:N193" si="193">(H193+200)/1000</f>
        <v>1.3480000000000001</v>
      </c>
      <c r="N193" s="144">
        <f t="shared" si="193"/>
        <v>0.80400000000000005</v>
      </c>
      <c r="O193" s="144">
        <f t="shared" si="2"/>
        <v>1.0837920000000001</v>
      </c>
    </row>
    <row r="194" spans="1:15">
      <c r="A194" s="18">
        <v>99801379</v>
      </c>
      <c r="B194" s="19" t="s">
        <v>262</v>
      </c>
      <c r="C194" s="141">
        <v>20167</v>
      </c>
      <c r="D194" s="142">
        <v>4</v>
      </c>
      <c r="E194" s="19">
        <v>45</v>
      </c>
      <c r="F194" s="19">
        <v>0.55000000000000004</v>
      </c>
      <c r="G194" s="19">
        <v>670</v>
      </c>
      <c r="H194" s="19">
        <v>1148</v>
      </c>
      <c r="I194" s="19">
        <v>604</v>
      </c>
      <c r="J194" s="19">
        <v>715</v>
      </c>
      <c r="K194" s="143">
        <f t="shared" si="0"/>
        <v>1005</v>
      </c>
      <c r="M194" s="144">
        <f t="shared" ref="M194:N194" si="194">(H194+200)/1000</f>
        <v>1.3480000000000001</v>
      </c>
      <c r="N194" s="144">
        <f t="shared" si="194"/>
        <v>0.80400000000000005</v>
      </c>
      <c r="O194" s="144">
        <f t="shared" si="2"/>
        <v>1.0837920000000001</v>
      </c>
    </row>
    <row r="195" spans="1:15">
      <c r="A195" s="145">
        <v>99801380</v>
      </c>
      <c r="B195" s="146" t="s">
        <v>272</v>
      </c>
      <c r="C195" s="147">
        <v>20808</v>
      </c>
      <c r="D195" s="148">
        <v>4</v>
      </c>
      <c r="E195" s="146">
        <v>55</v>
      </c>
      <c r="F195" s="146">
        <v>0.55000000000000004</v>
      </c>
      <c r="G195" s="146">
        <v>751</v>
      </c>
      <c r="H195" s="146">
        <v>1224</v>
      </c>
      <c r="I195" s="146">
        <v>604</v>
      </c>
      <c r="J195" s="146">
        <v>715</v>
      </c>
      <c r="K195" s="149">
        <f t="shared" si="0"/>
        <v>1126.5</v>
      </c>
      <c r="M195" s="144">
        <f t="shared" ref="M195:N195" si="195">(H195+200)/1000</f>
        <v>1.4239999999999999</v>
      </c>
      <c r="N195" s="144">
        <f t="shared" si="195"/>
        <v>0.80400000000000005</v>
      </c>
      <c r="O195" s="144">
        <f t="shared" si="2"/>
        <v>1.1448959999999999</v>
      </c>
    </row>
    <row r="196" spans="1:15">
      <c r="A196" s="18">
        <v>99801381</v>
      </c>
      <c r="B196" s="19" t="s">
        <v>275</v>
      </c>
      <c r="C196" s="141">
        <v>26625</v>
      </c>
      <c r="D196" s="142">
        <v>4</v>
      </c>
      <c r="E196" s="19">
        <v>75</v>
      </c>
      <c r="F196" s="19">
        <v>0.55000000000000004</v>
      </c>
      <c r="G196" s="19">
        <v>815</v>
      </c>
      <c r="H196" s="19">
        <v>1224</v>
      </c>
      <c r="I196" s="19">
        <v>604</v>
      </c>
      <c r="J196" s="19">
        <v>715</v>
      </c>
      <c r="K196" s="143">
        <f t="shared" si="0"/>
        <v>1222.5</v>
      </c>
      <c r="M196" s="144">
        <f t="shared" ref="M196:N196" si="196">(H196+200)/1000</f>
        <v>1.4239999999999999</v>
      </c>
      <c r="N196" s="144">
        <f t="shared" si="196"/>
        <v>0.80400000000000005</v>
      </c>
      <c r="O196" s="144">
        <f t="shared" si="2"/>
        <v>1.1448959999999999</v>
      </c>
    </row>
    <row r="197" spans="1:15">
      <c r="A197" s="145">
        <v>99801382</v>
      </c>
      <c r="B197" s="146" t="s">
        <v>284</v>
      </c>
      <c r="C197" s="147">
        <v>28144</v>
      </c>
      <c r="D197" s="148">
        <v>4</v>
      </c>
      <c r="E197" s="146">
        <v>90</v>
      </c>
      <c r="F197" s="146">
        <v>0.55000000000000004</v>
      </c>
      <c r="G197" s="146">
        <v>1120</v>
      </c>
      <c r="H197" s="146">
        <v>1367</v>
      </c>
      <c r="I197" s="146">
        <v>604</v>
      </c>
      <c r="J197" s="146">
        <v>715</v>
      </c>
      <c r="K197" s="149">
        <f t="shared" si="0"/>
        <v>1680</v>
      </c>
      <c r="M197" s="144">
        <f t="shared" ref="M197:N197" si="197">(H197+200)/1000</f>
        <v>1.5669999999999999</v>
      </c>
      <c r="N197" s="144">
        <f t="shared" si="197"/>
        <v>0.80400000000000005</v>
      </c>
      <c r="O197" s="144">
        <f t="shared" si="2"/>
        <v>1.259868</v>
      </c>
    </row>
    <row r="198" spans="1:15">
      <c r="A198" s="18">
        <v>99801383</v>
      </c>
      <c r="B198" s="19" t="s">
        <v>286</v>
      </c>
      <c r="C198" s="141">
        <v>9994</v>
      </c>
      <c r="D198" s="142">
        <v>4</v>
      </c>
      <c r="E198" s="19">
        <v>7.5</v>
      </c>
      <c r="F198" s="19">
        <v>0.7</v>
      </c>
      <c r="G198" s="19">
        <v>276</v>
      </c>
      <c r="H198" s="19">
        <v>703</v>
      </c>
      <c r="I198" s="19">
        <v>145</v>
      </c>
      <c r="J198" s="19">
        <v>458</v>
      </c>
      <c r="K198" s="143">
        <f t="shared" si="0"/>
        <v>414</v>
      </c>
      <c r="M198" s="144">
        <f t="shared" ref="M198:N198" si="198">(H198+200)/1000</f>
        <v>0.90300000000000002</v>
      </c>
      <c r="N198" s="144">
        <f t="shared" si="198"/>
        <v>0.34499999999999997</v>
      </c>
      <c r="O198" s="144">
        <f t="shared" si="2"/>
        <v>0.31153500000000001</v>
      </c>
    </row>
    <row r="199" spans="1:15">
      <c r="A199" s="145">
        <v>99801384</v>
      </c>
      <c r="B199" s="146" t="s">
        <v>223</v>
      </c>
      <c r="C199" s="147">
        <v>10488</v>
      </c>
      <c r="D199" s="148">
        <v>4</v>
      </c>
      <c r="E199" s="146">
        <v>11</v>
      </c>
      <c r="F199" s="146">
        <v>0.7</v>
      </c>
      <c r="G199" s="146">
        <v>328</v>
      </c>
      <c r="H199" s="146">
        <v>921</v>
      </c>
      <c r="I199" s="146">
        <v>549</v>
      </c>
      <c r="J199" s="146">
        <v>680</v>
      </c>
      <c r="K199" s="149">
        <f t="shared" si="0"/>
        <v>492</v>
      </c>
      <c r="M199" s="144">
        <f t="shared" ref="M199:N199" si="199">(H199+200)/1000</f>
        <v>1.121</v>
      </c>
      <c r="N199" s="144">
        <f t="shared" si="199"/>
        <v>0.749</v>
      </c>
      <c r="O199" s="144">
        <f t="shared" si="2"/>
        <v>0.83962899999999996</v>
      </c>
    </row>
    <row r="200" spans="1:15">
      <c r="A200" s="18">
        <v>99801385</v>
      </c>
      <c r="B200" s="19" t="s">
        <v>206</v>
      </c>
      <c r="C200" s="141">
        <v>13406</v>
      </c>
      <c r="D200" s="142">
        <v>4</v>
      </c>
      <c r="E200" s="19">
        <v>15</v>
      </c>
      <c r="F200" s="19">
        <v>0.68</v>
      </c>
      <c r="G200" s="19">
        <v>308</v>
      </c>
      <c r="H200" s="19">
        <v>963</v>
      </c>
      <c r="I200" s="19">
        <v>547</v>
      </c>
      <c r="J200" s="19">
        <v>655</v>
      </c>
      <c r="K200" s="143">
        <f t="shared" si="0"/>
        <v>462</v>
      </c>
      <c r="M200" s="144">
        <f t="shared" ref="M200:N200" si="200">(H200+200)/1000</f>
        <v>1.163</v>
      </c>
      <c r="N200" s="144">
        <f t="shared" si="200"/>
        <v>0.747</v>
      </c>
      <c r="O200" s="144">
        <f t="shared" si="2"/>
        <v>0.86876100000000001</v>
      </c>
    </row>
    <row r="201" spans="1:15">
      <c r="A201" s="145">
        <v>99801386</v>
      </c>
      <c r="B201" s="146" t="s">
        <v>220</v>
      </c>
      <c r="C201" s="147">
        <v>14297</v>
      </c>
      <c r="D201" s="148">
        <v>4</v>
      </c>
      <c r="E201" s="146">
        <v>18.5</v>
      </c>
      <c r="F201" s="146">
        <v>0.68</v>
      </c>
      <c r="G201" s="146">
        <v>350</v>
      </c>
      <c r="H201" s="146">
        <v>985</v>
      </c>
      <c r="I201" s="146">
        <v>547</v>
      </c>
      <c r="J201" s="146">
        <v>655</v>
      </c>
      <c r="K201" s="149">
        <f t="shared" si="0"/>
        <v>525</v>
      </c>
      <c r="M201" s="144">
        <f t="shared" ref="M201:N201" si="201">(H201+200)/1000</f>
        <v>1.1850000000000001</v>
      </c>
      <c r="N201" s="144">
        <f t="shared" si="201"/>
        <v>0.747</v>
      </c>
      <c r="O201" s="144">
        <f t="shared" si="2"/>
        <v>0.88519500000000007</v>
      </c>
    </row>
    <row r="202" spans="1:15">
      <c r="A202" s="18">
        <v>99801387</v>
      </c>
      <c r="B202" s="19" t="s">
        <v>229</v>
      </c>
      <c r="C202" s="141">
        <v>14844</v>
      </c>
      <c r="D202" s="142">
        <v>4</v>
      </c>
      <c r="E202" s="19">
        <v>22</v>
      </c>
      <c r="F202" s="19">
        <v>0.68</v>
      </c>
      <c r="G202" s="19">
        <v>401</v>
      </c>
      <c r="H202" s="19">
        <v>1023</v>
      </c>
      <c r="I202" s="19">
        <v>547</v>
      </c>
      <c r="J202" s="19">
        <v>655</v>
      </c>
      <c r="K202" s="143">
        <f t="shared" si="0"/>
        <v>601.5</v>
      </c>
      <c r="M202" s="144">
        <f t="shared" ref="M202:N202" si="202">(H202+200)/1000</f>
        <v>1.2230000000000001</v>
      </c>
      <c r="N202" s="144">
        <f t="shared" si="202"/>
        <v>0.747</v>
      </c>
      <c r="O202" s="144">
        <f t="shared" si="2"/>
        <v>0.91358100000000009</v>
      </c>
    </row>
    <row r="203" spans="1:15">
      <c r="A203" s="145">
        <v>99801388</v>
      </c>
      <c r="B203" s="146" t="s">
        <v>237</v>
      </c>
      <c r="C203" s="147">
        <v>17160</v>
      </c>
      <c r="D203" s="148">
        <v>4</v>
      </c>
      <c r="E203" s="146">
        <v>30</v>
      </c>
      <c r="F203" s="146">
        <v>0.68</v>
      </c>
      <c r="G203" s="146">
        <v>450</v>
      </c>
      <c r="H203" s="146">
        <v>1088</v>
      </c>
      <c r="I203" s="146">
        <v>547</v>
      </c>
      <c r="J203" s="146">
        <v>655</v>
      </c>
      <c r="K203" s="149">
        <f t="shared" si="0"/>
        <v>675</v>
      </c>
      <c r="M203" s="144">
        <f t="shared" ref="M203:N203" si="203">(H203+200)/1000</f>
        <v>1.288</v>
      </c>
      <c r="N203" s="144">
        <f t="shared" si="203"/>
        <v>0.747</v>
      </c>
      <c r="O203" s="144">
        <f t="shared" si="2"/>
        <v>0.96213599999999999</v>
      </c>
    </row>
    <row r="204" spans="1:15">
      <c r="A204" s="18">
        <v>99801389</v>
      </c>
      <c r="B204" s="19" t="s">
        <v>249</v>
      </c>
      <c r="C204" s="141">
        <v>19063</v>
      </c>
      <c r="D204" s="142">
        <v>4</v>
      </c>
      <c r="E204" s="19">
        <v>37</v>
      </c>
      <c r="F204" s="19">
        <v>0.68</v>
      </c>
      <c r="G204" s="19">
        <v>618</v>
      </c>
      <c r="H204" s="19">
        <v>1168</v>
      </c>
      <c r="I204" s="19">
        <v>547</v>
      </c>
      <c r="J204" s="19">
        <v>655</v>
      </c>
      <c r="K204" s="143">
        <f t="shared" si="0"/>
        <v>927</v>
      </c>
      <c r="M204" s="144">
        <f t="shared" ref="M204:N204" si="204">(H204+200)/1000</f>
        <v>1.3680000000000001</v>
      </c>
      <c r="N204" s="144">
        <f t="shared" si="204"/>
        <v>0.747</v>
      </c>
      <c r="O204" s="144">
        <f t="shared" si="2"/>
        <v>1.0218960000000001</v>
      </c>
    </row>
    <row r="205" spans="1:15">
      <c r="A205" s="145">
        <v>99801390</v>
      </c>
      <c r="B205" s="146" t="s">
        <v>253</v>
      </c>
      <c r="C205" s="147">
        <v>20626</v>
      </c>
      <c r="D205" s="148">
        <v>4</v>
      </c>
      <c r="E205" s="146">
        <v>45</v>
      </c>
      <c r="F205" s="146">
        <v>0.68</v>
      </c>
      <c r="G205" s="146">
        <v>639</v>
      </c>
      <c r="H205" s="146">
        <v>1168</v>
      </c>
      <c r="I205" s="146">
        <v>547</v>
      </c>
      <c r="J205" s="146">
        <v>655</v>
      </c>
      <c r="K205" s="149">
        <f t="shared" si="0"/>
        <v>958.5</v>
      </c>
      <c r="M205" s="144">
        <f t="shared" ref="M205:N205" si="205">(H205+200)/1000</f>
        <v>1.3680000000000001</v>
      </c>
      <c r="N205" s="144">
        <f t="shared" si="205"/>
        <v>0.747</v>
      </c>
      <c r="O205" s="144">
        <f t="shared" si="2"/>
        <v>1.0218960000000001</v>
      </c>
    </row>
    <row r="206" spans="1:15">
      <c r="A206" s="18">
        <v>99801391</v>
      </c>
      <c r="B206" s="19" t="s">
        <v>266</v>
      </c>
      <c r="C206" s="141">
        <v>22752</v>
      </c>
      <c r="D206" s="142">
        <v>4</v>
      </c>
      <c r="E206" s="19">
        <v>37</v>
      </c>
      <c r="F206" s="19">
        <v>0.54</v>
      </c>
      <c r="G206" s="19">
        <v>670</v>
      </c>
      <c r="H206" s="19">
        <v>1181</v>
      </c>
      <c r="I206" s="19">
        <v>595</v>
      </c>
      <c r="J206" s="19">
        <v>715</v>
      </c>
      <c r="K206" s="143">
        <f t="shared" si="0"/>
        <v>1005</v>
      </c>
      <c r="M206" s="144">
        <f t="shared" ref="M206:N206" si="206">(H206+200)/1000</f>
        <v>1.381</v>
      </c>
      <c r="N206" s="144">
        <f t="shared" si="206"/>
        <v>0.79500000000000004</v>
      </c>
      <c r="O206" s="144">
        <f t="shared" si="2"/>
        <v>1.0978950000000001</v>
      </c>
    </row>
    <row r="207" spans="1:15">
      <c r="A207" s="145">
        <v>99801392</v>
      </c>
      <c r="B207" s="146" t="s">
        <v>268</v>
      </c>
      <c r="C207" s="147">
        <v>24205</v>
      </c>
      <c r="D207" s="148">
        <v>4</v>
      </c>
      <c r="E207" s="146">
        <v>45</v>
      </c>
      <c r="F207" s="146">
        <v>0.54</v>
      </c>
      <c r="G207" s="146">
        <v>691</v>
      </c>
      <c r="H207" s="146">
        <v>1181</v>
      </c>
      <c r="I207" s="146">
        <v>595</v>
      </c>
      <c r="J207" s="146">
        <v>715</v>
      </c>
      <c r="K207" s="149">
        <f t="shared" si="0"/>
        <v>1036.5</v>
      </c>
      <c r="M207" s="144">
        <f t="shared" ref="M207:N207" si="207">(H207+200)/1000</f>
        <v>1.381</v>
      </c>
      <c r="N207" s="144">
        <f t="shared" si="207"/>
        <v>0.79500000000000004</v>
      </c>
      <c r="O207" s="144">
        <f t="shared" si="2"/>
        <v>1.0978950000000001</v>
      </c>
    </row>
    <row r="208" spans="1:15">
      <c r="A208" s="18">
        <v>99801393</v>
      </c>
      <c r="B208" s="19" t="s">
        <v>274</v>
      </c>
      <c r="C208" s="141">
        <v>24477</v>
      </c>
      <c r="D208" s="142">
        <v>4</v>
      </c>
      <c r="E208" s="19">
        <v>55</v>
      </c>
      <c r="F208" s="19">
        <v>0.54</v>
      </c>
      <c r="G208" s="19">
        <v>779</v>
      </c>
      <c r="H208" s="19">
        <v>1257</v>
      </c>
      <c r="I208" s="19">
        <v>595</v>
      </c>
      <c r="J208" s="19">
        <v>715</v>
      </c>
      <c r="K208" s="143">
        <f t="shared" si="0"/>
        <v>1168.5</v>
      </c>
      <c r="M208" s="144">
        <f t="shared" ref="M208:N208" si="208">(H208+200)/1000</f>
        <v>1.4570000000000001</v>
      </c>
      <c r="N208" s="144">
        <f t="shared" si="208"/>
        <v>0.79500000000000004</v>
      </c>
      <c r="O208" s="144">
        <f t="shared" si="2"/>
        <v>1.1583150000000002</v>
      </c>
    </row>
    <row r="209" spans="1:15">
      <c r="A209" s="145">
        <v>99801394</v>
      </c>
      <c r="B209" s="146" t="s">
        <v>276</v>
      </c>
      <c r="C209" s="147">
        <v>27347</v>
      </c>
      <c r="D209" s="148">
        <v>4</v>
      </c>
      <c r="E209" s="146">
        <v>75</v>
      </c>
      <c r="F209" s="146">
        <v>0.54</v>
      </c>
      <c r="G209" s="146">
        <v>842</v>
      </c>
      <c r="H209" s="146">
        <v>1257</v>
      </c>
      <c r="I209" s="146">
        <v>595</v>
      </c>
      <c r="J209" s="146">
        <v>715</v>
      </c>
      <c r="K209" s="149">
        <f t="shared" si="0"/>
        <v>1263</v>
      </c>
      <c r="M209" s="144">
        <f t="shared" ref="M209:N209" si="209">(H209+200)/1000</f>
        <v>1.4570000000000001</v>
      </c>
      <c r="N209" s="144">
        <f t="shared" si="209"/>
        <v>0.79500000000000004</v>
      </c>
      <c r="O209" s="144">
        <f t="shared" si="2"/>
        <v>1.1583150000000002</v>
      </c>
    </row>
    <row r="210" spans="1:15">
      <c r="A210" s="18">
        <v>99801395</v>
      </c>
      <c r="B210" s="19" t="s">
        <v>277</v>
      </c>
      <c r="C210" s="141">
        <v>31266</v>
      </c>
      <c r="D210" s="142">
        <v>4</v>
      </c>
      <c r="E210" s="19">
        <v>55</v>
      </c>
      <c r="F210" s="19">
        <v>0.7</v>
      </c>
      <c r="G210" s="19">
        <v>848</v>
      </c>
      <c r="H210" s="19">
        <v>1257</v>
      </c>
      <c r="I210" s="19">
        <v>630</v>
      </c>
      <c r="J210" s="19">
        <v>765</v>
      </c>
      <c r="K210" s="143">
        <f t="shared" si="0"/>
        <v>1272</v>
      </c>
      <c r="M210" s="144">
        <f t="shared" ref="M210:N210" si="210">(H210+200)/1000</f>
        <v>1.4570000000000001</v>
      </c>
      <c r="N210" s="144">
        <f t="shared" si="210"/>
        <v>0.83</v>
      </c>
      <c r="O210" s="144">
        <f t="shared" si="2"/>
        <v>1.2093100000000001</v>
      </c>
    </row>
    <row r="211" spans="1:15">
      <c r="A211" s="145">
        <v>99801396</v>
      </c>
      <c r="B211" s="146" t="s">
        <v>278</v>
      </c>
      <c r="C211" s="147">
        <v>32311</v>
      </c>
      <c r="D211" s="148">
        <v>4</v>
      </c>
      <c r="E211" s="146">
        <v>75</v>
      </c>
      <c r="F211" s="146">
        <v>0.7</v>
      </c>
      <c r="G211" s="146">
        <v>911</v>
      </c>
      <c r="H211" s="146">
        <v>1257</v>
      </c>
      <c r="I211" s="146">
        <v>630</v>
      </c>
      <c r="J211" s="146">
        <v>765</v>
      </c>
      <c r="K211" s="149">
        <f t="shared" si="0"/>
        <v>1366.5</v>
      </c>
      <c r="M211" s="144">
        <f t="shared" ref="M211:N211" si="211">(H211+200)/1000</f>
        <v>1.4570000000000001</v>
      </c>
      <c r="N211" s="144">
        <f t="shared" si="211"/>
        <v>0.83</v>
      </c>
      <c r="O211" s="144">
        <f t="shared" si="2"/>
        <v>1.2093100000000001</v>
      </c>
    </row>
    <row r="212" spans="1:15">
      <c r="A212" s="18">
        <v>99801397</v>
      </c>
      <c r="B212" s="19" t="s">
        <v>285</v>
      </c>
      <c r="C212" s="141">
        <v>33294</v>
      </c>
      <c r="D212" s="142">
        <v>4</v>
      </c>
      <c r="E212" s="19">
        <v>90</v>
      </c>
      <c r="F212" s="19">
        <v>0.7</v>
      </c>
      <c r="G212" s="19">
        <v>1190</v>
      </c>
      <c r="H212" s="19">
        <v>1400</v>
      </c>
      <c r="I212" s="19">
        <v>630</v>
      </c>
      <c r="J212" s="19">
        <v>765</v>
      </c>
      <c r="K212" s="143">
        <f t="shared" si="0"/>
        <v>1785</v>
      </c>
      <c r="M212" s="144">
        <f t="shared" ref="M212:N212" si="212">(H212+200)/1000</f>
        <v>1.6</v>
      </c>
      <c r="N212" s="144">
        <f t="shared" si="212"/>
        <v>0.83</v>
      </c>
      <c r="O212" s="144">
        <f t="shared" si="2"/>
        <v>1.3280000000000001</v>
      </c>
    </row>
    <row r="213" spans="1:15">
      <c r="A213" s="145">
        <v>99817787</v>
      </c>
      <c r="B213" s="146" t="s">
        <v>205</v>
      </c>
      <c r="C213" s="147">
        <v>10638</v>
      </c>
      <c r="D213" s="148">
        <v>2</v>
      </c>
      <c r="E213" s="146">
        <v>30</v>
      </c>
      <c r="F213" s="146">
        <v>0.7</v>
      </c>
      <c r="G213" s="146">
        <v>306</v>
      </c>
      <c r="H213" s="146">
        <v>999.5</v>
      </c>
      <c r="I213" s="146">
        <v>322</v>
      </c>
      <c r="J213" s="146">
        <v>405</v>
      </c>
      <c r="K213" s="149">
        <f t="shared" si="0"/>
        <v>459</v>
      </c>
      <c r="M213" s="144">
        <f t="shared" ref="M213:N213" si="213">(H213+200)/1000</f>
        <v>1.1995</v>
      </c>
      <c r="N213" s="144">
        <f t="shared" si="213"/>
        <v>0.52200000000000002</v>
      </c>
      <c r="O213" s="144">
        <f t="shared" si="2"/>
        <v>0.626139</v>
      </c>
    </row>
    <row r="214" spans="1:15">
      <c r="A214" s="18">
        <v>99817788</v>
      </c>
      <c r="B214" s="19" t="s">
        <v>115</v>
      </c>
      <c r="C214" s="141">
        <v>7657</v>
      </c>
      <c r="D214" s="142">
        <v>2</v>
      </c>
      <c r="E214" s="19">
        <v>18.5</v>
      </c>
      <c r="F214" s="19">
        <v>0.7</v>
      </c>
      <c r="G214" s="19">
        <v>200</v>
      </c>
      <c r="H214" s="19">
        <v>831</v>
      </c>
      <c r="I214" s="19">
        <v>288</v>
      </c>
      <c r="J214" s="19">
        <v>360</v>
      </c>
      <c r="K214" s="143">
        <f t="shared" si="0"/>
        <v>300</v>
      </c>
      <c r="M214" s="144">
        <f t="shared" ref="M214:N214" si="214">(H214+200)/1000</f>
        <v>1.0309999999999999</v>
      </c>
      <c r="N214" s="144">
        <f t="shared" si="214"/>
        <v>0.48799999999999999</v>
      </c>
      <c r="O214" s="144">
        <f t="shared" si="2"/>
        <v>0.50312799999999991</v>
      </c>
    </row>
    <row r="215" spans="1:15">
      <c r="A215" s="145">
        <v>99817789</v>
      </c>
      <c r="B215" s="146" t="s">
        <v>254</v>
      </c>
      <c r="C215" s="147">
        <v>16023</v>
      </c>
      <c r="D215" s="148">
        <v>2</v>
      </c>
      <c r="E215" s="146">
        <v>55</v>
      </c>
      <c r="F215" s="146">
        <v>0.68</v>
      </c>
      <c r="G215" s="146">
        <v>649</v>
      </c>
      <c r="H215" s="146">
        <v>1211</v>
      </c>
      <c r="I215" s="146">
        <v>381</v>
      </c>
      <c r="J215" s="146">
        <v>480</v>
      </c>
      <c r="K215" s="149">
        <f t="shared" si="0"/>
        <v>973.5</v>
      </c>
      <c r="M215" s="144">
        <f t="shared" ref="M215:N215" si="215">(H215+200)/1000</f>
        <v>1.411</v>
      </c>
      <c r="N215" s="144">
        <f t="shared" si="215"/>
        <v>0.58099999999999996</v>
      </c>
      <c r="O215" s="144">
        <f t="shared" si="2"/>
        <v>0.81979099999999994</v>
      </c>
    </row>
    <row r="216" spans="1:15">
      <c r="A216" s="18">
        <v>99817805</v>
      </c>
      <c r="B216" s="19" t="s">
        <v>719</v>
      </c>
      <c r="C216" s="141">
        <v>7377</v>
      </c>
      <c r="D216" s="142">
        <v>4</v>
      </c>
      <c r="E216" s="19">
        <v>7.5</v>
      </c>
      <c r="F216" s="19">
        <v>0.7</v>
      </c>
      <c r="G216" s="19">
        <v>190</v>
      </c>
      <c r="H216" s="19">
        <v>668</v>
      </c>
      <c r="I216" s="19">
        <v>145</v>
      </c>
      <c r="J216" s="19">
        <v>319</v>
      </c>
      <c r="K216" s="143">
        <f t="shared" si="0"/>
        <v>285</v>
      </c>
      <c r="M216" s="144">
        <f t="shared" ref="M216:N216" si="216">(H216+200)/1000</f>
        <v>0.86799999999999999</v>
      </c>
      <c r="N216" s="144">
        <f t="shared" si="216"/>
        <v>0.34499999999999997</v>
      </c>
      <c r="O216" s="144">
        <f t="shared" si="2"/>
        <v>0.29945999999999995</v>
      </c>
    </row>
    <row r="217" spans="1:15">
      <c r="A217" s="145">
        <v>99817806</v>
      </c>
      <c r="B217" s="146" t="s">
        <v>150</v>
      </c>
      <c r="C217" s="147">
        <v>6724</v>
      </c>
      <c r="D217" s="148">
        <v>4</v>
      </c>
      <c r="E217" s="146">
        <v>5.5</v>
      </c>
      <c r="F217" s="146">
        <v>0.65</v>
      </c>
      <c r="G217" s="146">
        <v>173</v>
      </c>
      <c r="H217" s="146">
        <v>668</v>
      </c>
      <c r="I217" s="146">
        <v>145</v>
      </c>
      <c r="J217" s="146">
        <v>288</v>
      </c>
      <c r="K217" s="149">
        <f t="shared" si="0"/>
        <v>259.5</v>
      </c>
      <c r="M217" s="144">
        <f t="shared" ref="M217:N217" si="217">(H217+200)/1000</f>
        <v>0.86799999999999999</v>
      </c>
      <c r="N217" s="144">
        <f t="shared" si="217"/>
        <v>0.34499999999999997</v>
      </c>
      <c r="O217" s="144">
        <f t="shared" si="2"/>
        <v>0.29945999999999995</v>
      </c>
    </row>
    <row r="218" spans="1:15">
      <c r="A218" s="150">
        <v>99817807</v>
      </c>
      <c r="B218" s="151" t="s">
        <v>233</v>
      </c>
      <c r="C218" s="152">
        <v>14032</v>
      </c>
      <c r="D218" s="153">
        <v>4</v>
      </c>
      <c r="E218" s="151">
        <v>30</v>
      </c>
      <c r="F218" s="151">
        <v>0.7</v>
      </c>
      <c r="G218" s="151">
        <v>424</v>
      </c>
      <c r="H218" s="151">
        <v>1068</v>
      </c>
      <c r="I218" s="151">
        <v>472</v>
      </c>
      <c r="J218" s="151">
        <v>565</v>
      </c>
      <c r="K218" s="154">
        <f t="shared" si="0"/>
        <v>636</v>
      </c>
      <c r="M218" s="144">
        <f t="shared" ref="M218:N218" si="218">(H218+200)/1000</f>
        <v>1.268</v>
      </c>
      <c r="N218" s="144">
        <f t="shared" si="218"/>
        <v>0.67200000000000004</v>
      </c>
      <c r="O218" s="144">
        <f t="shared" si="2"/>
        <v>0.85209600000000008</v>
      </c>
    </row>
  </sheetData>
  <dataValidations count="1">
    <dataValidation type="custom" allowBlank="1" showDropDown="1" sqref="C2:D218 K2:K218" xr:uid="{00000000-0002-0000-2C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CR Sales</vt:lpstr>
      <vt:lpstr>NBG BOM</vt:lpstr>
      <vt:lpstr>NK BOM</vt:lpstr>
      <vt:lpstr>CR BOM</vt:lpstr>
      <vt:lpstr>CRE BOM</vt:lpstr>
      <vt:lpstr>CRI BOM</vt:lpstr>
      <vt:lpstr>CRIE BOM</vt:lpstr>
      <vt:lpstr>CRN BOM</vt:lpstr>
      <vt:lpstr>CRNE BOM</vt:lpstr>
      <vt:lpstr>TP BOM</vt:lpstr>
      <vt:lpstr>Co-Efficients</vt:lpstr>
      <vt:lpstr>UPS Pricing</vt:lpstr>
      <vt:lpstr>Costing Template</vt:lpstr>
      <vt:lpstr>NK Pricing</vt:lpstr>
      <vt:lpstr>Seismic Springs</vt:lpstr>
      <vt:lpstr>Seismic Springs 2025</vt:lpstr>
      <vt:lpstr>Rubber Mounts</vt:lpstr>
      <vt:lpstr>Crossbars</vt:lpstr>
      <vt:lpstr>Inertia Base Models</vt:lpstr>
      <vt:lpstr>Inertia Bases 2025</vt:lpstr>
      <vt:lpstr>NBG Duties</vt:lpstr>
      <vt:lpstr>Sheet39</vt:lpstr>
      <vt:lpstr>Sheet41</vt:lpstr>
      <vt:lpstr>RACP Duties</vt:lpstr>
      <vt:lpstr>NBG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Dayton</cp:lastModifiedBy>
  <dcterms:created xsi:type="dcterms:W3CDTF">2025-10-07T05:45:50Z</dcterms:created>
  <dcterms:modified xsi:type="dcterms:W3CDTF">2025-10-07T05:45:50Z</dcterms:modified>
</cp:coreProperties>
</file>